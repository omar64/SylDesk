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T:\PROYECTOS\2017\SYL-17-004 Planta de Tratamiento de Residuos Orgánicos\2.- Información\DTU\Capítulo 06. Estimación de volumen\"/>
    </mc:Choice>
  </mc:AlternateContent>
  <bookViews>
    <workbookView xWindow="0" yWindow="0" windowWidth="23040" windowHeight="9197" tabRatio="671" activeTab="4"/>
  </bookViews>
  <sheets>
    <sheet name="Listas" sheetId="3" r:id="rId1"/>
    <sheet name="1 Captura" sheetId="1" r:id="rId2"/>
    <sheet name="Alt Diametro" sheetId="15" r:id="rId3"/>
    <sheet name="oculta" sheetId="10" state="hidden" r:id="rId4"/>
    <sheet name="3 Dens., AB, y Vol" sheetId="8" r:id="rId5"/>
  </sheets>
  <definedNames>
    <definedName name="_xlnm._FilterDatabase" localSheetId="1" hidden="1">'1 Captura'!$A$1:$Y$1153</definedName>
    <definedName name="_xlnm._FilterDatabase" localSheetId="3" hidden="1">oculta!$A$1:$U$1153</definedName>
    <definedName name="nombre">'1 Captura'!$G$1144:$G$1152</definedName>
  </definedNames>
  <calcPr calcId="162913"/>
  <pivotCaches>
    <pivotCache cacheId="0" r:id="rId6"/>
    <pivotCache cacheId="1" r:id="rId7"/>
    <pivotCache cacheId="2" r:id="rId8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2" i="8" l="1"/>
  <c r="N41" i="8"/>
  <c r="W7" i="8" l="1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6" i="8"/>
  <c r="W40" i="8" l="1"/>
  <c r="B44" i="8"/>
  <c r="B4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O40" i="8"/>
  <c r="N40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6" i="8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2" i="1"/>
  <c r="F40" i="8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G40" i="8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U1153" i="1"/>
  <c r="I4" i="3"/>
  <c r="I5" i="3"/>
  <c r="I6" i="3"/>
  <c r="I7" i="3"/>
  <c r="I8" i="3"/>
  <c r="I9" i="3"/>
  <c r="I10" i="3"/>
  <c r="I11" i="3"/>
  <c r="I3" i="3"/>
</calcChain>
</file>

<file path=xl/sharedStrings.xml><?xml version="1.0" encoding="utf-8"?>
<sst xmlns="http://schemas.openxmlformats.org/spreadsheetml/2006/main" count="13295" uniqueCount="319">
  <si>
    <t>SITIO</t>
  </si>
  <si>
    <t>AREA</t>
  </si>
  <si>
    <t>CUADRANTE</t>
  </si>
  <si>
    <t>NO. EN CAMPO</t>
  </si>
  <si>
    <t>CONSECUTIVO</t>
  </si>
  <si>
    <t>FAMILIA</t>
  </si>
  <si>
    <t>NOMBRE COMUN</t>
  </si>
  <si>
    <t>PERÍMETRO  (cm)</t>
  </si>
  <si>
    <t>DIÁMETRO (cm)</t>
  </si>
  <si>
    <t>ALTURA FUSTE (m)</t>
  </si>
  <si>
    <t>ALTURA TOTAL (m)</t>
  </si>
  <si>
    <t>FORMA FUSTE</t>
  </si>
  <si>
    <t>ESTADO CONDICION</t>
  </si>
  <si>
    <t>Lauraceae</t>
  </si>
  <si>
    <t>Nectandra coriacea</t>
  </si>
  <si>
    <t>Aguacatillo</t>
  </si>
  <si>
    <t>S</t>
  </si>
  <si>
    <t>Leguminosae</t>
  </si>
  <si>
    <t>Piscidia piscipula</t>
  </si>
  <si>
    <t>Jabín</t>
  </si>
  <si>
    <t>C</t>
  </si>
  <si>
    <t>Araliaceae</t>
  </si>
  <si>
    <t>Dendropanax arboreus</t>
  </si>
  <si>
    <t>Anacardiaceae</t>
  </si>
  <si>
    <t>Metopium brownei</t>
  </si>
  <si>
    <t>Chechem</t>
  </si>
  <si>
    <t>Polygonaceae</t>
  </si>
  <si>
    <t>Coccoloba spicata</t>
  </si>
  <si>
    <t>Boob</t>
  </si>
  <si>
    <t>CB</t>
  </si>
  <si>
    <t>Burseraceae</t>
  </si>
  <si>
    <t>Bursera simaruba</t>
  </si>
  <si>
    <t>Chacah</t>
  </si>
  <si>
    <t>Arecaceae</t>
  </si>
  <si>
    <t>Xa'an</t>
  </si>
  <si>
    <t>R</t>
  </si>
  <si>
    <t>Myrtaceae</t>
  </si>
  <si>
    <t xml:space="preserve">Eugenia axillaris </t>
  </si>
  <si>
    <t>Granada cimarrona</t>
  </si>
  <si>
    <t>SD</t>
  </si>
  <si>
    <t>Apocynaceae</t>
  </si>
  <si>
    <t>Cascabela gaumeri</t>
  </si>
  <si>
    <t>Akits</t>
  </si>
  <si>
    <t>Sapindaceae</t>
  </si>
  <si>
    <t>Paullinia pinnata</t>
  </si>
  <si>
    <t>Salatxiw</t>
  </si>
  <si>
    <t>Serjania goniocarpa</t>
  </si>
  <si>
    <t>Bejuco tres lomos</t>
  </si>
  <si>
    <t>Malvaceae</t>
  </si>
  <si>
    <t>Hampea trilobata</t>
  </si>
  <si>
    <t>Ho'ol</t>
  </si>
  <si>
    <t>Malpighiaceae</t>
  </si>
  <si>
    <t xml:space="preserve">Hiraea reclinata </t>
  </si>
  <si>
    <t>Hiraea</t>
  </si>
  <si>
    <t>Zygia cognata</t>
  </si>
  <si>
    <t>Cacao che</t>
  </si>
  <si>
    <t>Caesalpinia gaumeri</t>
  </si>
  <si>
    <t>Kitamche</t>
  </si>
  <si>
    <t>Bauhinia jenningsii</t>
  </si>
  <si>
    <t>Tsimin</t>
  </si>
  <si>
    <t>Lysiloma latisiliquum</t>
  </si>
  <si>
    <t>Tzalam</t>
  </si>
  <si>
    <t>Annonaceae</t>
  </si>
  <si>
    <t>Mosannona depressa</t>
  </si>
  <si>
    <t>Ek elemuy</t>
  </si>
  <si>
    <t>Lonchocarpus rugosus</t>
  </si>
  <si>
    <t>Kanasin</t>
  </si>
  <si>
    <t>Zamiaceae</t>
  </si>
  <si>
    <t>Zamia loddigesii Miq.</t>
  </si>
  <si>
    <t>Palma zamia</t>
  </si>
  <si>
    <t>Saramuyo</t>
  </si>
  <si>
    <t xml:space="preserve">Spondias mombin </t>
  </si>
  <si>
    <t>Jobo</t>
  </si>
  <si>
    <t>Lamiaceae</t>
  </si>
  <si>
    <t>Vitex gaumeri</t>
  </si>
  <si>
    <t>Ya'axnik</t>
  </si>
  <si>
    <t>Icacinaceae</t>
  </si>
  <si>
    <t>Ottoschulzia pallida</t>
  </si>
  <si>
    <t xml:space="preserve">Uvas che' </t>
  </si>
  <si>
    <t>Bauhinia divaricata</t>
  </si>
  <si>
    <t>Maay wakax</t>
  </si>
  <si>
    <t>Moraceae</t>
  </si>
  <si>
    <t>Ficus cotinifolia</t>
  </si>
  <si>
    <t>Álamo</t>
  </si>
  <si>
    <t>11A</t>
  </si>
  <si>
    <t>11B</t>
  </si>
  <si>
    <t>3A</t>
  </si>
  <si>
    <t>Ebenaceae</t>
  </si>
  <si>
    <t>Diospyros yucatanensis</t>
  </si>
  <si>
    <t>Diospyros</t>
  </si>
  <si>
    <t>Rubiaceae</t>
  </si>
  <si>
    <t>Randia aculeata</t>
  </si>
  <si>
    <t>Cruceta</t>
  </si>
  <si>
    <t>Nyctaginaceae</t>
  </si>
  <si>
    <t>Neea psychotrioides</t>
  </si>
  <si>
    <t>Tadzi</t>
  </si>
  <si>
    <t>Araceae</t>
  </si>
  <si>
    <t>Philodendron jacquinii</t>
  </si>
  <si>
    <t xml:space="preserve">Baston de viejo </t>
  </si>
  <si>
    <t>Cupania dentata</t>
  </si>
  <si>
    <t>Sak poom</t>
  </si>
  <si>
    <t>Myrcianthes fragrans</t>
  </si>
  <si>
    <t>Guayabillo</t>
  </si>
  <si>
    <t xml:space="preserve">Chiococca alba (L.) Hitchc. </t>
  </si>
  <si>
    <t>ka’an chak che</t>
  </si>
  <si>
    <t>Simaroubaceae</t>
  </si>
  <si>
    <t>Simarouba amara</t>
  </si>
  <si>
    <t>Pasak</t>
  </si>
  <si>
    <t>Sapotaceae</t>
  </si>
  <si>
    <t>Sideroxylon salicifolium</t>
  </si>
  <si>
    <t>Zapote faisán</t>
  </si>
  <si>
    <t>Pouteria campechiana</t>
  </si>
  <si>
    <t>Kaniste</t>
  </si>
  <si>
    <t xml:space="preserve">Copal </t>
  </si>
  <si>
    <t>21A</t>
  </si>
  <si>
    <t>36A</t>
  </si>
  <si>
    <t>45A</t>
  </si>
  <si>
    <t>46A</t>
  </si>
  <si>
    <t>49A</t>
  </si>
  <si>
    <t>54A</t>
  </si>
  <si>
    <t>Ficus pertusa</t>
  </si>
  <si>
    <t>Amatillo</t>
  </si>
  <si>
    <t>Chrysophyllum mexicanum</t>
  </si>
  <si>
    <t>Caimito</t>
  </si>
  <si>
    <t>Tasta'ab</t>
  </si>
  <si>
    <t>Primulaceae</t>
  </si>
  <si>
    <t>Ardisia escallonioides</t>
  </si>
  <si>
    <t>Pimienta de monte</t>
  </si>
  <si>
    <t>Allophyllus cominia</t>
  </si>
  <si>
    <t>Salicaceae</t>
  </si>
  <si>
    <t>Zuelania guidonia</t>
  </si>
  <si>
    <t>Tamay</t>
  </si>
  <si>
    <t xml:space="preserve">Manilkara zapota </t>
  </si>
  <si>
    <t>Chicozapote</t>
  </si>
  <si>
    <t>30A</t>
  </si>
  <si>
    <t>30B</t>
  </si>
  <si>
    <t>43A</t>
  </si>
  <si>
    <t>43B</t>
  </si>
  <si>
    <t>43C</t>
  </si>
  <si>
    <t>43D</t>
  </si>
  <si>
    <t>43E</t>
  </si>
  <si>
    <t>43F</t>
  </si>
  <si>
    <t>43G</t>
  </si>
  <si>
    <t>Coccoloba acapulcensis</t>
  </si>
  <si>
    <t>Toyub</t>
  </si>
  <si>
    <t>Sámago</t>
  </si>
  <si>
    <t>Paullinia cururu</t>
  </si>
  <si>
    <t>Bejuco alado</t>
  </si>
  <si>
    <t>Dalbergia glabra</t>
  </si>
  <si>
    <t xml:space="preserve">Ahmuk </t>
  </si>
  <si>
    <t>Swartzia cubensis</t>
  </si>
  <si>
    <t>Katalox</t>
  </si>
  <si>
    <t>Bignoniaceae</t>
  </si>
  <si>
    <t>Cydista diversifolia</t>
  </si>
  <si>
    <t>Sool aak</t>
  </si>
  <si>
    <t>Capparaceae</t>
  </si>
  <si>
    <t>Cynophalla verrucosa</t>
  </si>
  <si>
    <t>Silil</t>
  </si>
  <si>
    <t>Poaceae</t>
  </si>
  <si>
    <t>Lasiacis divaricata</t>
  </si>
  <si>
    <t>Carricillo</t>
  </si>
  <si>
    <t>Luehea speciosa</t>
  </si>
  <si>
    <t>Guasimo blanco</t>
  </si>
  <si>
    <t>18A</t>
  </si>
  <si>
    <t>40A</t>
  </si>
  <si>
    <t>5A</t>
  </si>
  <si>
    <t>Rutaceae </t>
  </si>
  <si>
    <t>Zapote blanco</t>
  </si>
  <si>
    <t>Vitaceae </t>
  </si>
  <si>
    <t>Cissus verticillata</t>
  </si>
  <si>
    <t>Bejuco Cissus</t>
  </si>
  <si>
    <t>12A</t>
  </si>
  <si>
    <t>1A</t>
  </si>
  <si>
    <t>23A</t>
  </si>
  <si>
    <t>Ficus maxima</t>
  </si>
  <si>
    <t>Akúun</t>
  </si>
  <si>
    <t>Boraginaceae</t>
  </si>
  <si>
    <t>Psychotria nervosa</t>
  </si>
  <si>
    <t>Café de Monte</t>
  </si>
  <si>
    <t>Meliaceae</t>
  </si>
  <si>
    <t>15A</t>
  </si>
  <si>
    <t>15B</t>
  </si>
  <si>
    <t>15C</t>
  </si>
  <si>
    <t>SB</t>
  </si>
  <si>
    <t>Allophylus cominia</t>
  </si>
  <si>
    <t>Sak pixoy</t>
  </si>
  <si>
    <t>Thrinax radiata</t>
  </si>
  <si>
    <t>Palma chit</t>
  </si>
  <si>
    <t xml:space="preserve">Amphilophium paniculatum </t>
  </si>
  <si>
    <t>Bejuco dos hojas</t>
  </si>
  <si>
    <t xml:space="preserve">Brosimum alicastrum </t>
  </si>
  <si>
    <t>Ramón</t>
  </si>
  <si>
    <t>4A</t>
  </si>
  <si>
    <t>6A</t>
  </si>
  <si>
    <t>6B</t>
  </si>
  <si>
    <t>Putranjivaceae</t>
  </si>
  <si>
    <t>Drypetes lateriflora</t>
  </si>
  <si>
    <t>Ekulub</t>
  </si>
  <si>
    <t>Euphorbiaceae</t>
  </si>
  <si>
    <t>Sebastiania adenophora</t>
  </si>
  <si>
    <t xml:space="preserve">Sak cheechem </t>
  </si>
  <si>
    <t xml:space="preserve">Malvaceae </t>
  </si>
  <si>
    <t>Malvaviscus arboreus</t>
  </si>
  <si>
    <t>Tulipancillo</t>
  </si>
  <si>
    <t>Capparis indica (L.) Druce.</t>
  </si>
  <si>
    <t>Bo'kanche'</t>
  </si>
  <si>
    <t>SI</t>
  </si>
  <si>
    <t xml:space="preserve">Andira inermis </t>
  </si>
  <si>
    <t>Choluul</t>
  </si>
  <si>
    <t>SC</t>
  </si>
  <si>
    <t>Diphysa carthagenensis</t>
  </si>
  <si>
    <t>Tsu'uts'uk</t>
  </si>
  <si>
    <t>16A</t>
  </si>
  <si>
    <t>27A</t>
  </si>
  <si>
    <t>29A</t>
  </si>
  <si>
    <t>29B</t>
  </si>
  <si>
    <t>56A</t>
  </si>
  <si>
    <t>56B</t>
  </si>
  <si>
    <t>Smilacaceae</t>
  </si>
  <si>
    <t>Smilax mollis</t>
  </si>
  <si>
    <t>Bejuco diente de perro</t>
  </si>
  <si>
    <t>Lonchocarpus guatemalensis</t>
  </si>
  <si>
    <t>Xul</t>
  </si>
  <si>
    <t>21B</t>
  </si>
  <si>
    <t xml:space="preserve">Vitis bourgaeana </t>
  </si>
  <si>
    <t>Bejuco de agua</t>
  </si>
  <si>
    <t>Celastraceae </t>
  </si>
  <si>
    <t>Semialarium mexicanum</t>
  </si>
  <si>
    <t>Cascarillo grueso</t>
  </si>
  <si>
    <t>Rhamnaceae</t>
  </si>
  <si>
    <t>Ziziphus mauritiana</t>
  </si>
  <si>
    <t>Ciruela de monte</t>
  </si>
  <si>
    <t xml:space="preserve">Amphilophium crucigerum </t>
  </si>
  <si>
    <t>Bejuco seis hojas</t>
  </si>
  <si>
    <t>10A</t>
  </si>
  <si>
    <t>16B</t>
  </si>
  <si>
    <t>17A</t>
  </si>
  <si>
    <t>17B</t>
  </si>
  <si>
    <t>18B</t>
  </si>
  <si>
    <t>20A</t>
  </si>
  <si>
    <t>31A</t>
  </si>
  <si>
    <t>31B</t>
  </si>
  <si>
    <t>31C</t>
  </si>
  <si>
    <t>31D</t>
  </si>
  <si>
    <t>31E</t>
  </si>
  <si>
    <t>35A</t>
  </si>
  <si>
    <t>35B</t>
  </si>
  <si>
    <t>37A</t>
  </si>
  <si>
    <t>Grupo</t>
  </si>
  <si>
    <t>Zuelania guidoniai</t>
  </si>
  <si>
    <t>Sabal yapa</t>
  </si>
  <si>
    <t>Casimiroa sapota</t>
  </si>
  <si>
    <t>Ottoschulzia pallidas</t>
  </si>
  <si>
    <t>Protium confusum</t>
  </si>
  <si>
    <t>Guettarda combsii</t>
  </si>
  <si>
    <t>"</t>
  </si>
  <si>
    <t>Volumen</t>
  </si>
  <si>
    <t>Exp(-9.67348922+1.86887607*LN(DIAMETRO)+1.01858126*LN(ALTURATOTAL)).</t>
  </si>
  <si>
    <t>Exp(-9.5208709+1.85580925*LN(DIAMETRO)+0.96207943*LN(ALTURATOTAL))</t>
  </si>
  <si>
    <t>.</t>
  </si>
  <si>
    <t>Exp(-9.75894522+1.90722681*LN(DIAMETRO)+1.01257027*LN(ALTURATOTAL))</t>
  </si>
  <si>
    <t>Exp(-9.89061571+1.924447818*LN(DIAMETRO)+1.04545276*LN(ALTURATOTAL))</t>
  </si>
  <si>
    <t>Exp(-9.68220947+1.89488929*LN(DIAMETRO)+1.01453225*LN(ALTURATOTAL))</t>
  </si>
  <si>
    <t>Exp(-9.45811109+1.82568462*LN(DIAMETRO)+1.00281859*LN(ALTURATOTAL))</t>
  </si>
  <si>
    <t>Exp(-9.88332368+1.9131735*LN(DIAMETRO)+1.07391062*LN(ALTURATOTAL))</t>
  </si>
  <si>
    <t>Exp(-9.84052491+1.92716537*LN(DIAMETRO)+1.00282618*LN(ALTURATOTAL)).</t>
  </si>
  <si>
    <t>Exp(-9.52375084+1.81551953*LN(DIAMETRO)+1.03039019*LN(ALTURATOTAL))</t>
  </si>
  <si>
    <t xml:space="preserve">Vol = </t>
  </si>
  <si>
    <t>Vol = Exp(-9.45811109+1.82568462*LN(DIAMETRO)+1.00281859*LN(ALTURATOTAL))</t>
  </si>
  <si>
    <t>Vol = Exp(-9.67348922+1.86887607*LN(DIAMETRO)+1.01858126*LN(ALTURATOTAL)).</t>
  </si>
  <si>
    <t>Vol = Exp(-9.75894522+1.90722681*LN(DIAMETRO)+1.01257027*LN(ALTURATOTAL))</t>
  </si>
  <si>
    <t>Vol = Exp(-9.5208709+1.85580925*LN(DIAMETRO)+0.96207943*LN(ALTURATOTAL))</t>
  </si>
  <si>
    <t>Vol = Exp(-9.84052491+1.92716537*LN(DIAMETRO)+1.00282618*LN(ALTURATOTAL)).</t>
  </si>
  <si>
    <t>Vol = Exp(-9.52375084+1.81551953*LN(DIAMETRO)+1.03039019*LN(ALTURATOTAL))</t>
  </si>
  <si>
    <t>Vol = Exp(-9.88332368+1.9131735*LN(DIAMETRO)+1.07391062*LN(ALTURATOTAL))</t>
  </si>
  <si>
    <t>Vol = Exp(-9.63519924+1.83658572*LN(DIAMETRO)+1.02444663*LN(ALTURATOTAL))</t>
  </si>
  <si>
    <t>Vol = Exp(-9.63573531+1.90246451*LN(DIAMETRO)+0.97875991*LN(ALTURATOTAL))</t>
  </si>
  <si>
    <t>Vol = Exp(-9.45441486+1.86841300*LN(DIAMETRO)+0.93163520*LN(ALTURATOTAL))</t>
  </si>
  <si>
    <t>Vol = Exp(-10.07810188+1.92989964*LN(DIAMETRO)+1.07701930*LN(ALTURATOTAL)).</t>
  </si>
  <si>
    <t>Ecuación de volumen</t>
  </si>
  <si>
    <t>Especie</t>
  </si>
  <si>
    <t>COBERTURA</t>
  </si>
  <si>
    <t xml:space="preserve">Guettarda combsii </t>
  </si>
  <si>
    <t>Sak chacaj</t>
  </si>
  <si>
    <t>Trichilia glabra</t>
  </si>
  <si>
    <t>Choobem che'</t>
  </si>
  <si>
    <t xml:space="preserve">Protium confusum </t>
  </si>
  <si>
    <t xml:space="preserve">Croton arboreus </t>
  </si>
  <si>
    <t>P'e'es k'uuch</t>
  </si>
  <si>
    <t xml:space="preserve">Bourreria pulchra </t>
  </si>
  <si>
    <t>Bakal che'</t>
  </si>
  <si>
    <t xml:space="preserve">Sabal yapa </t>
  </si>
  <si>
    <t xml:space="preserve">Annona squamosa </t>
  </si>
  <si>
    <t xml:space="preserve">Casimiroa sapota </t>
  </si>
  <si>
    <t>Total general</t>
  </si>
  <si>
    <t>ESPECIE</t>
  </si>
  <si>
    <t>NOMBRE CIENTÍFICO</t>
  </si>
  <si>
    <t>No. Individuos</t>
  </si>
  <si>
    <t>Individuos/Ha</t>
  </si>
  <si>
    <t>DENSIDAD</t>
  </si>
  <si>
    <t>ALT CAT</t>
  </si>
  <si>
    <t>DN CAT</t>
  </si>
  <si>
    <t>BIFURCADO?</t>
  </si>
  <si>
    <t>un fuste</t>
  </si>
  <si>
    <t>Etiquetas de fila</t>
  </si>
  <si>
    <t>Suma de AB</t>
  </si>
  <si>
    <t>ÁREA BASAL</t>
  </si>
  <si>
    <t>AB (m2/ha)</t>
  </si>
  <si>
    <t>Suma de Volumen</t>
  </si>
  <si>
    <t>Vol muestreado</t>
  </si>
  <si>
    <t>Vol (m3/ha)</t>
  </si>
  <si>
    <t>VOLUMEN</t>
  </si>
  <si>
    <t xml:space="preserve"> </t>
  </si>
  <si>
    <t>Bifurcado</t>
  </si>
  <si>
    <t>Cuenta de ALT CAT</t>
  </si>
  <si>
    <t>Cuenta de AREA</t>
  </si>
  <si>
    <t>Individuos/2.812022 ha</t>
  </si>
  <si>
    <t>AB (m2/2.812022 ha)</t>
  </si>
  <si>
    <t>Vol (m3/2.812022 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</si>
</sst>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top" wrapText="1"/>
    </xf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1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top"/>
    </xf>
    <xf numFmtId="0" fontId="3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2" fontId="2" fillId="0" borderId="0" xfId="0" applyNumberFormat="1" applyFont="1" applyFill="1"/>
    <xf numFmtId="49" fontId="2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/>
    <xf numFmtId="0" fontId="3" fillId="0" borderId="0" xfId="0" applyFont="1" applyFill="1"/>
    <xf numFmtId="0" fontId="3" fillId="0" borderId="0" xfId="0" applyFont="1" applyFill="1" applyBorder="1"/>
    <xf numFmtId="0" fontId="3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4" fillId="0" borderId="0" xfId="0" applyFont="1"/>
    <xf numFmtId="0" fontId="6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/>
    <xf numFmtId="49" fontId="2" fillId="0" borderId="0" xfId="0" applyNumberFormat="1" applyFont="1" applyFill="1" applyBorder="1" applyAlignment="1">
      <alignment horizontal="left"/>
    </xf>
    <xf numFmtId="0" fontId="0" fillId="0" borderId="2" xfId="0" applyNumberFormat="1" applyBorder="1"/>
    <xf numFmtId="0" fontId="0" fillId="0" borderId="3" xfId="0" applyBorder="1" applyAlignment="1">
      <alignment horizontal="left"/>
    </xf>
    <xf numFmtId="0" fontId="0" fillId="0" borderId="4" xfId="0" applyNumberFormat="1" applyBorder="1"/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NumberFormat="1" applyBorder="1"/>
    <xf numFmtId="2" fontId="0" fillId="0" borderId="4" xfId="0" applyNumberFormat="1" applyBorder="1"/>
    <xf numFmtId="2" fontId="0" fillId="0" borderId="5" xfId="0" applyNumberFormat="1" applyBorder="1"/>
    <xf numFmtId="2" fontId="0" fillId="0" borderId="2" xfId="0" applyNumberFormat="1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4" fillId="0" borderId="0" xfId="0" applyNumberFormat="1" applyFont="1"/>
    <xf numFmtId="0" fontId="0" fillId="3" borderId="0" xfId="0" applyFill="1" applyAlignment="1">
      <alignment wrapText="1"/>
    </xf>
    <xf numFmtId="0" fontId="8" fillId="0" borderId="0" xfId="0" applyFont="1"/>
    <xf numFmtId="0" fontId="4" fillId="4" borderId="0" xfId="0" applyFont="1" applyFill="1" applyBorder="1" applyAlignment="1">
      <alignment horizontal="left"/>
    </xf>
    <xf numFmtId="0" fontId="4" fillId="4" borderId="0" xfId="0" applyNumberFormat="1" applyFont="1" applyFill="1" applyBorder="1"/>
    <xf numFmtId="0" fontId="4" fillId="0" borderId="11" xfId="0" applyFont="1" applyFill="1" applyBorder="1"/>
    <xf numFmtId="0" fontId="4" fillId="0" borderId="12" xfId="0" applyFont="1" applyFill="1" applyBorder="1"/>
    <xf numFmtId="0" fontId="4" fillId="0" borderId="13" xfId="0" applyFont="1" applyFill="1" applyBorder="1"/>
    <xf numFmtId="0" fontId="0" fillId="0" borderId="2" xfId="0" applyBorder="1"/>
    <xf numFmtId="0" fontId="0" fillId="0" borderId="9" xfId="0" applyBorder="1"/>
    <xf numFmtId="0" fontId="4" fillId="0" borderId="14" xfId="0" applyFont="1" applyBorder="1"/>
    <xf numFmtId="0" fontId="0" fillId="0" borderId="4" xfId="0" applyBorder="1"/>
    <xf numFmtId="0" fontId="9" fillId="0" borderId="0" xfId="0" applyFont="1"/>
    <xf numFmtId="2" fontId="4" fillId="0" borderId="15" xfId="0" applyNumberFormat="1" applyFont="1" applyFill="1" applyBorder="1"/>
    <xf numFmtId="0" fontId="4" fillId="0" borderId="16" xfId="0" applyFont="1" applyFill="1" applyBorder="1"/>
    <xf numFmtId="0" fontId="4" fillId="0" borderId="17" xfId="0" applyFont="1" applyFill="1" applyBorder="1"/>
    <xf numFmtId="0" fontId="4" fillId="0" borderId="18" xfId="0" applyFont="1" applyFill="1" applyBorder="1"/>
    <xf numFmtId="0" fontId="0" fillId="0" borderId="19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1906438</xdr:colOff>
          <xdr:row>0</xdr:row>
          <xdr:rowOff>43132</xdr:rowOff>
        </xdr:from>
        <xdr:to>
          <xdr:col>19</xdr:col>
          <xdr:colOff>2984740</xdr:colOff>
          <xdr:row>0</xdr:row>
          <xdr:rowOff>353683</xdr:rowOff>
        </xdr:to>
        <xdr:sp macro="" textlink="">
          <xdr:nvSpPr>
            <xdr:cNvPr id="2049" name="Button 1" descr="CALCULAR VOLUM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Calcular volumen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Libro1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lvador" refreshedDate="43125.516557291667" createdVersion="6" refreshedVersion="6" minRefreshableVersion="3" recordCount="1151">
  <cacheSource type="worksheet">
    <worksheetSource ref="A1:U1152" sheet="1 Captura"/>
  </cacheSource>
  <cacheFields count="21">
    <cacheField name="SITIO" numFmtId="0">
      <sharedItems containsSemiMixedTypes="0" containsString="0" containsNumber="1" containsInteger="1" minValue="1" maxValue="12"/>
    </cacheField>
    <cacheField name="AREA" numFmtId="0">
      <sharedItems containsSemiMixedTypes="0" containsString="0" containsNumber="1" containsInteger="1" minValue="5" maxValue="500" count="3">
        <n v="100"/>
        <n v="5"/>
        <n v="500"/>
      </sharedItems>
    </cacheField>
    <cacheField name="CUADRANTE" numFmtId="0">
      <sharedItems containsString="0" containsBlank="1" containsNumber="1" containsInteger="1" minValue="1" maxValue="4"/>
    </cacheField>
    <cacheField name="NO. EN CAMPO" numFmtId="0">
      <sharedItems containsMixedTypes="1" containsNumber="1" containsInteger="1" minValue="1" maxValue="59"/>
    </cacheField>
    <cacheField name="CONSECUTIVO" numFmtId="0">
      <sharedItems containsSemiMixedTypes="0" containsString="0" containsNumber="1" containsInteger="1" minValue="1" maxValue="66"/>
    </cacheField>
    <cacheField name="FAMILIA" numFmtId="0">
      <sharedItems/>
    </cacheField>
    <cacheField name="NOMBRE CIENTIFICO" numFmtId="0">
      <sharedItems count="74">
        <s v="Nectandra coriacea"/>
        <s v="Eugenia axillaris "/>
        <s v="Paullinia pinnata"/>
        <s v="Serjania goniocarpa"/>
        <s v="Hiraea reclinata "/>
        <s v="Zygia cognata"/>
        <s v="Bauhinia jenningsii"/>
        <s v="Mosannona depressa"/>
        <s v="Zamia loddigesii Miq."/>
        <s v="Vitex gaumeri"/>
        <s v="Randia aculeata"/>
        <s v="Philodendron jacquinii"/>
        <s v="Myrcianthes fragrans"/>
        <s v="Coccoloba spicata"/>
        <s v="Chiococca alba (L.) Hitchc. "/>
        <s v="Guettarda combsii "/>
        <s v="Ardisia escallonioides"/>
        <s v="Dalbergia glabra"/>
        <s v="Manilkara zapota "/>
        <s v="Cascabela gaumeri"/>
        <s v="Ficus maxima"/>
        <s v="Ficus cotinifolia"/>
        <s v="Coccoloba acapulcensis"/>
        <s v="Ficus pertusa"/>
        <s v="Paullinia cururu"/>
        <s v="Metopium brownei"/>
        <s v="Cydista diversifolia"/>
        <s v="Hampea trilobata"/>
        <s v="Dendropanax arboreus"/>
        <s v="Lasiacis divaricata"/>
        <s v="Swartzia cubensis"/>
        <s v="Lonchocarpus rugosus"/>
        <s v="Cissus verticillata"/>
        <s v="Cupania dentata"/>
        <s v="Capparis indica (L.) Druce."/>
        <s v="Psychotria nervosa"/>
        <s v="Chrysophyllum mexicanum"/>
        <s v="Trichilia glabra"/>
        <s v="Pouteria campechiana"/>
        <s v="Zuelania guidonia"/>
        <s v="Thrinax radiata"/>
        <s v="Piscidia piscipula"/>
        <s v="Semialarium mexicanum"/>
        <s v="Bursera simaruba"/>
        <s v="Amphilophium paniculatum "/>
        <s v="Brosimum alicastrum "/>
        <s v="Drypetes lateriflora"/>
        <s v="Andira inermis "/>
        <s v="Protium confusum "/>
        <s v="Malvaviscus arboreus"/>
        <s v="Smilax mollis"/>
        <s v="Diospyros yucatanensis"/>
        <s v="Lonchocarpus guatemalensis"/>
        <s v="Luehea speciosa"/>
        <s v="Croton arboreus "/>
        <s v="Spondias mombin "/>
        <s v="Caesalpinia gaumeri"/>
        <s v="Bourreria pulchra "/>
        <s v="Bauhinia divaricata"/>
        <s v="Simarouba amara"/>
        <s v="Sabal yapa "/>
        <s v="Sebastiania adenophora"/>
        <s v="Allophyllus cominia"/>
        <s v="Vitis bourgaeana "/>
        <s v="Annona squamosa "/>
        <s v="Cynophalla verrucosa"/>
        <s v="Neea psychotrioides"/>
        <s v="Diphysa carthagenensis"/>
        <s v="Lysiloma latisiliquum"/>
        <s v="Ottoschulzia pallida"/>
        <s v="Ziziphus mauritiana"/>
        <s v="Amphilophium crucigerum "/>
        <s v="Casimiroa sapota "/>
        <s v="Sideroxylon salicifolium"/>
      </sharedItems>
    </cacheField>
    <cacheField name="NOMBRE COMUN" numFmtId="0">
      <sharedItems/>
    </cacheField>
    <cacheField name="PERÍMETRO  (cm)" numFmtId="0">
      <sharedItems containsString="0" containsBlank="1" containsNumber="1" minValue="15" maxValue="175"/>
    </cacheField>
    <cacheField name="DIÁMETRO (cm)" numFmtId="0">
      <sharedItems containsString="0" containsBlank="1" containsNumber="1" minValue="4.7746482927568605" maxValue="55.70423008216337"/>
    </cacheField>
    <cacheField name="ALTURA FUSTE (m)" numFmtId="0">
      <sharedItems containsString="0" containsBlank="1" containsNumber="1" minValue="1.3" maxValue="10"/>
    </cacheField>
    <cacheField name="ALTURA TOTAL (m)" numFmtId="0">
      <sharedItems containsSemiMixedTypes="0" containsString="0" containsNumber="1" minValue="0.1" maxValue="19"/>
    </cacheField>
    <cacheField name="COBERTURA" numFmtId="0">
      <sharedItems containsBlank="1"/>
    </cacheField>
    <cacheField name="FORMA FUSTE" numFmtId="0">
      <sharedItems containsBlank="1"/>
    </cacheField>
    <cacheField name="ESTADO CONDICION" numFmtId="0">
      <sharedItems containsBlank="1"/>
    </cacheField>
    <cacheField name="Bifurcado" numFmtId="0">
      <sharedItems count="2">
        <s v="un fuste"/>
        <e v="#VALUE!"/>
      </sharedItems>
    </cacheField>
    <cacheField name="RAD" numFmtId="0">
      <sharedItems containsMixedTypes="1" containsNumber="1" minValue="0.24543692606170259" maxValue="2.3038346126325147"/>
    </cacheField>
    <cacheField name="CATEGORÍA DIÁMETRO" numFmtId="0">
      <sharedItems/>
    </cacheField>
    <cacheField name="Grupo" numFmtId="0">
      <sharedItems containsString="0" containsBlank="1" containsNumber="1" containsInteger="1" minValue="3" maxValue="17"/>
    </cacheField>
    <cacheField name="Ecuación de volumen" numFmtId="0">
      <sharedItems containsBlank="1"/>
    </cacheField>
    <cacheField name="Volumen" numFmtId="0">
      <sharedItems containsString="0" containsBlank="1" containsNumber="1" minValue="3.4953068925715002E-2" maxValue="2.24489901675283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alvador" refreshedDate="43126.764488078705" createdVersion="6" refreshedVersion="6" minRefreshableVersion="3" recordCount="1152">
  <cacheSource type="worksheet">
    <worksheetSource ref="A1:V1048576" sheet="oculta"/>
  </cacheSource>
  <cacheFields count="22">
    <cacheField name="SITIO" numFmtId="0">
      <sharedItems containsString="0" containsBlank="1" containsNumber="1" containsInteger="1" minValue="1" maxValue="12"/>
    </cacheField>
    <cacheField name="AREA" numFmtId="0">
      <sharedItems containsString="0" containsBlank="1" containsNumber="1" containsInteger="1" minValue="5" maxValue="500" count="4">
        <n v="100"/>
        <n v="5"/>
        <n v="500"/>
        <m/>
      </sharedItems>
    </cacheField>
    <cacheField name="CUADRANTE" numFmtId="0">
      <sharedItems containsString="0" containsBlank="1" containsNumber="1" containsInteger="1" minValue="1" maxValue="4"/>
    </cacheField>
    <cacheField name="NO. EN CAMPO" numFmtId="0">
      <sharedItems containsBlank="1" containsMixedTypes="1" containsNumber="1" containsInteger="1" minValue="1" maxValue="59"/>
    </cacheField>
    <cacheField name="CONSECUTIVO" numFmtId="0">
      <sharedItems containsString="0" containsBlank="1" containsNumber="1" containsInteger="1" minValue="1" maxValue="66"/>
    </cacheField>
    <cacheField name="FAMILIA" numFmtId="0">
      <sharedItems containsBlank="1"/>
    </cacheField>
    <cacheField name="NOMBRE CIENTIFICO" numFmtId="0">
      <sharedItems containsBlank="1" count="75">
        <s v="Nectandra coriacea"/>
        <s v="Eugenia axillaris "/>
        <s v="Paullinia pinnata"/>
        <s v="Serjania goniocarpa"/>
        <s v="Hiraea reclinata "/>
        <s v="Zygia cognata"/>
        <s v="Bauhinia jenningsii"/>
        <s v="Mosannona depressa"/>
        <s v="Zamia loddigesii Miq."/>
        <s v="Vitex gaumeri"/>
        <s v="Randia aculeata"/>
        <s v="Philodendron jacquinii"/>
        <s v="Myrcianthes fragrans"/>
        <s v="Coccoloba spicata"/>
        <s v="Chiococca alba (L.) Hitchc. "/>
        <s v="Guettarda combsii "/>
        <s v="Ardisia escallonioides"/>
        <s v="Dalbergia glabra"/>
        <s v="Manilkara zapota "/>
        <s v="Cascabela gaumeri"/>
        <s v="Ficus maxima"/>
        <s v="Ficus cotinifolia"/>
        <s v="Coccoloba acapulcensis"/>
        <s v="Ficus pertusa"/>
        <s v="Paullinia cururu"/>
        <s v="Metopium brownei"/>
        <s v="Cydista diversifolia"/>
        <s v="Hampea trilobata"/>
        <s v="Dendropanax arboreus"/>
        <s v="Lasiacis divaricata"/>
        <s v="Swartzia cubensis"/>
        <s v="Lonchocarpus rugosus"/>
        <s v="Cissus verticillata"/>
        <s v="Cupania dentata"/>
        <s v="Capparis indica (L.) Druce."/>
        <s v="Psychotria nervosa"/>
        <s v="Chrysophyllum mexicanum"/>
        <s v="Trichilia glabra"/>
        <s v="Pouteria campechiana"/>
        <s v="Zuelania guidonia"/>
        <s v="Thrinax radiata"/>
        <s v="Piscidia piscipula"/>
        <s v="Semialarium mexicanum"/>
        <s v="Bursera simaruba"/>
        <s v="Amphilophium paniculatum "/>
        <s v="Brosimum alicastrum "/>
        <s v="Drypetes lateriflora"/>
        <s v="Andira inermis "/>
        <s v="Protium confusum "/>
        <s v="Malvaviscus arboreus"/>
        <s v="Smilax mollis"/>
        <s v="Diospyros yucatanensis"/>
        <s v="Lonchocarpus guatemalensis"/>
        <s v="Luehea speciosa"/>
        <s v="Croton arboreus "/>
        <s v="Spondias mombin "/>
        <s v="Caesalpinia gaumeri"/>
        <s v="Bourreria pulchra "/>
        <s v="Bauhinia divaricata"/>
        <s v="Simarouba amara"/>
        <s v="Sabal yapa "/>
        <s v="Sebastiania adenophora"/>
        <s v="Allophyllus cominia"/>
        <s v="Vitis bourgaeana "/>
        <s v="Annona squamosa "/>
        <s v="Cynophalla verrucosa"/>
        <s v="Neea psychotrioides"/>
        <s v="Diphysa carthagenensis"/>
        <s v="Lysiloma latisiliquum"/>
        <s v="Ottoschulzia pallida"/>
        <s v="Ziziphus mauritiana"/>
        <s v="Amphilophium crucigerum "/>
        <s v="Casimiroa sapota "/>
        <s v="Sideroxylon salicifolium"/>
        <m/>
      </sharedItems>
    </cacheField>
    <cacheField name="NOMBRE COMUN" numFmtId="0">
      <sharedItems containsBlank="1"/>
    </cacheField>
    <cacheField name="PERÍMETRO  (cm)" numFmtId="0">
      <sharedItems containsString="0" containsBlank="1" containsNumber="1" minValue="15" maxValue="175"/>
    </cacheField>
    <cacheField name="DIÁMETRO (cm)" numFmtId="0">
      <sharedItems containsString="0" containsBlank="1" containsNumber="1" minValue="4.7746482927568605" maxValue="55.70423008216337"/>
    </cacheField>
    <cacheField name="ALTURA FUSTE (m)" numFmtId="0">
      <sharedItems containsString="0" containsBlank="1" containsNumber="1" minValue="1.3" maxValue="10"/>
    </cacheField>
    <cacheField name="ALTURA TOTAL (m)" numFmtId="0">
      <sharedItems containsString="0" containsBlank="1" containsNumber="1" minValue="0.1" maxValue="19"/>
    </cacheField>
    <cacheField name="COBERTURA" numFmtId="0">
      <sharedItems containsBlank="1"/>
    </cacheField>
    <cacheField name="FORMA FUSTE" numFmtId="0">
      <sharedItems containsBlank="1"/>
    </cacheField>
    <cacheField name="ESTADO CONDICION" numFmtId="0">
      <sharedItems containsBlank="1"/>
    </cacheField>
    <cacheField name="BIFURCADO?" numFmtId="0">
      <sharedItems containsBlank="1"/>
    </cacheField>
    <cacheField name="ALT CAT" numFmtId="0">
      <sharedItems containsString="0" containsBlank="1" containsNumber="1" minValue="2.5" maxValue="20"/>
    </cacheField>
    <cacheField name="DN CAT" numFmtId="0">
      <sharedItems containsString="0" containsBlank="1" containsNumber="1" containsInteger="1" minValue="5" maxValue="55"/>
    </cacheField>
    <cacheField name="Grupo" numFmtId="0">
      <sharedItems containsString="0" containsBlank="1" containsNumber="1" containsInteger="1" minValue="3" maxValue="17"/>
    </cacheField>
    <cacheField name="Ecuación de volumen" numFmtId="0">
      <sharedItems containsBlank="1"/>
    </cacheField>
    <cacheField name="Volumen" numFmtId="0">
      <sharedItems containsString="0" containsBlank="1" containsNumber="1" minValue="3.4953068925715002E-2" maxValue="2.2448990167528335"/>
    </cacheField>
    <cacheField name="AB" numFmtId="0">
      <sharedItems containsString="0" containsBlank="1" containsNumber="1" minValue="7.8960746141466566E-3" maxValue="0.243706006609464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. Esparza" refreshedDate="43128.986285300925" createdVersion="6" refreshedVersion="6" minRefreshableVersion="3" recordCount="1151">
  <cacheSource type="worksheet">
    <worksheetSource ref="A1:S1152" sheet="Hoja1" r:id="rId2"/>
  </cacheSource>
  <cacheFields count="21">
    <cacheField name="SITIO" numFmtId="0">
      <sharedItems containsSemiMixedTypes="0" containsString="0" containsNumber="1" containsInteger="1" minValue="1" maxValue="12"/>
    </cacheField>
    <cacheField name="AREA" numFmtId="0">
      <sharedItems containsSemiMixedTypes="0" containsString="0" containsNumber="1" containsInteger="1" minValue="5" maxValue="500" count="3">
        <n v="100"/>
        <n v="5"/>
        <n v="500"/>
      </sharedItems>
    </cacheField>
    <cacheField name="CUADRANTE" numFmtId="0">
      <sharedItems containsString="0" containsBlank="1" containsNumber="1" containsInteger="1" minValue="1" maxValue="4"/>
    </cacheField>
    <cacheField name="NO. EN CAMPO" numFmtId="0">
      <sharedItems containsMixedTypes="1" containsNumber="1" containsInteger="1" minValue="1" maxValue="59"/>
    </cacheField>
    <cacheField name="CONSECUTIVO" numFmtId="0">
      <sharedItems containsSemiMixedTypes="0" containsString="0" containsNumber="1" containsInteger="1" minValue="1" maxValue="66"/>
    </cacheField>
    <cacheField name="FAMILIA" numFmtId="0">
      <sharedItems/>
    </cacheField>
    <cacheField name=" " numFmtId="0">
      <sharedItems/>
    </cacheField>
    <cacheField name="NOMBRE COMUN" numFmtId="0">
      <sharedItems/>
    </cacheField>
    <cacheField name="PERÍMETRO  (cm)" numFmtId="0">
      <sharedItems containsString="0" containsBlank="1" containsNumber="1" minValue="15" maxValue="175"/>
    </cacheField>
    <cacheField name="DIÁMETRO (cm)" numFmtId="0">
      <sharedItems containsString="0" containsBlank="1" containsNumber="1" minValue="4.7746482927568605" maxValue="55.70423008216337"/>
    </cacheField>
    <cacheField name="ALTURA FUSTE (m)" numFmtId="0">
      <sharedItems containsString="0" containsBlank="1" containsNumber="1" minValue="1.3" maxValue="10"/>
    </cacheField>
    <cacheField name="ALTURA TOTAL (m)" numFmtId="0">
      <sharedItems containsSemiMixedTypes="0" containsString="0" containsNumber="1" minValue="0.1" maxValue="19"/>
    </cacheField>
    <cacheField name="COBERTURA" numFmtId="0">
      <sharedItems containsBlank="1"/>
    </cacheField>
    <cacheField name="FORMA FUSTE" numFmtId="0">
      <sharedItems containsBlank="1"/>
    </cacheField>
    <cacheField name="ESTADO CONDICION" numFmtId="0">
      <sharedItems containsBlank="1"/>
    </cacheField>
    <cacheField name="BIFURCADO?" numFmtId="0">
      <sharedItems count="2">
        <s v="un fuste"/>
        <e v="#VALUE!"/>
      </sharedItems>
    </cacheField>
    <cacheField name="ALT CAT" numFmtId="0">
      <sharedItems containsSemiMixedTypes="0" containsString="0" containsNumber="1" minValue="2.5" maxValue="20" count="7">
        <n v="7.5"/>
        <n v="10"/>
        <n v="5"/>
        <n v="2.5"/>
        <n v="12.5"/>
        <n v="15"/>
        <n v="20"/>
      </sharedItems>
    </cacheField>
    <cacheField name="DN CAT" numFmtId="0">
      <sharedItems containsSemiMixedTypes="0" containsString="0" containsNumber="1" containsInteger="1" minValue="5" maxValue="55" count="10">
        <n v="5"/>
        <n v="10"/>
        <n v="15"/>
        <n v="25"/>
        <n v="20"/>
        <n v="30"/>
        <n v="45"/>
        <n v="35"/>
        <n v="40"/>
        <n v="55"/>
      </sharedItems>
    </cacheField>
    <cacheField name="Grupo" numFmtId="0">
      <sharedItems containsString="0" containsBlank="1" containsNumber="1" containsInteger="1" minValue="3" maxValue="17"/>
    </cacheField>
    <cacheField name="Ecuación de volumen" numFmtId="0">
      <sharedItems containsBlank="1"/>
    </cacheField>
    <cacheField name="Volumen" numFmtId="0">
      <sharedItems containsString="0" containsBlank="1" containsNumber="1" minValue="3.4953068925715002E-2" maxValue="2.24489901675283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1">
  <r>
    <n v="6"/>
    <x v="0"/>
    <n v="1"/>
    <n v="1"/>
    <n v="1"/>
    <s v="Lauraceae"/>
    <x v="0"/>
    <s v="Aguacatillo"/>
    <n v="22"/>
    <n v="7.0028174960433951"/>
    <n v="3.5"/>
    <n v="7.5"/>
    <m/>
    <s v="C"/>
    <s v="S"/>
    <x v="0"/>
    <n v="1.070997495541975"/>
    <s v="arbusto"/>
    <m/>
    <m/>
    <m/>
  </r>
  <r>
    <n v="7"/>
    <x v="0"/>
    <n v="1"/>
    <n v="1"/>
    <n v="1"/>
    <s v="Lauraceae"/>
    <x v="0"/>
    <s v="Aguacatillo"/>
    <n v="30"/>
    <n v="9.5492965855137211"/>
    <n v="6"/>
    <n v="9"/>
    <m/>
    <s v="C"/>
    <s v="S"/>
    <x v="0"/>
    <n v="0.94247779607693793"/>
    <s v="arbusto"/>
    <m/>
    <m/>
    <m/>
  </r>
  <r>
    <n v="1"/>
    <x v="1"/>
    <m/>
    <n v="1"/>
    <n v="1"/>
    <s v="Lauraceae"/>
    <x v="0"/>
    <s v="Aguacatillo"/>
    <m/>
    <m/>
    <m/>
    <n v="6"/>
    <e v="#REF!"/>
    <m/>
    <s v="S"/>
    <x v="0"/>
    <e v="#DIV/0!"/>
    <s v="herbácea"/>
    <m/>
    <m/>
    <m/>
  </r>
  <r>
    <n v="1"/>
    <x v="1"/>
    <m/>
    <n v="2"/>
    <n v="2"/>
    <s v="Lauraceae"/>
    <x v="0"/>
    <s v="Aguacatillo"/>
    <m/>
    <m/>
    <m/>
    <n v="0.7"/>
    <e v="#REF!"/>
    <m/>
    <s v="S"/>
    <x v="0"/>
    <e v="#DIV/0!"/>
    <s v="herbácea"/>
    <m/>
    <m/>
    <m/>
  </r>
  <r>
    <n v="1"/>
    <x v="1"/>
    <m/>
    <n v="3"/>
    <n v="3"/>
    <s v="Lauraceae"/>
    <x v="0"/>
    <s v="Aguacatillo"/>
    <m/>
    <m/>
    <m/>
    <n v="0.5"/>
    <e v="#REF!"/>
    <m/>
    <s v="S"/>
    <x v="0"/>
    <e v="#DIV/0!"/>
    <s v="herbácea"/>
    <m/>
    <m/>
    <m/>
  </r>
  <r>
    <n v="1"/>
    <x v="1"/>
    <m/>
    <n v="4"/>
    <n v="4"/>
    <s v="Lauraceae"/>
    <x v="0"/>
    <s v="Aguacatillo"/>
    <m/>
    <m/>
    <m/>
    <n v="0.2"/>
    <e v="#REF!"/>
    <m/>
    <s v="S"/>
    <x v="0"/>
    <e v="#DIV/0!"/>
    <s v="herbácea"/>
    <m/>
    <m/>
    <m/>
  </r>
  <r>
    <n v="1"/>
    <x v="1"/>
    <m/>
    <n v="5"/>
    <n v="5"/>
    <s v="Myrtaceae"/>
    <x v="1"/>
    <s v="Granada cimarrona"/>
    <m/>
    <m/>
    <m/>
    <n v="0.5"/>
    <e v="#REF!"/>
    <m/>
    <s v="S"/>
    <x v="0"/>
    <e v="#DIV/0!"/>
    <s v="herbácea"/>
    <m/>
    <m/>
    <m/>
  </r>
  <r>
    <n v="6"/>
    <x v="0"/>
    <n v="1"/>
    <n v="2"/>
    <n v="2"/>
    <s v="Lauraceae"/>
    <x v="0"/>
    <s v="Aguacatillo"/>
    <n v="22"/>
    <n v="7.0028174960433951"/>
    <n v="4"/>
    <n v="7.5"/>
    <m/>
    <s v="C"/>
    <s v="S"/>
    <x v="0"/>
    <n v="1.070997495541975"/>
    <s v="arbusto"/>
    <m/>
    <m/>
    <m/>
  </r>
  <r>
    <n v="10"/>
    <x v="0"/>
    <n v="1"/>
    <n v="2"/>
    <n v="2"/>
    <s v="Lauraceae"/>
    <x v="0"/>
    <s v="Aguacatillo"/>
    <n v="17.5"/>
    <n v="5.5704230082163368"/>
    <n v="5"/>
    <n v="8"/>
    <m/>
    <s v="C"/>
    <s v="S"/>
    <x v="0"/>
    <n v="1.4361566416410483"/>
    <s v="arbusto"/>
    <m/>
    <m/>
    <m/>
  </r>
  <r>
    <n v="1"/>
    <x v="1"/>
    <m/>
    <n v="6"/>
    <n v="6"/>
    <s v="Sapindaceae"/>
    <x v="2"/>
    <s v="Salatxiw"/>
    <m/>
    <m/>
    <m/>
    <n v="0.7"/>
    <e v="#REF!"/>
    <m/>
    <s v="S"/>
    <x v="0"/>
    <e v="#DIV/0!"/>
    <s v="herbácea"/>
    <m/>
    <m/>
    <m/>
  </r>
  <r>
    <n v="1"/>
    <x v="1"/>
    <m/>
    <n v="7"/>
    <n v="7"/>
    <s v="Sapindaceae"/>
    <x v="3"/>
    <s v="Bejuco tres lomos"/>
    <m/>
    <m/>
    <m/>
    <n v="1.7"/>
    <e v="#REF!"/>
    <m/>
    <s v="S"/>
    <x v="0"/>
    <e v="#DIV/0!"/>
    <s v="herbácea"/>
    <m/>
    <m/>
    <m/>
  </r>
  <r>
    <n v="1"/>
    <x v="1"/>
    <m/>
    <n v="8"/>
    <n v="8"/>
    <s v="Malpighiaceae"/>
    <x v="4"/>
    <s v="Hiraea"/>
    <m/>
    <m/>
    <m/>
    <n v="2.5"/>
    <e v="#REF!"/>
    <m/>
    <s v="S"/>
    <x v="0"/>
    <e v="#DIV/0!"/>
    <s v="herbácea"/>
    <m/>
    <m/>
    <m/>
  </r>
  <r>
    <n v="1"/>
    <x v="1"/>
    <m/>
    <n v="9"/>
    <n v="9"/>
    <s v="Leguminosae"/>
    <x v="5"/>
    <s v="Cacao che"/>
    <m/>
    <m/>
    <m/>
    <n v="2"/>
    <e v="#REF!"/>
    <m/>
    <s v="S"/>
    <x v="0"/>
    <e v="#DIV/0!"/>
    <s v="herbácea"/>
    <m/>
    <m/>
    <m/>
  </r>
  <r>
    <n v="1"/>
    <x v="1"/>
    <m/>
    <n v="10"/>
    <n v="10"/>
    <s v="Leguminosae"/>
    <x v="6"/>
    <s v="Tsimin"/>
    <m/>
    <m/>
    <m/>
    <n v="0.8"/>
    <e v="#REF!"/>
    <m/>
    <s v="S"/>
    <x v="0"/>
    <e v="#DIV/0!"/>
    <s v="herbácea"/>
    <m/>
    <m/>
    <m/>
  </r>
  <r>
    <n v="1"/>
    <x v="1"/>
    <m/>
    <n v="11"/>
    <n v="11"/>
    <s v="Leguminosae"/>
    <x v="5"/>
    <s v="Cacao che"/>
    <m/>
    <m/>
    <m/>
    <n v="0.9"/>
    <e v="#REF!"/>
    <m/>
    <s v="S"/>
    <x v="0"/>
    <e v="#DIV/0!"/>
    <s v="herbácea"/>
    <m/>
    <m/>
    <m/>
  </r>
  <r>
    <n v="3"/>
    <x v="0"/>
    <n v="1"/>
    <n v="3"/>
    <n v="3"/>
    <s v="Lauraceae"/>
    <x v="0"/>
    <s v="Aguacatillo"/>
    <n v="17.5"/>
    <n v="5.5704230082163368"/>
    <n v="3"/>
    <n v="8"/>
    <m/>
    <s v="C"/>
    <s v="S"/>
    <x v="0"/>
    <n v="1.4361566416410483"/>
    <s v="arbusto"/>
    <m/>
    <m/>
    <m/>
  </r>
  <r>
    <n v="7"/>
    <x v="0"/>
    <n v="1"/>
    <n v="3"/>
    <n v="3"/>
    <s v="Lauraceae"/>
    <x v="0"/>
    <s v="Aguacatillo"/>
    <n v="18"/>
    <n v="5.7295779513082321"/>
    <n v="5"/>
    <n v="9"/>
    <m/>
    <s v="C"/>
    <s v="S"/>
    <x v="0"/>
    <n v="1.5707963267948966"/>
    <s v="arbusto"/>
    <m/>
    <m/>
    <m/>
  </r>
  <r>
    <n v="11"/>
    <x v="0"/>
    <n v="1"/>
    <n v="3"/>
    <n v="3"/>
    <s v="Lauraceae"/>
    <x v="0"/>
    <s v="Aguacatillo"/>
    <n v="17.5"/>
    <n v="5.5704230082163368"/>
    <n v="3.3"/>
    <n v="7"/>
    <m/>
    <s v="C"/>
    <s v="S"/>
    <x v="0"/>
    <n v="1.2566370614359172"/>
    <s v="arbusto"/>
    <m/>
    <m/>
    <m/>
  </r>
  <r>
    <n v="1"/>
    <x v="1"/>
    <m/>
    <n v="12"/>
    <n v="12"/>
    <s v="Annonaceae"/>
    <x v="7"/>
    <s v="Ek elemuy"/>
    <m/>
    <m/>
    <m/>
    <n v="0.7"/>
    <e v="#REF!"/>
    <m/>
    <s v="S"/>
    <x v="0"/>
    <e v="#DIV/0!"/>
    <s v="herbácea"/>
    <m/>
    <m/>
    <m/>
  </r>
  <r>
    <n v="1"/>
    <x v="1"/>
    <m/>
    <n v="13"/>
    <n v="13"/>
    <s v="Zamiaceae"/>
    <x v="8"/>
    <s v="Palma zamia"/>
    <m/>
    <m/>
    <m/>
    <n v="0.15"/>
    <e v="#REF!"/>
    <m/>
    <s v="S"/>
    <x v="0"/>
    <e v="#DIV/0!"/>
    <s v="herbácea"/>
    <m/>
    <m/>
    <m/>
  </r>
  <r>
    <n v="1"/>
    <x v="1"/>
    <m/>
    <n v="14"/>
    <n v="14"/>
    <s v="Lauraceae"/>
    <x v="0"/>
    <s v="Aguacatillo"/>
    <m/>
    <m/>
    <m/>
    <n v="0.3"/>
    <e v="#REF!"/>
    <m/>
    <s v="S"/>
    <x v="0"/>
    <e v="#DIV/0!"/>
    <s v="herbácea"/>
    <m/>
    <m/>
    <m/>
  </r>
  <r>
    <n v="1"/>
    <x v="1"/>
    <m/>
    <n v="15"/>
    <n v="15"/>
    <s v="Lauraceae"/>
    <x v="0"/>
    <s v="Aguacatillo"/>
    <m/>
    <m/>
    <m/>
    <n v="2"/>
    <e v="#REF!"/>
    <m/>
    <s v="S"/>
    <x v="0"/>
    <e v="#DIV/0!"/>
    <s v="herbácea"/>
    <m/>
    <m/>
    <m/>
  </r>
  <r>
    <n v="1"/>
    <x v="1"/>
    <m/>
    <n v="16"/>
    <n v="16"/>
    <s v="Leguminosae"/>
    <x v="5"/>
    <s v="Cacao che"/>
    <m/>
    <m/>
    <m/>
    <n v="4"/>
    <e v="#REF!"/>
    <m/>
    <s v="S"/>
    <x v="0"/>
    <e v="#DIV/0!"/>
    <s v="herbácea"/>
    <m/>
    <m/>
    <m/>
  </r>
  <r>
    <n v="1"/>
    <x v="1"/>
    <m/>
    <n v="17"/>
    <n v="17"/>
    <s v="Leguminosae"/>
    <x v="5"/>
    <s v="Cacao che"/>
    <m/>
    <m/>
    <m/>
    <n v="4"/>
    <e v="#REF!"/>
    <m/>
    <s v="S"/>
    <x v="0"/>
    <e v="#DIV/0!"/>
    <s v="herbácea"/>
    <m/>
    <m/>
    <m/>
  </r>
  <r>
    <n v="1"/>
    <x v="1"/>
    <m/>
    <n v="18"/>
    <n v="18"/>
    <s v="Lauraceae"/>
    <x v="0"/>
    <s v="Aguacatillo"/>
    <m/>
    <m/>
    <m/>
    <n v="0.15"/>
    <e v="#REF!"/>
    <m/>
    <s v="S"/>
    <x v="0"/>
    <e v="#DIV/0!"/>
    <s v="herbácea"/>
    <m/>
    <m/>
    <m/>
  </r>
  <r>
    <n v="1"/>
    <x v="1"/>
    <m/>
    <n v="19"/>
    <n v="19"/>
    <s v="Lauraceae"/>
    <x v="0"/>
    <s v="Aguacatillo"/>
    <m/>
    <m/>
    <m/>
    <n v="0.7"/>
    <e v="#REF!"/>
    <m/>
    <s v="S"/>
    <x v="0"/>
    <e v="#DIV/0!"/>
    <s v="herbácea"/>
    <m/>
    <m/>
    <m/>
  </r>
  <r>
    <n v="1"/>
    <x v="1"/>
    <m/>
    <n v="20"/>
    <n v="20"/>
    <s v="Lauraceae"/>
    <x v="0"/>
    <s v="Aguacatillo"/>
    <m/>
    <m/>
    <m/>
    <n v="0.3"/>
    <e v="#REF!"/>
    <m/>
    <s v="S"/>
    <x v="0"/>
    <e v="#DIV/0!"/>
    <s v="herbácea"/>
    <m/>
    <m/>
    <m/>
  </r>
  <r>
    <n v="1"/>
    <x v="1"/>
    <m/>
    <n v="21"/>
    <n v="21"/>
    <s v="Lamiaceae"/>
    <x v="9"/>
    <s v="Ya'axnik"/>
    <m/>
    <m/>
    <m/>
    <n v="0.1"/>
    <e v="#REF!"/>
    <m/>
    <s v="S"/>
    <x v="0"/>
    <e v="#DIV/0!"/>
    <s v="herbácea"/>
    <m/>
    <m/>
    <m/>
  </r>
  <r>
    <n v="1"/>
    <x v="0"/>
    <n v="2"/>
    <n v="8"/>
    <n v="8"/>
    <s v="Lauraceae"/>
    <x v="0"/>
    <s v="Aguacatillo"/>
    <n v="18"/>
    <n v="5.7295779513082321"/>
    <n v="4.5"/>
    <n v="8"/>
    <m/>
    <s v="C"/>
    <s v="S"/>
    <x v="0"/>
    <n v="1.3962634015954636"/>
    <s v="arbusto"/>
    <m/>
    <m/>
    <m/>
  </r>
  <r>
    <n v="2"/>
    <x v="1"/>
    <m/>
    <n v="1"/>
    <n v="1"/>
    <s v="Lauraceae"/>
    <x v="0"/>
    <s v="Aguacatillo"/>
    <m/>
    <m/>
    <m/>
    <n v="1.7"/>
    <e v="#REF!"/>
    <m/>
    <m/>
    <x v="0"/>
    <e v="#DIV/0!"/>
    <s v="herbácea"/>
    <m/>
    <m/>
    <m/>
  </r>
  <r>
    <n v="7"/>
    <x v="0"/>
    <n v="4"/>
    <n v="9"/>
    <n v="9"/>
    <s v="Lauraceae"/>
    <x v="0"/>
    <s v="Aguacatillo"/>
    <n v="17"/>
    <n v="5.4112680651244416"/>
    <n v="3"/>
    <n v="5"/>
    <m/>
    <s v="C"/>
    <s v="S"/>
    <x v="0"/>
    <n v="0.92399783929111567"/>
    <s v="arbusto"/>
    <m/>
    <m/>
    <m/>
  </r>
  <r>
    <n v="2"/>
    <x v="1"/>
    <m/>
    <n v="2"/>
    <n v="2"/>
    <s v="Lauraceae"/>
    <x v="0"/>
    <s v="Aguacatillo"/>
    <m/>
    <m/>
    <m/>
    <n v="3.5"/>
    <e v="#REF!"/>
    <m/>
    <m/>
    <x v="0"/>
    <e v="#DIV/0!"/>
    <s v="herbácea"/>
    <m/>
    <m/>
    <m/>
  </r>
  <r>
    <n v="2"/>
    <x v="1"/>
    <m/>
    <n v="3"/>
    <n v="3"/>
    <s v="Leguminosae"/>
    <x v="5"/>
    <s v="Cacao che"/>
    <m/>
    <m/>
    <m/>
    <n v="3"/>
    <e v="#REF!"/>
    <m/>
    <m/>
    <x v="0"/>
    <e v="#DIV/0!"/>
    <s v="herbácea"/>
    <m/>
    <m/>
    <m/>
  </r>
  <r>
    <n v="2"/>
    <x v="1"/>
    <m/>
    <n v="4"/>
    <n v="4"/>
    <s v="Lauraceae"/>
    <x v="0"/>
    <s v="Aguacatillo"/>
    <m/>
    <m/>
    <m/>
    <n v="1.7"/>
    <e v="#REF!"/>
    <m/>
    <m/>
    <x v="0"/>
    <e v="#DIV/0!"/>
    <s v="herbácea"/>
    <m/>
    <m/>
    <m/>
  </r>
  <r>
    <n v="2"/>
    <x v="1"/>
    <m/>
    <n v="5"/>
    <n v="5"/>
    <s v="Leguminosae"/>
    <x v="5"/>
    <s v="Cacao che"/>
    <m/>
    <m/>
    <m/>
    <n v="3.5"/>
    <e v="#REF!"/>
    <m/>
    <m/>
    <x v="0"/>
    <e v="#DIV/0!"/>
    <s v="herbácea"/>
    <m/>
    <m/>
    <m/>
  </r>
  <r>
    <n v="2"/>
    <x v="0"/>
    <n v="3"/>
    <n v="10"/>
    <n v="10"/>
    <s v="Lauraceae"/>
    <x v="0"/>
    <s v="Aguacatillo"/>
    <n v="18.5"/>
    <n v="5.8887328944001274"/>
    <n v="4"/>
    <n v="8"/>
    <m/>
    <s v="C"/>
    <s v="S"/>
    <x v="0"/>
    <n v="1.3585265529036943"/>
    <s v="arbusto"/>
    <m/>
    <m/>
    <m/>
  </r>
  <r>
    <n v="10"/>
    <x v="0"/>
    <n v="1"/>
    <n v="10"/>
    <n v="10"/>
    <s v="Lauraceae"/>
    <x v="0"/>
    <s v="Aguacatillo"/>
    <n v="16"/>
    <n v="5.0929581789406511"/>
    <n v="3.5"/>
    <n v="7"/>
    <m/>
    <s v="C"/>
    <s v="S"/>
    <x v="0"/>
    <n v="1.3744467859455345"/>
    <s v="arbusto"/>
    <m/>
    <m/>
    <m/>
  </r>
  <r>
    <n v="2"/>
    <x v="1"/>
    <m/>
    <n v="6"/>
    <n v="6"/>
    <s v="Rubiaceae"/>
    <x v="10"/>
    <s v="Cruceta"/>
    <m/>
    <m/>
    <m/>
    <n v="1.8"/>
    <e v="#REF!"/>
    <m/>
    <m/>
    <x v="0"/>
    <e v="#DIV/0!"/>
    <s v="herbácea"/>
    <m/>
    <m/>
    <m/>
  </r>
  <r>
    <n v="2"/>
    <x v="1"/>
    <m/>
    <n v="7"/>
    <n v="7"/>
    <s v="Rubiaceae"/>
    <x v="10"/>
    <s v="Cruceta"/>
    <m/>
    <m/>
    <m/>
    <n v="1.8"/>
    <e v="#REF!"/>
    <m/>
    <m/>
    <x v="0"/>
    <e v="#DIV/0!"/>
    <s v="herbácea"/>
    <m/>
    <m/>
    <m/>
  </r>
  <r>
    <n v="2"/>
    <x v="1"/>
    <m/>
    <n v="8"/>
    <n v="8"/>
    <s v="Araceae"/>
    <x v="11"/>
    <s v="Baston de viejo "/>
    <m/>
    <m/>
    <m/>
    <n v="4"/>
    <e v="#REF!"/>
    <m/>
    <m/>
    <x v="0"/>
    <e v="#DIV/0!"/>
    <s v="herbácea"/>
    <m/>
    <m/>
    <m/>
  </r>
  <r>
    <n v="2"/>
    <x v="1"/>
    <m/>
    <n v="9"/>
    <n v="9"/>
    <s v="Leguminosae"/>
    <x v="5"/>
    <s v="Cacao che"/>
    <m/>
    <m/>
    <m/>
    <n v="1"/>
    <e v="#REF!"/>
    <m/>
    <m/>
    <x v="0"/>
    <e v="#DIV/0!"/>
    <s v="herbácea"/>
    <m/>
    <m/>
    <m/>
  </r>
  <r>
    <n v="5"/>
    <x v="0"/>
    <n v="1"/>
    <n v="10"/>
    <n v="11"/>
    <s v="Lauraceae"/>
    <x v="0"/>
    <s v="Aguacatillo"/>
    <n v="17"/>
    <n v="5.4112680651244416"/>
    <n v="4"/>
    <n v="8"/>
    <m/>
    <s v="C"/>
    <s v="S"/>
    <x v="0"/>
    <n v="1.478396542865785"/>
    <s v="arbusto"/>
    <m/>
    <m/>
    <m/>
  </r>
  <r>
    <n v="2"/>
    <x v="1"/>
    <m/>
    <n v="10"/>
    <n v="10"/>
    <s v="Rubiaceae"/>
    <x v="10"/>
    <s v="Cruceta"/>
    <m/>
    <m/>
    <m/>
    <n v="2.2999999999999998"/>
    <e v="#REF!"/>
    <m/>
    <m/>
    <x v="0"/>
    <e v="#DIV/0!"/>
    <s v="herbácea"/>
    <m/>
    <m/>
    <m/>
  </r>
  <r>
    <n v="2"/>
    <x v="1"/>
    <m/>
    <n v="11"/>
    <n v="11"/>
    <s v="Leguminosae"/>
    <x v="5"/>
    <s v="Cacao che"/>
    <m/>
    <m/>
    <m/>
    <n v="1"/>
    <e v="#REF!"/>
    <m/>
    <m/>
    <x v="0"/>
    <e v="#DIV/0!"/>
    <s v="herbácea"/>
    <m/>
    <m/>
    <m/>
  </r>
  <r>
    <n v="2"/>
    <x v="1"/>
    <m/>
    <n v="12"/>
    <n v="12"/>
    <s v="Sapindaceae"/>
    <x v="2"/>
    <s v="Salatxiw"/>
    <m/>
    <m/>
    <m/>
    <n v="1.7"/>
    <e v="#REF!"/>
    <m/>
    <m/>
    <x v="0"/>
    <e v="#DIV/0!"/>
    <s v="herbácea"/>
    <m/>
    <m/>
    <m/>
  </r>
  <r>
    <n v="2"/>
    <x v="1"/>
    <m/>
    <n v="13"/>
    <n v="13"/>
    <s v="Sapindaceae"/>
    <x v="2"/>
    <s v="Salatxiw"/>
    <m/>
    <m/>
    <m/>
    <n v="7"/>
    <e v="#REF!"/>
    <m/>
    <m/>
    <x v="0"/>
    <e v="#DIV/0!"/>
    <s v="herbácea"/>
    <m/>
    <m/>
    <m/>
  </r>
  <r>
    <n v="2"/>
    <x v="0"/>
    <n v="4"/>
    <n v="12"/>
    <n v="12"/>
    <s v="Lauraceae"/>
    <x v="0"/>
    <s v="Aguacatillo"/>
    <n v="21"/>
    <n v="6.6845076098596046"/>
    <n v="4"/>
    <n v="9"/>
    <m/>
    <s v="C"/>
    <s v="S"/>
    <x v="0"/>
    <n v="1.3463968515384828"/>
    <s v="arbusto"/>
    <m/>
    <m/>
    <m/>
  </r>
  <r>
    <n v="2"/>
    <x v="1"/>
    <m/>
    <n v="14"/>
    <n v="14"/>
    <s v="Myrtaceae"/>
    <x v="12"/>
    <s v="Guayabillo"/>
    <m/>
    <m/>
    <m/>
    <n v="0.6"/>
    <e v="#REF!"/>
    <m/>
    <m/>
    <x v="0"/>
    <e v="#DIV/0!"/>
    <s v="herbácea"/>
    <m/>
    <m/>
    <m/>
  </r>
  <r>
    <n v="2"/>
    <x v="1"/>
    <m/>
    <n v="15"/>
    <n v="15"/>
    <s v="Myrtaceae"/>
    <x v="12"/>
    <s v="Guayabillo"/>
    <m/>
    <m/>
    <m/>
    <n v="0.4"/>
    <e v="#REF!"/>
    <m/>
    <m/>
    <x v="0"/>
    <e v="#DIV/0!"/>
    <s v="herbácea"/>
    <m/>
    <m/>
    <m/>
  </r>
  <r>
    <n v="2"/>
    <x v="1"/>
    <m/>
    <n v="16"/>
    <n v="16"/>
    <s v="Myrtaceae"/>
    <x v="12"/>
    <s v="Guayabillo"/>
    <m/>
    <m/>
    <m/>
    <n v="0.15"/>
    <e v="#REF!"/>
    <m/>
    <m/>
    <x v="0"/>
    <e v="#DIV/0!"/>
    <s v="herbácea"/>
    <m/>
    <m/>
    <m/>
  </r>
  <r>
    <n v="2"/>
    <x v="1"/>
    <m/>
    <n v="17"/>
    <n v="17"/>
    <s v="Myrtaceae"/>
    <x v="12"/>
    <s v="Guayabillo"/>
    <m/>
    <m/>
    <m/>
    <n v="0.4"/>
    <e v="#REF!"/>
    <m/>
    <m/>
    <x v="0"/>
    <e v="#DIV/0!"/>
    <s v="herbácea"/>
    <m/>
    <m/>
    <m/>
  </r>
  <r>
    <n v="2"/>
    <x v="1"/>
    <m/>
    <n v="18"/>
    <n v="18"/>
    <s v="Polygonaceae"/>
    <x v="13"/>
    <s v="Boob"/>
    <m/>
    <m/>
    <m/>
    <n v="0.6"/>
    <e v="#REF!"/>
    <m/>
    <m/>
    <x v="0"/>
    <e v="#DIV/0!"/>
    <s v="herbácea"/>
    <m/>
    <m/>
    <m/>
  </r>
  <r>
    <n v="2"/>
    <x v="1"/>
    <m/>
    <n v="19"/>
    <n v="19"/>
    <s v="Lauraceae"/>
    <x v="0"/>
    <s v="Aguacatillo"/>
    <m/>
    <m/>
    <m/>
    <n v="0.6"/>
    <e v="#REF!"/>
    <m/>
    <m/>
    <x v="0"/>
    <e v="#DIV/0!"/>
    <s v="herbácea"/>
    <m/>
    <m/>
    <m/>
  </r>
  <r>
    <n v="1"/>
    <x v="0"/>
    <n v="3"/>
    <n v="14"/>
    <n v="14"/>
    <s v="Lauraceae"/>
    <x v="0"/>
    <s v="Aguacatillo"/>
    <n v="18"/>
    <n v="5.7295779513082321"/>
    <n v="1.5"/>
    <n v="5"/>
    <m/>
    <s v="C"/>
    <s v="S"/>
    <x v="0"/>
    <n v="0.87266462599716477"/>
    <s v="arbusto"/>
    <m/>
    <m/>
    <m/>
  </r>
  <r>
    <n v="2"/>
    <x v="1"/>
    <m/>
    <n v="20"/>
    <n v="20"/>
    <s v="Lauraceae"/>
    <x v="0"/>
    <s v="Aguacatillo"/>
    <m/>
    <m/>
    <m/>
    <n v="0.4"/>
    <e v="#REF!"/>
    <m/>
    <m/>
    <x v="0"/>
    <e v="#DIV/0!"/>
    <s v="herbácea"/>
    <m/>
    <m/>
    <m/>
  </r>
  <r>
    <n v="2"/>
    <x v="1"/>
    <m/>
    <n v="21"/>
    <n v="21"/>
    <s v="Lauraceae"/>
    <x v="0"/>
    <s v="Aguacatillo"/>
    <m/>
    <m/>
    <m/>
    <n v="0.3"/>
    <e v="#REF!"/>
    <m/>
    <m/>
    <x v="0"/>
    <e v="#DIV/0!"/>
    <s v="herbácea"/>
    <m/>
    <m/>
    <m/>
  </r>
  <r>
    <n v="2"/>
    <x v="1"/>
    <m/>
    <n v="22"/>
    <n v="22"/>
    <s v="Rubiaceae"/>
    <x v="14"/>
    <s v="ka’an chak che"/>
    <m/>
    <m/>
    <m/>
    <n v="13"/>
    <e v="#REF!"/>
    <m/>
    <m/>
    <x v="0"/>
    <e v="#DIV/0!"/>
    <s v="herbácea"/>
    <m/>
    <m/>
    <m/>
  </r>
  <r>
    <n v="3"/>
    <x v="1"/>
    <m/>
    <n v="1"/>
    <n v="1"/>
    <s v="Lauraceae"/>
    <x v="0"/>
    <s v="Aguacatillo"/>
    <m/>
    <m/>
    <m/>
    <n v="8"/>
    <e v="#REF!"/>
    <m/>
    <s v="S"/>
    <x v="0"/>
    <e v="#DIV/0!"/>
    <s v="herbácea"/>
    <m/>
    <m/>
    <m/>
  </r>
  <r>
    <n v="10"/>
    <x v="0"/>
    <n v="1"/>
    <n v="15"/>
    <n v="15"/>
    <s v="Lauraceae"/>
    <x v="0"/>
    <s v="Aguacatillo"/>
    <n v="26.5"/>
    <n v="8.4352119838704525"/>
    <n v="6"/>
    <n v="12"/>
    <m/>
    <s v="C"/>
    <s v="S"/>
    <x v="0"/>
    <n v="1.4226079940783969"/>
    <s v="arbusto"/>
    <m/>
    <m/>
    <m/>
  </r>
  <r>
    <n v="3"/>
    <x v="1"/>
    <m/>
    <n v="2"/>
    <n v="2"/>
    <s v="Lauraceae"/>
    <x v="0"/>
    <s v="Aguacatillo"/>
    <m/>
    <m/>
    <m/>
    <n v="8"/>
    <e v="#REF!"/>
    <m/>
    <s v="S"/>
    <x v="0"/>
    <e v="#DIV/0!"/>
    <s v="herbácea"/>
    <m/>
    <m/>
    <m/>
  </r>
  <r>
    <n v="3"/>
    <x v="1"/>
    <m/>
    <n v="3"/>
    <n v="3"/>
    <s v="Annonaceae"/>
    <x v="7"/>
    <s v="Ek elemuy"/>
    <m/>
    <m/>
    <m/>
    <n v="3.5"/>
    <e v="#REF!"/>
    <m/>
    <s v="S"/>
    <x v="0"/>
    <e v="#DIV/0!"/>
    <s v="herbácea"/>
    <m/>
    <m/>
    <m/>
  </r>
  <r>
    <n v="3"/>
    <x v="1"/>
    <m/>
    <n v="4"/>
    <n v="4"/>
    <s v="Rubiaceae"/>
    <x v="15"/>
    <s v="Tasta'ab"/>
    <m/>
    <m/>
    <m/>
    <n v="3.5"/>
    <e v="#REF!"/>
    <m/>
    <s v="S"/>
    <x v="0"/>
    <e v="#DIV/0!"/>
    <s v="herbácea"/>
    <m/>
    <m/>
    <m/>
  </r>
  <r>
    <n v="3"/>
    <x v="0"/>
    <n v="4"/>
    <n v="16"/>
    <n v="16"/>
    <s v="Lauraceae"/>
    <x v="0"/>
    <s v="Aguacatillo"/>
    <n v="17.5"/>
    <n v="5.5704230082163368"/>
    <n v="3.5"/>
    <n v="9"/>
    <m/>
    <s v="C"/>
    <s v="S"/>
    <x v="0"/>
    <n v="1.6156762218461793"/>
    <s v="arbusto"/>
    <m/>
    <m/>
    <m/>
  </r>
  <r>
    <n v="3"/>
    <x v="1"/>
    <m/>
    <n v="5"/>
    <n v="5"/>
    <s v="Lauraceae"/>
    <x v="0"/>
    <s v="Aguacatillo"/>
    <m/>
    <m/>
    <m/>
    <n v="5"/>
    <e v="#REF!"/>
    <m/>
    <s v="S"/>
    <x v="0"/>
    <e v="#DIV/0!"/>
    <s v="herbácea"/>
    <m/>
    <m/>
    <m/>
  </r>
  <r>
    <n v="3"/>
    <x v="1"/>
    <m/>
    <n v="6"/>
    <n v="6"/>
    <s v="Lauraceae"/>
    <x v="0"/>
    <s v="Aguacatillo"/>
    <m/>
    <m/>
    <m/>
    <n v="4"/>
    <e v="#REF!"/>
    <m/>
    <s v="S"/>
    <x v="0"/>
    <e v="#DIV/0!"/>
    <s v="herbácea"/>
    <m/>
    <m/>
    <m/>
  </r>
  <r>
    <n v="3"/>
    <x v="1"/>
    <m/>
    <n v="7"/>
    <n v="7"/>
    <s v="Myrtaceae"/>
    <x v="1"/>
    <s v="Granada cimarrona"/>
    <m/>
    <m/>
    <m/>
    <n v="0.6"/>
    <e v="#REF!"/>
    <m/>
    <s v="S"/>
    <x v="0"/>
    <e v="#DIV/0!"/>
    <s v="herbácea"/>
    <m/>
    <m/>
    <m/>
  </r>
  <r>
    <n v="3"/>
    <x v="1"/>
    <m/>
    <n v="8"/>
    <n v="8"/>
    <s v="Primulaceae"/>
    <x v="16"/>
    <s v="Pimienta de monte"/>
    <m/>
    <m/>
    <m/>
    <n v="0.15"/>
    <e v="#REF!"/>
    <m/>
    <s v="S"/>
    <x v="0"/>
    <e v="#DIV/0!"/>
    <s v="herbácea"/>
    <m/>
    <m/>
    <m/>
  </r>
  <r>
    <n v="3"/>
    <x v="1"/>
    <m/>
    <n v="9"/>
    <n v="9"/>
    <s v="Myrtaceae"/>
    <x v="12"/>
    <s v="Guayabillo"/>
    <m/>
    <m/>
    <m/>
    <n v="0.8"/>
    <e v="#REF!"/>
    <m/>
    <s v="S"/>
    <x v="0"/>
    <e v="#DIV/0!"/>
    <s v="herbácea"/>
    <m/>
    <m/>
    <m/>
  </r>
  <r>
    <n v="3"/>
    <x v="1"/>
    <m/>
    <n v="10"/>
    <n v="10"/>
    <s v="Lauraceae"/>
    <x v="0"/>
    <s v="Aguacatillo"/>
    <m/>
    <m/>
    <m/>
    <n v="0.2"/>
    <e v="#REF!"/>
    <m/>
    <s v="S"/>
    <x v="0"/>
    <e v="#DIV/0!"/>
    <s v="herbácea"/>
    <m/>
    <m/>
    <m/>
  </r>
  <r>
    <n v="1"/>
    <x v="0"/>
    <n v="3"/>
    <n v="19"/>
    <n v="19"/>
    <s v="Lauraceae"/>
    <x v="0"/>
    <s v="Aguacatillo"/>
    <n v="24"/>
    <n v="7.6394372684109761"/>
    <n v="6"/>
    <n v="10"/>
    <m/>
    <s v="C"/>
    <s v="S"/>
    <x v="0"/>
    <n v="1.3089969389957472"/>
    <s v="arbusto"/>
    <m/>
    <m/>
    <m/>
  </r>
  <r>
    <n v="9"/>
    <x v="0"/>
    <n v="2"/>
    <n v="19"/>
    <n v="19"/>
    <s v="Lauraceae"/>
    <x v="0"/>
    <s v="Aguacatillo"/>
    <n v="20.5"/>
    <n v="6.5253526667677093"/>
    <n v="3.5"/>
    <n v="8"/>
    <m/>
    <s v="C"/>
    <s v="S"/>
    <x v="0"/>
    <n v="1.2259873770106509"/>
    <s v="arbusto"/>
    <m/>
    <m/>
    <m/>
  </r>
  <r>
    <n v="3"/>
    <x v="1"/>
    <m/>
    <n v="11"/>
    <n v="11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2"/>
    <n v="12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3"/>
    <n v="13"/>
    <s v="Lauraceae"/>
    <x v="0"/>
    <s v="Aguacatillo"/>
    <m/>
    <m/>
    <m/>
    <n v="0.2"/>
    <e v="#REF!"/>
    <m/>
    <s v="S"/>
    <x v="0"/>
    <e v="#DIV/0!"/>
    <s v="herbácea"/>
    <m/>
    <m/>
    <m/>
  </r>
  <r>
    <n v="4"/>
    <x v="2"/>
    <n v="2"/>
    <n v="19"/>
    <n v="20"/>
    <s v="Lauraceae"/>
    <x v="0"/>
    <s v="Aguacatillo"/>
    <n v="31.5"/>
    <n v="10.026761414789407"/>
    <n v="6"/>
    <n v="9"/>
    <m/>
    <s v="C"/>
    <s v="S"/>
    <x v="0"/>
    <n v="0.89759790102565518"/>
    <s v="árbol"/>
    <n v="9"/>
    <s v="Vol = Exp(-9.45811109+1.82568462*LN(DIAMETRO)+1.00281859*LN(ALTURATOTAL))"/>
    <n v="4.7547789333731237E-2"/>
  </r>
  <r>
    <n v="8"/>
    <x v="2"/>
    <n v="2"/>
    <n v="18"/>
    <n v="20"/>
    <s v="Lauraceae"/>
    <x v="0"/>
    <s v="Aguacatillo"/>
    <n v="34"/>
    <n v="10.822536130248883"/>
    <n v="4"/>
    <n v="12"/>
    <m/>
    <s v="C"/>
    <s v="S"/>
    <x v="0"/>
    <n v="1.1087974071493387"/>
    <s v="árbol"/>
    <n v="9"/>
    <s v="Vol = Exp(-9.45811109+1.82568462*LN(DIAMETRO)+1.00281859*LN(ALTURATOTAL))"/>
    <n v="7.2941751612467562E-2"/>
  </r>
  <r>
    <n v="12"/>
    <x v="0"/>
    <n v="2"/>
    <n v="15"/>
    <n v="20"/>
    <s v="Lauraceae"/>
    <x v="0"/>
    <s v="Aguacatillo"/>
    <n v="17.5"/>
    <n v="5.5704230082163368"/>
    <n v="6"/>
    <n v="9"/>
    <m/>
    <s v="C"/>
    <s v="S"/>
    <x v="0"/>
    <n v="1.6156762218461793"/>
    <s v="arbusto"/>
    <m/>
    <m/>
    <m/>
  </r>
  <r>
    <n v="3"/>
    <x v="1"/>
    <m/>
    <n v="14"/>
    <n v="14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5"/>
    <n v="15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16"/>
    <n v="16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17"/>
    <n v="17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18"/>
    <n v="18"/>
    <s v="Lauraceae"/>
    <x v="0"/>
    <s v="Aguacatillo"/>
    <m/>
    <m/>
    <m/>
    <n v="0.15"/>
    <e v="#REF!"/>
    <m/>
    <s v="S"/>
    <x v="0"/>
    <e v="#DIV/0!"/>
    <s v="herbácea"/>
    <m/>
    <m/>
    <m/>
  </r>
  <r>
    <n v="6"/>
    <x v="0"/>
    <n v="3"/>
    <n v="19"/>
    <n v="22"/>
    <s v="Lauraceae"/>
    <x v="0"/>
    <s v="Aguacatillo"/>
    <n v="23.5"/>
    <n v="7.4802823253190809"/>
    <n v="3"/>
    <n v="8"/>
    <m/>
    <s v="C"/>
    <s v="S"/>
    <x v="0"/>
    <n v="1.0694783501582275"/>
    <s v="arbusto"/>
    <m/>
    <m/>
    <m/>
  </r>
  <r>
    <n v="3"/>
    <x v="1"/>
    <m/>
    <n v="19"/>
    <n v="19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20"/>
    <n v="20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21"/>
    <n v="21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22"/>
    <n v="22"/>
    <s v="Lauraceae"/>
    <x v="0"/>
    <s v="Aguacatillo"/>
    <m/>
    <m/>
    <m/>
    <n v="0.2"/>
    <e v="#REF!"/>
    <m/>
    <s v="S"/>
    <x v="0"/>
    <e v="#DIV/0!"/>
    <s v="herbácea"/>
    <m/>
    <m/>
    <m/>
  </r>
  <r>
    <n v="3"/>
    <x v="1"/>
    <m/>
    <n v="23"/>
    <n v="23"/>
    <s v="Lauraceae"/>
    <x v="0"/>
    <s v="Aguacatillo"/>
    <m/>
    <m/>
    <m/>
    <n v="0.2"/>
    <e v="#REF!"/>
    <m/>
    <s v="S"/>
    <x v="0"/>
    <e v="#DIV/0!"/>
    <s v="herbácea"/>
    <m/>
    <m/>
    <m/>
  </r>
  <r>
    <n v="1"/>
    <x v="0"/>
    <n v="4"/>
    <n v="26"/>
    <n v="26"/>
    <s v="Lauraceae"/>
    <x v="0"/>
    <s v="Aguacatillo"/>
    <n v="22"/>
    <n v="7.0028174960433951"/>
    <n v="7"/>
    <n v="10"/>
    <m/>
    <s v="C"/>
    <s v="S"/>
    <x v="0"/>
    <n v="1.4279966607226333"/>
    <s v="arbusto"/>
    <m/>
    <m/>
    <m/>
  </r>
  <r>
    <n v="6"/>
    <x v="0"/>
    <n v="4"/>
    <n v="23"/>
    <n v="26"/>
    <s v="Lauraceae"/>
    <x v="0"/>
    <s v="Aguacatillo"/>
    <n v="19"/>
    <n v="6.0478878374920226"/>
    <n v="4"/>
    <n v="10"/>
    <m/>
    <s v="C"/>
    <s v="S"/>
    <x v="0"/>
    <n v="1.6534698176788385"/>
    <s v="arbusto"/>
    <m/>
    <m/>
    <m/>
  </r>
  <r>
    <n v="3"/>
    <x v="1"/>
    <m/>
    <n v="24"/>
    <n v="24"/>
    <s v="Lauraceae"/>
    <x v="0"/>
    <s v="Aguacatillo"/>
    <m/>
    <m/>
    <m/>
    <n v="0.15"/>
    <e v="#REF!"/>
    <m/>
    <s v="S"/>
    <x v="0"/>
    <e v="#DIV/0!"/>
    <s v="herbácea"/>
    <m/>
    <m/>
    <m/>
  </r>
  <r>
    <n v="3"/>
    <x v="1"/>
    <m/>
    <n v="25"/>
    <n v="25"/>
    <s v="Lauraceae"/>
    <x v="0"/>
    <s v="Aguacatillo"/>
    <m/>
    <m/>
    <m/>
    <n v="0.15"/>
    <e v="#REF!"/>
    <m/>
    <s v="S"/>
    <x v="0"/>
    <e v="#DIV/0!"/>
    <s v="herbácea"/>
    <m/>
    <m/>
    <m/>
  </r>
  <r>
    <n v="6"/>
    <x v="0"/>
    <n v="4"/>
    <n v="24"/>
    <n v="27"/>
    <s v="Lauraceae"/>
    <x v="0"/>
    <s v="Aguacatillo"/>
    <n v="17.5"/>
    <n v="5.5704230082163368"/>
    <n v="4.5"/>
    <n v="9"/>
    <m/>
    <s v="C"/>
    <s v="S"/>
    <x v="0"/>
    <n v="1.6156762218461793"/>
    <s v="arbusto"/>
    <m/>
    <m/>
    <m/>
  </r>
  <r>
    <n v="3"/>
    <x v="1"/>
    <m/>
    <n v="26"/>
    <n v="26"/>
    <s v="Lauraceae"/>
    <x v="0"/>
    <s v="Aguacatillo"/>
    <m/>
    <m/>
    <m/>
    <n v="0.15"/>
    <e v="#REF!"/>
    <m/>
    <s v="S"/>
    <x v="0"/>
    <e v="#DIV/0!"/>
    <s v="herbácea"/>
    <m/>
    <m/>
    <m/>
  </r>
  <r>
    <n v="6"/>
    <x v="0"/>
    <n v="4"/>
    <n v="26"/>
    <n v="29"/>
    <s v="Lauraceae"/>
    <x v="0"/>
    <s v="Aguacatillo"/>
    <n v="20.5"/>
    <n v="6.5253526667677093"/>
    <n v="5"/>
    <n v="9"/>
    <m/>
    <s v="C"/>
    <s v="S"/>
    <x v="0"/>
    <n v="1.3792357991369824"/>
    <s v="arbusto"/>
    <m/>
    <m/>
    <m/>
  </r>
  <r>
    <n v="10"/>
    <x v="0"/>
    <n v="3"/>
    <n v="33"/>
    <n v="33"/>
    <s v="Lauraceae"/>
    <x v="0"/>
    <s v="Aguacatillo"/>
    <n v="19"/>
    <n v="6.0478878374920226"/>
    <n v="5"/>
    <n v="11"/>
    <m/>
    <s v="C"/>
    <s v="S"/>
    <x v="0"/>
    <n v="1.8188167994467224"/>
    <s v="arbusto"/>
    <m/>
    <m/>
    <m/>
  </r>
  <r>
    <n v="11"/>
    <x v="0"/>
    <n v="3"/>
    <n v="35"/>
    <n v="35"/>
    <s v="Lauraceae"/>
    <x v="0"/>
    <s v="Aguacatillo"/>
    <n v="19.5"/>
    <n v="6.2070427805839179"/>
    <n v="3"/>
    <n v="8"/>
    <m/>
    <s v="C"/>
    <s v="S"/>
    <x v="0"/>
    <n v="1.2888585245496589"/>
    <s v="arbusto"/>
    <m/>
    <m/>
    <m/>
  </r>
  <r>
    <n v="12"/>
    <x v="0"/>
    <n v="4"/>
    <n v="25"/>
    <n v="37"/>
    <s v="Lauraceae"/>
    <x v="0"/>
    <s v="Aguacatillo"/>
    <n v="16.5"/>
    <n v="5.2521131220325463"/>
    <n v="2"/>
    <n v="7"/>
    <m/>
    <s v="C"/>
    <s v="S"/>
    <x v="0"/>
    <n v="1.3327968833411243"/>
    <s v="arbusto"/>
    <m/>
    <m/>
    <m/>
  </r>
  <r>
    <n v="11"/>
    <x v="0"/>
    <n v="4"/>
    <n v="38"/>
    <n v="38"/>
    <s v="Lauraceae"/>
    <x v="0"/>
    <s v="Aguacatillo"/>
    <n v="20.5"/>
    <n v="6.5253526667677093"/>
    <n v="7"/>
    <n v="10"/>
    <m/>
    <s v="C"/>
    <s v="S"/>
    <x v="0"/>
    <n v="1.5324842212633136"/>
    <s v="arbusto"/>
    <m/>
    <m/>
    <m/>
  </r>
  <r>
    <n v="10"/>
    <x v="0"/>
    <n v="4"/>
    <n v="39"/>
    <n v="39"/>
    <s v="Lauraceae"/>
    <x v="0"/>
    <s v="Aguacatillo"/>
    <n v="26.5"/>
    <n v="8.4352119838704525"/>
    <n v="2.5"/>
    <n v="11"/>
    <m/>
    <s v="C"/>
    <s v="S"/>
    <x v="0"/>
    <n v="1.3040573279051972"/>
    <s v="arbusto"/>
    <m/>
    <m/>
    <m/>
  </r>
  <r>
    <n v="7"/>
    <x v="2"/>
    <n v="4"/>
    <n v="40"/>
    <n v="43"/>
    <s v="Lauraceae"/>
    <x v="0"/>
    <s v="Aguacatillo"/>
    <n v="33"/>
    <n v="10.504226244065093"/>
    <n v="4"/>
    <n v="10"/>
    <m/>
    <s v="C"/>
    <s v="S"/>
    <x v="0"/>
    <n v="0.95199777381508877"/>
    <s v="árbol"/>
    <n v="9"/>
    <s v="Vol = Exp(-9.45811109+1.82568462*LN(DIAMETRO)+1.00281859*LN(ALTURATOTAL))"/>
    <n v="5.753098414258366E-2"/>
  </r>
  <r>
    <n v="9"/>
    <x v="0"/>
    <n v="4"/>
    <n v="43"/>
    <n v="43"/>
    <s v="Lauraceae"/>
    <x v="0"/>
    <s v="Aguacatillo"/>
    <n v="18"/>
    <n v="5.7295779513082321"/>
    <n v="4.5"/>
    <n v="9"/>
    <m/>
    <s v="C"/>
    <s v="S"/>
    <x v="0"/>
    <n v="1.5707963267948966"/>
    <s v="arbusto"/>
    <m/>
    <m/>
    <m/>
  </r>
  <r>
    <n v="7"/>
    <x v="2"/>
    <n v="4"/>
    <n v="41"/>
    <n v="44"/>
    <s v="Lauraceae"/>
    <x v="0"/>
    <s v="Aguacatillo"/>
    <n v="33"/>
    <n v="10.504226244065093"/>
    <n v="4"/>
    <n v="14"/>
    <m/>
    <s v="C"/>
    <s v="S"/>
    <x v="0"/>
    <n v="1.3327968833411243"/>
    <s v="árbol"/>
    <n v="9"/>
    <s v="Vol = Exp(-9.45811109+1.82568462*LN(DIAMETRO)+1.00281859*LN(ALTURATOTAL))"/>
    <n v="8.0619799541885084E-2"/>
  </r>
  <r>
    <n v="9"/>
    <x v="0"/>
    <n v="4"/>
    <n v="44"/>
    <n v="44"/>
    <s v="Lauraceae"/>
    <x v="0"/>
    <s v="Aguacatillo"/>
    <n v="18.5"/>
    <n v="5.8887328944001274"/>
    <n v="5"/>
    <n v="5"/>
    <m/>
    <s v="C"/>
    <s v="S"/>
    <x v="0"/>
    <n v="0.84907909556480898"/>
    <s v="arbusto"/>
    <m/>
    <m/>
    <m/>
  </r>
  <r>
    <n v="12"/>
    <x v="0"/>
    <n v="4"/>
    <n v="34"/>
    <n v="51"/>
    <s v="Lauraceae"/>
    <x v="0"/>
    <s v="Aguacatillo"/>
    <n v="18"/>
    <n v="5.7295779513082321"/>
    <n v="3"/>
    <n v="9"/>
    <m/>
    <s v="C"/>
    <s v="S"/>
    <x v="0"/>
    <n v="1.5707963267948966"/>
    <s v="arbusto"/>
    <m/>
    <m/>
    <m/>
  </r>
  <r>
    <n v="3"/>
    <x v="1"/>
    <m/>
    <n v="27"/>
    <n v="27"/>
    <s v="Lauraceae"/>
    <x v="0"/>
    <s v="Aguacatillo"/>
    <m/>
    <m/>
    <m/>
    <n v="0.15"/>
    <e v="#REF!"/>
    <m/>
    <s v="S"/>
    <x v="0"/>
    <e v="#DIV/0!"/>
    <s v="herbácea"/>
    <m/>
    <m/>
    <m/>
  </r>
  <r>
    <n v="4"/>
    <x v="0"/>
    <n v="1"/>
    <n v="7"/>
    <n v="8"/>
    <s v="Leguminosae"/>
    <x v="17"/>
    <s v="Ahmuk "/>
    <n v="16.5"/>
    <n v="5.2521131220325463"/>
    <n v="1.8"/>
    <n v="10"/>
    <m/>
    <s v="C"/>
    <s v="S"/>
    <x v="0"/>
    <n v="1.9039955476301775"/>
    <s v="arbusto"/>
    <m/>
    <m/>
    <m/>
  </r>
  <r>
    <n v="3"/>
    <x v="1"/>
    <m/>
    <n v="28"/>
    <n v="28"/>
    <s v="Sapindaceae"/>
    <x v="3"/>
    <s v="Bejuco tres lomos"/>
    <m/>
    <m/>
    <m/>
    <n v="4"/>
    <e v="#REF!"/>
    <m/>
    <s v="S"/>
    <x v="0"/>
    <e v="#DIV/0!"/>
    <s v="herbácea"/>
    <m/>
    <m/>
    <m/>
  </r>
  <r>
    <n v="3"/>
    <x v="1"/>
    <m/>
    <n v="29"/>
    <n v="29"/>
    <s v="Sapotaceae"/>
    <x v="18"/>
    <s v="Chicozapote"/>
    <m/>
    <m/>
    <m/>
    <n v="1.7"/>
    <e v="#REF!"/>
    <m/>
    <s v="S"/>
    <x v="0"/>
    <e v="#DIV/0!"/>
    <s v="herbácea"/>
    <m/>
    <m/>
    <m/>
  </r>
  <r>
    <n v="1"/>
    <x v="0"/>
    <n v="1"/>
    <n v="6"/>
    <n v="6"/>
    <s v="Apocynaceae"/>
    <x v="19"/>
    <s v="Akits"/>
    <n v="23"/>
    <n v="7.3211273822271856"/>
    <n v="5"/>
    <n v="10"/>
    <m/>
    <s v="C"/>
    <s v="S"/>
    <x v="0"/>
    <n v="1.3659098493868667"/>
    <s v="arbusto"/>
    <m/>
    <m/>
    <m/>
  </r>
  <r>
    <n v="7"/>
    <x v="2"/>
    <n v="2"/>
    <n v="9"/>
    <n v="12"/>
    <s v="Apocynaceae"/>
    <x v="19"/>
    <s v="Akits"/>
    <n v="37"/>
    <n v="11.777465788800255"/>
    <n v="3"/>
    <n v="10"/>
    <m/>
    <s v="C"/>
    <s v="S"/>
    <x v="0"/>
    <n v="0.84907909556480898"/>
    <s v="árbol"/>
    <n v="17"/>
    <s v="Vol = Exp(-9.52375084+1.81551953*LN(DIAMETRO)+1.03039019*LN(ALTURATOTAL))"/>
    <n v="6.8991137736137118E-2"/>
  </r>
  <r>
    <n v="4"/>
    <x v="0"/>
    <n v="2"/>
    <n v="15"/>
    <n v="16"/>
    <s v="Apocynaceae"/>
    <x v="19"/>
    <s v="Akits"/>
    <n v="21.5"/>
    <n v="6.8436625529514998"/>
    <n v="10"/>
    <n v="12"/>
    <m/>
    <s v="C"/>
    <s v="S"/>
    <x v="0"/>
    <n v="1.7534470624687217"/>
    <s v="arbusto"/>
    <m/>
    <m/>
    <m/>
  </r>
  <r>
    <n v="6"/>
    <x v="0"/>
    <n v="3"/>
    <n v="17"/>
    <n v="20"/>
    <s v="Apocynaceae"/>
    <x v="19"/>
    <s v="Akits"/>
    <n v="19.5"/>
    <n v="6.2070427805839179"/>
    <n v="3"/>
    <n v="8"/>
    <m/>
    <s v="C"/>
    <s v="S"/>
    <x v="0"/>
    <n v="1.2888585245496589"/>
    <s v="arbusto"/>
    <m/>
    <m/>
    <m/>
  </r>
  <r>
    <n v="6"/>
    <x v="0"/>
    <n v="4"/>
    <n v="22"/>
    <n v="25"/>
    <s v="Apocynaceae"/>
    <x v="19"/>
    <s v="Akits"/>
    <n v="22.5"/>
    <n v="7.1619724391352904"/>
    <n v="2"/>
    <n v="9"/>
    <m/>
    <s v="C"/>
    <s v="S"/>
    <x v="0"/>
    <n v="1.2566370614359172"/>
    <s v="arbusto"/>
    <m/>
    <m/>
    <m/>
  </r>
  <r>
    <n v="11"/>
    <x v="0"/>
    <n v="4"/>
    <n v="39"/>
    <n v="39"/>
    <s v="Apocynaceae"/>
    <x v="19"/>
    <s v="Akits"/>
    <n v="17.5"/>
    <n v="5.5704230082163368"/>
    <n v="2.5"/>
    <n v="7"/>
    <m/>
    <s v="C"/>
    <s v="S"/>
    <x v="0"/>
    <n v="1.2566370614359172"/>
    <s v="arbusto"/>
    <m/>
    <m/>
    <m/>
  </r>
  <r>
    <n v="6"/>
    <x v="2"/>
    <n v="2"/>
    <n v="4"/>
    <n v="5"/>
    <s v="Moraceae"/>
    <x v="20"/>
    <s v="Akúun"/>
    <n v="34"/>
    <n v="10.822536130248883"/>
    <n v="3"/>
    <n v="10"/>
    <m/>
    <s v="C"/>
    <s v="S"/>
    <x v="0"/>
    <n v="0.92399783929111567"/>
    <s v="árbol"/>
    <n v="17"/>
    <s v="Vol = Exp(-9.52375084+1.81551953*LN(DIAMETRO)+1.03039019*LN(ALTURATOTAL))"/>
    <n v="5.9172829084870877E-2"/>
  </r>
  <r>
    <n v="6"/>
    <x v="2"/>
    <n v="1"/>
    <n v="2"/>
    <n v="2"/>
    <s v="Moraceae"/>
    <x v="21"/>
    <s v="Álamo"/>
    <n v="48.5"/>
    <n v="15.438029479913848"/>
    <n v="4.5"/>
    <n v="9"/>
    <m/>
    <s v="C"/>
    <s v="S"/>
    <x v="0"/>
    <n v="0.58297595633625032"/>
    <s v="árbol"/>
    <n v="6"/>
    <s v="Vol = Exp(-9.75894522+1.90722681*LN(DIAMETRO)+1.01257027*LN(ALTURATOTAL))"/>
    <n v="9.8831596293402643E-2"/>
  </r>
  <r>
    <n v="4"/>
    <x v="2"/>
    <n v="1"/>
    <n v="3"/>
    <n v="3"/>
    <s v="Moraceae"/>
    <x v="21"/>
    <s v="Álamo"/>
    <n v="85"/>
    <n v="27.056340325622209"/>
    <n v="1.5"/>
    <n v="12"/>
    <m/>
    <s v="C"/>
    <s v="S"/>
    <x v="0"/>
    <n v="0.44351896285973547"/>
    <s v="árbol"/>
    <n v="6"/>
    <s v="Vol = Exp(-9.75894522+1.90722681*LN(DIAMETRO)+1.01257027*LN(ALTURATOTAL))"/>
    <n v="0.38561393926958815"/>
  </r>
  <r>
    <n v="10"/>
    <x v="0"/>
    <n v="1"/>
    <n v="3"/>
    <n v="3"/>
    <s v="Moraceae"/>
    <x v="21"/>
    <s v="Álamo"/>
    <n v="17"/>
    <n v="5.4112680651244416"/>
    <n v="4.5"/>
    <n v="7"/>
    <m/>
    <s v="C"/>
    <s v="S"/>
    <x v="0"/>
    <n v="1.293596975007562"/>
    <s v="arbusto"/>
    <m/>
    <m/>
    <m/>
  </r>
  <r>
    <n v="12"/>
    <x v="0"/>
    <n v="1"/>
    <n v="5"/>
    <n v="6"/>
    <s v="Moraceae"/>
    <x v="21"/>
    <s v="Álamo"/>
    <n v="16.5"/>
    <n v="5.2521131220325463"/>
    <n v="3"/>
    <n v="7"/>
    <m/>
    <s v="C"/>
    <s v="S"/>
    <x v="0"/>
    <n v="1.3327968833411243"/>
    <s v="arbusto"/>
    <m/>
    <m/>
    <m/>
  </r>
  <r>
    <n v="4"/>
    <x v="2"/>
    <n v="1"/>
    <n v="9"/>
    <n v="9"/>
    <s v="Moraceae"/>
    <x v="21"/>
    <s v="Álamo"/>
    <n v="64.5"/>
    <n v="20.5309876588545"/>
    <n v="8"/>
    <n v="12"/>
    <m/>
    <s v="C"/>
    <s v="S"/>
    <x v="0"/>
    <n v="0.58448235415624061"/>
    <s v="árbol"/>
    <n v="6"/>
    <s v="Vol = Exp(-9.75894522+1.90722681*LN(DIAMETRO)+1.01257027*LN(ALTURATOTAL))"/>
    <n v="0.2278001594369968"/>
  </r>
  <r>
    <n v="10"/>
    <x v="0"/>
    <n v="1"/>
    <n v="9"/>
    <n v="9"/>
    <s v="Moraceae"/>
    <x v="21"/>
    <s v="Álamo"/>
    <n v="30"/>
    <n v="9.5492965855137211"/>
    <n v="8"/>
    <n v="11"/>
    <m/>
    <s v="C"/>
    <s v="S"/>
    <x v="0"/>
    <n v="1.1519173063162573"/>
    <s v="arbusto"/>
    <m/>
    <m/>
    <m/>
  </r>
  <r>
    <n v="7"/>
    <x v="2"/>
    <n v="1"/>
    <n v="7"/>
    <n v="10"/>
    <s v="Moraceae"/>
    <x v="21"/>
    <s v="Álamo"/>
    <n v="69"/>
    <n v="21.963382146681557"/>
    <n v="4"/>
    <n v="14"/>
    <m/>
    <s v="C"/>
    <s v="S"/>
    <x v="0"/>
    <n v="0.63742459638053772"/>
    <s v="árbol"/>
    <n v="6"/>
    <s v="Vol = Exp(-9.75894522+1.90722681*LN(DIAMETRO)+1.01257027*LN(ALTURATOTAL))"/>
    <n v="0.30283344419188174"/>
  </r>
  <r>
    <n v="4"/>
    <x v="2"/>
    <n v="1"/>
    <n v="13"/>
    <n v="13"/>
    <s v="Moraceae"/>
    <x v="21"/>
    <s v="Álamo"/>
    <n v="42"/>
    <n v="13.369015219719209"/>
    <n v="6"/>
    <n v="11"/>
    <m/>
    <s v="C"/>
    <s v="S"/>
    <x v="0"/>
    <n v="0.82279807594018384"/>
    <s v="árbol"/>
    <n v="6"/>
    <s v="Vol = Exp(-9.75894522+1.90722681*LN(DIAMETRO)+1.01257027*LN(ALTURATOTAL))"/>
    <n v="9.2035253807010123E-2"/>
  </r>
  <r>
    <n v="4"/>
    <x v="2"/>
    <n v="1"/>
    <n v="14"/>
    <n v="14"/>
    <s v="Moraceae"/>
    <x v="21"/>
    <s v="Álamo"/>
    <n v="33"/>
    <n v="10.504226244065093"/>
    <n v="7"/>
    <n v="9"/>
    <m/>
    <s v="C"/>
    <s v="S"/>
    <x v="0"/>
    <n v="0.8567979964335799"/>
    <s v="árbol"/>
    <n v="6"/>
    <s v="Vol = Exp(-9.75894522+1.90722681*LN(DIAMETRO)+1.01257027*LN(ALTURATOTAL))"/>
    <n v="4.7419226868973763E-2"/>
  </r>
  <r>
    <n v="9"/>
    <x v="2"/>
    <n v="3"/>
    <n v="15"/>
    <n v="15"/>
    <s v="Moraceae"/>
    <x v="21"/>
    <s v="Álamo"/>
    <n v="32.5"/>
    <n v="10.345071300973197"/>
    <n v="3"/>
    <n v="10"/>
    <m/>
    <s v="C"/>
    <s v="S"/>
    <x v="0"/>
    <n v="0.96664389341224399"/>
    <s v="árbol"/>
    <n v="6"/>
    <s v="Vol = Exp(-9.75894522+1.90722681*LN(DIAMETRO)+1.01257027*LN(ALTURATOTAL))"/>
    <n v="5.1243776178304466E-2"/>
  </r>
  <r>
    <n v="3"/>
    <x v="1"/>
    <m/>
    <n v="30"/>
    <n v="30"/>
    <s v="Sapindaceae"/>
    <x v="3"/>
    <s v="Bejuco tres lomos"/>
    <m/>
    <m/>
    <m/>
    <n v="0.3"/>
    <e v="#REF!"/>
    <m/>
    <s v="S"/>
    <x v="0"/>
    <e v="#DIV/0!"/>
    <s v="herbácea"/>
    <m/>
    <m/>
    <m/>
  </r>
  <r>
    <n v="4"/>
    <x v="1"/>
    <m/>
    <n v="1"/>
    <n v="1"/>
    <s v="Polygonaceae"/>
    <x v="22"/>
    <s v="Toyub"/>
    <m/>
    <m/>
    <m/>
    <n v="1.3"/>
    <e v="#REF!"/>
    <m/>
    <m/>
    <x v="0"/>
    <e v="#DIV/0!"/>
    <s v="herbácea"/>
    <m/>
    <m/>
    <m/>
  </r>
  <r>
    <n v="11"/>
    <x v="0"/>
    <n v="2"/>
    <n v="17"/>
    <n v="17"/>
    <s v="Moraceae"/>
    <x v="21"/>
    <s v="Álamo"/>
    <n v="20"/>
    <n v="6.366197723675814"/>
    <n v="6"/>
    <n v="10"/>
    <m/>
    <s v="C"/>
    <s v="S"/>
    <x v="0"/>
    <n v="1.5707963267948966"/>
    <s v="arbusto"/>
    <m/>
    <m/>
    <m/>
  </r>
  <r>
    <n v="4"/>
    <x v="2"/>
    <n v="2"/>
    <n v="18"/>
    <n v="18"/>
    <s v="Moraceae"/>
    <x v="21"/>
    <s v="Álamo"/>
    <n v="71"/>
    <n v="22.600001919049138"/>
    <n v="6"/>
    <n v="12"/>
    <m/>
    <s v="CB"/>
    <s v="Sámago"/>
    <x v="0"/>
    <n v="0.53097340624052847"/>
    <s v="árbol"/>
    <n v="6"/>
    <s v="Vol = Exp(-9.75894522+1.90722681*LN(DIAMETRO)+1.01257027*LN(ALTURATOTAL))"/>
    <n v="0.27357901184777428"/>
  </r>
  <r>
    <n v="9"/>
    <x v="2"/>
    <n v="4"/>
    <n v="18"/>
    <n v="18"/>
    <s v="Moraceae"/>
    <x v="21"/>
    <s v="Álamo"/>
    <n v="33.5"/>
    <n v="10.663381187156988"/>
    <n v="6"/>
    <n v="10"/>
    <m/>
    <s v="CB"/>
    <s v="S"/>
    <x v="0"/>
    <n v="0.93778885181784866"/>
    <s v="árbol"/>
    <n v="6"/>
    <s v="Vol = Exp(-9.75894522+1.90722681*LN(DIAMETRO)+1.01257027*LN(ALTURATOTAL))"/>
    <n v="5.4292893590092241E-2"/>
  </r>
  <r>
    <n v="4"/>
    <x v="2"/>
    <n v="2"/>
    <s v="18A"/>
    <n v="19"/>
    <s v="Moraceae"/>
    <x v="21"/>
    <s v="Álamo"/>
    <n v="49"/>
    <n v="15.597184423005743"/>
    <n v="1.8"/>
    <n v="10"/>
    <m/>
    <s v="C"/>
    <s v="S"/>
    <x v="1"/>
    <n v="0.641141357875468"/>
    <s v="árbol"/>
    <n v="6"/>
    <s v="Vol = Exp(-9.75894522+1.90722681*LN(DIAMETRO)+1.01257027*LN(ALTURATOTAL))"/>
    <n v="0.1121305426632917"/>
  </r>
  <r>
    <n v="9"/>
    <x v="2"/>
    <n v="4"/>
    <s v="18A"/>
    <n v="19"/>
    <s v="Moraceae"/>
    <x v="21"/>
    <s v="Álamo"/>
    <n v="50.5"/>
    <n v="16.074649252281429"/>
    <n v="3"/>
    <n v="12"/>
    <m/>
    <s v="C"/>
    <s v="S"/>
    <x v="1"/>
    <n v="0.74651706619955482"/>
    <s v="árbol"/>
    <n v="6"/>
    <s v="Vol = Exp(-9.75894522+1.90722681*LN(DIAMETRO)+1.01257027*LN(ALTURATOTAL))"/>
    <n v="0.1428486706678897"/>
  </r>
  <r>
    <n v="9"/>
    <x v="0"/>
    <n v="2"/>
    <n v="20"/>
    <n v="20"/>
    <s v="Moraceae"/>
    <x v="21"/>
    <s v="Álamo"/>
    <n v="16"/>
    <n v="5.0929581789406511"/>
    <n v="5"/>
    <n v="8"/>
    <m/>
    <s v="C"/>
    <s v="S"/>
    <x v="0"/>
    <n v="1.5707963267948966"/>
    <s v="arbusto"/>
    <m/>
    <m/>
    <m/>
  </r>
  <r>
    <n v="9"/>
    <x v="0"/>
    <n v="2"/>
    <n v="21"/>
    <n v="21"/>
    <s v="Moraceae"/>
    <x v="21"/>
    <s v="Álamo"/>
    <n v="21"/>
    <n v="6.6845076098596046"/>
    <n v="7.5"/>
    <n v="10"/>
    <m/>
    <s v="C"/>
    <s v="S"/>
    <x v="0"/>
    <n v="1.4959965017094252"/>
    <s v="arbusto"/>
    <m/>
    <m/>
    <m/>
  </r>
  <r>
    <n v="8"/>
    <x v="0"/>
    <n v="4"/>
    <n v="23"/>
    <n v="23"/>
    <s v="Moraceae"/>
    <x v="21"/>
    <s v="Álamo"/>
    <n v="18"/>
    <n v="5.7295779513082321"/>
    <n v="8"/>
    <n v="9"/>
    <m/>
    <s v="C"/>
    <s v="S"/>
    <x v="0"/>
    <n v="1.5707963267948966"/>
    <s v="arbusto"/>
    <m/>
    <m/>
    <m/>
  </r>
  <r>
    <n v="2"/>
    <x v="2"/>
    <n v="2"/>
    <n v="23"/>
    <n v="24"/>
    <s v="Moraceae"/>
    <x v="21"/>
    <s v="Álamo"/>
    <n v="60"/>
    <n v="19.098593171027442"/>
    <n v="7"/>
    <n v="13"/>
    <m/>
    <s v="C"/>
    <s v="S"/>
    <x v="0"/>
    <n v="0.68067840827778847"/>
    <s v="árbol"/>
    <n v="6"/>
    <s v="Vol = Exp(-9.75894522+1.90722681*LN(DIAMETRO)+1.01257027*LN(ALTURATOTAL))"/>
    <n v="0.21520384868480516"/>
  </r>
  <r>
    <n v="7"/>
    <x v="2"/>
    <n v="3"/>
    <n v="29"/>
    <n v="32"/>
    <s v="Moraceae"/>
    <x v="21"/>
    <s v="Álamo"/>
    <n v="58"/>
    <n v="18.461973398659861"/>
    <n v="8"/>
    <n v="15"/>
    <m/>
    <s v="C"/>
    <s v="S"/>
    <x v="0"/>
    <n v="0.81248085868701536"/>
    <s v="árbol"/>
    <n v="6"/>
    <s v="Vol = Exp(-9.75894522+1.90722681*LN(DIAMETRO)+1.01257027*LN(ALTURATOTAL))"/>
    <n v="0.2331839026431152"/>
  </r>
  <r>
    <n v="1"/>
    <x v="2"/>
    <n v="4"/>
    <n v="31"/>
    <n v="34"/>
    <s v="Moraceae"/>
    <x v="21"/>
    <s v="Álamo"/>
    <n v="42"/>
    <n v="13.369015219719209"/>
    <n v="8"/>
    <n v="12"/>
    <m/>
    <s v="C"/>
    <s v="S"/>
    <x v="0"/>
    <n v="0.89759790102565518"/>
    <s v="árbol"/>
    <n v="6"/>
    <s v="Vol = Exp(-9.75894522+1.90722681*LN(DIAMETRO)+1.01257027*LN(ALTURATOTAL))"/>
    <n v="0.10051197058404412"/>
  </r>
  <r>
    <n v="9"/>
    <x v="0"/>
    <n v="3"/>
    <n v="34"/>
    <n v="34"/>
    <s v="Moraceae"/>
    <x v="21"/>
    <s v="Álamo"/>
    <n v="25.5"/>
    <n v="8.1169020976866619"/>
    <n v="7.5"/>
    <n v="9"/>
    <m/>
    <s v="C"/>
    <s v="S"/>
    <x v="0"/>
    <n v="1.1087974071493387"/>
    <s v="arbusto"/>
    <m/>
    <m/>
    <m/>
  </r>
  <r>
    <n v="2"/>
    <x v="2"/>
    <n v="3"/>
    <n v="41"/>
    <n v="43"/>
    <s v="Moraceae"/>
    <x v="21"/>
    <s v="Álamo"/>
    <n v="92"/>
    <n v="29.284509528908742"/>
    <n v="8"/>
    <n v="13"/>
    <m/>
    <s v="C"/>
    <s v="S"/>
    <x v="0"/>
    <n v="0.44392070105073167"/>
    <s v="árbol"/>
    <n v="6"/>
    <s v="Vol = Exp(-9.75894522+1.90722681*LN(DIAMETRO)+1.01257027*LN(ALTURATOTAL))"/>
    <n v="0.48629644019637369"/>
  </r>
  <r>
    <n v="2"/>
    <x v="2"/>
    <n v="3"/>
    <n v="42"/>
    <n v="44"/>
    <s v="Moraceae"/>
    <x v="21"/>
    <s v="Álamo"/>
    <n v="102"/>
    <n v="32.467608390746648"/>
    <n v="3"/>
    <n v="13"/>
    <m/>
    <s v="C"/>
    <s v="S"/>
    <x v="0"/>
    <n v="0.4003990636928168"/>
    <s v="árbol"/>
    <n v="6"/>
    <s v="Vol = Exp(-9.75894522+1.90722681*LN(DIAMETRO)+1.01257027*LN(ALTURATOTAL))"/>
    <n v="0.59206364581031623"/>
  </r>
  <r>
    <n v="4"/>
    <x v="2"/>
    <n v="4"/>
    <n v="44"/>
    <n v="46"/>
    <s v="Moraceae"/>
    <x v="21"/>
    <s v="Álamo"/>
    <n v="81"/>
    <n v="25.783100780887047"/>
    <n v="2.5"/>
    <n v="12"/>
    <m/>
    <s v="C"/>
    <s v="S"/>
    <x v="0"/>
    <n v="0.46542113386515449"/>
    <s v="árbol"/>
    <n v="6"/>
    <s v="Vol = Exp(-9.75894522+1.90722681*LN(DIAMETRO)+1.01257027*LN(ALTURATOTAL))"/>
    <n v="0.35174425764411343"/>
  </r>
  <r>
    <n v="4"/>
    <x v="2"/>
    <n v="4"/>
    <n v="47"/>
    <n v="49"/>
    <s v="Moraceae"/>
    <x v="21"/>
    <s v="Álamo"/>
    <n v="36"/>
    <n v="11.459155902616464"/>
    <n v="6"/>
    <n v="12"/>
    <m/>
    <s v="C"/>
    <s v="S"/>
    <x v="0"/>
    <n v="1.0471975511965976"/>
    <s v="árbol"/>
    <n v="6"/>
    <s v="Vol = Exp(-9.75894522+1.90722681*LN(DIAMETRO)+1.01257027*LN(ALTURATOTAL))"/>
    <n v="7.49091856120465E-2"/>
  </r>
  <r>
    <n v="2"/>
    <x v="2"/>
    <n v="4"/>
    <n v="49"/>
    <n v="53"/>
    <s v="Moraceae"/>
    <x v="21"/>
    <s v="Álamo"/>
    <n v="134"/>
    <n v="42.653524748627952"/>
    <n v="5.5"/>
    <n v="13"/>
    <m/>
    <s v="CB"/>
    <s v="S"/>
    <x v="0"/>
    <n v="0.30478137684080081"/>
    <s v="árbol"/>
    <n v="6"/>
    <s v="Vol = Exp(-9.75894522+1.90722681*LN(DIAMETRO)+1.01257027*LN(ALTURATOTAL))"/>
    <n v="0.99628501018515359"/>
  </r>
  <r>
    <n v="8"/>
    <x v="2"/>
    <n v="4"/>
    <n v="48"/>
    <n v="53"/>
    <s v="Moraceae"/>
    <x v="21"/>
    <s v="Álamo"/>
    <n v="61"/>
    <n v="19.416903057211233"/>
    <n v="3"/>
    <n v="12"/>
    <m/>
    <s v="C"/>
    <s v="S"/>
    <x v="0"/>
    <n v="0.61801822693569697"/>
    <s v="árbol"/>
    <n v="6"/>
    <s v="Vol = Exp(-9.75894522+1.90722681*LN(DIAMETRO)+1.01257027*LN(ALTURATOTAL))"/>
    <n v="0.20480575104841942"/>
  </r>
  <r>
    <n v="2"/>
    <x v="2"/>
    <n v="4"/>
    <s v="49A"/>
    <n v="54"/>
    <s v="Moraceae"/>
    <x v="21"/>
    <s v="Álamo"/>
    <n v="80"/>
    <n v="25.464790894703256"/>
    <n v="5.5"/>
    <n v="13"/>
    <m/>
    <s v="C"/>
    <s v="S"/>
    <x v="1"/>
    <n v="0.51050880620834138"/>
    <s v="árbol"/>
    <n v="6"/>
    <s v="Vol = Exp(-9.75894522+1.90722681*LN(DIAMETRO)+1.01257027*LN(ALTURATOTAL))"/>
    <n v="0.37250880446471862"/>
  </r>
  <r>
    <n v="8"/>
    <x v="2"/>
    <n v="4"/>
    <n v="53"/>
    <n v="58"/>
    <s v="Moraceae"/>
    <x v="21"/>
    <s v="Álamo"/>
    <n v="41.5"/>
    <n v="13.209860276627314"/>
    <n v="4"/>
    <n v="12"/>
    <m/>
    <s v="C"/>
    <s v="S"/>
    <x v="0"/>
    <n v="0.90841233356813289"/>
    <s v="árbol"/>
    <n v="6"/>
    <s v="Vol = Exp(-9.75894522+1.90722681*LN(DIAMETRO)+1.01257027*LN(ALTURATOTAL))"/>
    <n v="9.8242166574490863E-2"/>
  </r>
  <r>
    <n v="4"/>
    <x v="2"/>
    <n v="1"/>
    <n v="1"/>
    <n v="1"/>
    <s v="Moraceae"/>
    <x v="23"/>
    <s v="Amatillo"/>
    <n v="40"/>
    <n v="12.732395447351628"/>
    <n v="7.5"/>
    <n v="11"/>
    <m/>
    <s v="C"/>
    <s v="S"/>
    <x v="0"/>
    <n v="0.86393797973719311"/>
    <s v="árbol"/>
    <n v="17"/>
    <s v="Vol = Exp(-9.52375084+1.81551953*LN(DIAMETRO)+1.03039019*LN(ALTURATOTAL))"/>
    <n v="8.76827716039211E-2"/>
  </r>
  <r>
    <n v="3"/>
    <x v="0"/>
    <n v="1"/>
    <n v="1"/>
    <n v="1"/>
    <s v="Moraceae"/>
    <x v="23"/>
    <s v="Amatillo"/>
    <n v="22.5"/>
    <n v="7.1619724391352904"/>
    <n v="3"/>
    <n v="7"/>
    <m/>
    <s v="C"/>
    <s v="S"/>
    <x v="0"/>
    <n v="0.97738438111682457"/>
    <s v="arbusto"/>
    <m/>
    <m/>
    <m/>
  </r>
  <r>
    <n v="4"/>
    <x v="1"/>
    <m/>
    <n v="2"/>
    <n v="2"/>
    <s v="Lauraceae"/>
    <x v="0"/>
    <s v="Aguacatillo"/>
    <m/>
    <m/>
    <m/>
    <n v="2.2999999999999998"/>
    <e v="#REF!"/>
    <m/>
    <m/>
    <x v="0"/>
    <e v="#DIV/0!"/>
    <s v="herbácea"/>
    <m/>
    <m/>
    <m/>
  </r>
  <r>
    <n v="4"/>
    <x v="2"/>
    <n v="1"/>
    <n v="4"/>
    <n v="4"/>
    <s v="Moraceae"/>
    <x v="23"/>
    <s v="Amatillo"/>
    <n v="33"/>
    <n v="10.504226244065093"/>
    <n v="2.5"/>
    <n v="9"/>
    <m/>
    <s v="C"/>
    <s v="Sámago"/>
    <x v="0"/>
    <n v="0.8567979964335799"/>
    <s v="árbol"/>
    <n v="17"/>
    <s v="Vol = Exp(-9.52375084+1.81551953*LN(DIAMETRO)+1.03039019*LN(ALTURATOTAL))"/>
    <n v="5.0284726807398025E-2"/>
  </r>
  <r>
    <n v="4"/>
    <x v="2"/>
    <n v="1"/>
    <n v="6"/>
    <n v="6"/>
    <s v="Moraceae"/>
    <x v="23"/>
    <s v="Amatillo"/>
    <n v="36"/>
    <n v="11.459155902616464"/>
    <n v="8"/>
    <n v="12"/>
    <m/>
    <s v="C"/>
    <s v="S"/>
    <x v="0"/>
    <n v="1.0471975511965976"/>
    <s v="árbol"/>
    <n v="17"/>
    <s v="Vol = Exp(-9.52375084+1.81551953*LN(DIAMETRO)+1.03039019*LN(ALTURATOTAL))"/>
    <n v="7.9209562371578848E-2"/>
  </r>
  <r>
    <n v="9"/>
    <x v="0"/>
    <n v="1"/>
    <n v="7"/>
    <n v="7"/>
    <s v="Moraceae"/>
    <x v="23"/>
    <s v="Amatillo"/>
    <n v="23.5"/>
    <n v="7.4802823253190809"/>
    <n v="6"/>
    <n v="12"/>
    <m/>
    <s v="C"/>
    <s v="S"/>
    <x v="0"/>
    <n v="1.6042175252373412"/>
    <s v="arbusto"/>
    <m/>
    <m/>
    <m/>
  </r>
  <r>
    <n v="3"/>
    <x v="2"/>
    <n v="1"/>
    <n v="9"/>
    <n v="9"/>
    <s v="Moraceae"/>
    <x v="23"/>
    <s v="Amatillo"/>
    <n v="35.5"/>
    <n v="11.300000959524569"/>
    <n v="8"/>
    <n v="10"/>
    <m/>
    <s v="C"/>
    <s v="S"/>
    <x v="0"/>
    <n v="0.88495567706754741"/>
    <s v="árbol"/>
    <n v="17"/>
    <s v="Vol = Exp(-9.52375084+1.81551953*LN(DIAMETRO)+1.03039019*LN(ALTURATOTAL))"/>
    <n v="6.3997395648830932E-2"/>
  </r>
  <r>
    <n v="6"/>
    <x v="0"/>
    <n v="2"/>
    <n v="10"/>
    <n v="10"/>
    <s v="Moraceae"/>
    <x v="23"/>
    <s v="Amatillo"/>
    <n v="22.5"/>
    <n v="7.1619724391352904"/>
    <n v="3"/>
    <n v="9"/>
    <m/>
    <s v="C"/>
    <s v="S"/>
    <x v="0"/>
    <n v="1.2566370614359172"/>
    <s v="arbusto"/>
    <m/>
    <m/>
    <m/>
  </r>
  <r>
    <n v="9"/>
    <x v="0"/>
    <n v="1"/>
    <n v="11"/>
    <n v="11"/>
    <s v="Moraceae"/>
    <x v="23"/>
    <s v="Amatillo"/>
    <n v="21.5"/>
    <n v="6.8436625529514998"/>
    <n v="8.5"/>
    <n v="10"/>
    <m/>
    <s v="C"/>
    <s v="S"/>
    <x v="0"/>
    <n v="1.4612058853906014"/>
    <s v="arbusto"/>
    <m/>
    <m/>
    <m/>
  </r>
  <r>
    <n v="3"/>
    <x v="2"/>
    <n v="1"/>
    <n v="13"/>
    <n v="13"/>
    <s v="Moraceae"/>
    <x v="23"/>
    <s v="Amatillo"/>
    <n v="60"/>
    <n v="19.098593171027442"/>
    <n v="5.5"/>
    <n v="11"/>
    <m/>
    <s v="C"/>
    <s v="S"/>
    <x v="0"/>
    <n v="0.57595865315812866"/>
    <s v="árbol"/>
    <n v="17"/>
    <s v="Vol = Exp(-9.52375084+1.81551953*LN(DIAMETRO)+1.03039019*LN(ALTURATOTAL))"/>
    <n v="0.18306755828121885"/>
  </r>
  <r>
    <n v="3"/>
    <x v="0"/>
    <n v="3"/>
    <n v="13"/>
    <n v="13"/>
    <s v="Moraceae"/>
    <x v="23"/>
    <s v="Amatillo"/>
    <n v="19"/>
    <n v="6.0478878374920226"/>
    <n v="8"/>
    <n v="9"/>
    <m/>
    <s v="C"/>
    <s v="S"/>
    <x v="0"/>
    <n v="1.4881228359109546"/>
    <s v="arbusto"/>
    <m/>
    <m/>
    <m/>
  </r>
  <r>
    <n v="9"/>
    <x v="0"/>
    <n v="2"/>
    <n v="13"/>
    <n v="13"/>
    <s v="Moraceae"/>
    <x v="23"/>
    <s v="Amatillo"/>
    <n v="16"/>
    <n v="5.0929581789406511"/>
    <n v="6"/>
    <n v="8"/>
    <m/>
    <s v="C"/>
    <s v="S"/>
    <x v="0"/>
    <n v="1.5707963267948966"/>
    <s v="arbusto"/>
    <m/>
    <m/>
    <m/>
  </r>
  <r>
    <n v="3"/>
    <x v="0"/>
    <n v="3"/>
    <n v="14"/>
    <n v="14"/>
    <s v="Moraceae"/>
    <x v="23"/>
    <s v="Amatillo"/>
    <n v="16.5"/>
    <n v="5.2521131220325463"/>
    <n v="4"/>
    <n v="6"/>
    <m/>
    <s v="C"/>
    <s v="S"/>
    <x v="0"/>
    <n v="1.1423973285781066"/>
    <s v="arbusto"/>
    <m/>
    <m/>
    <m/>
  </r>
  <r>
    <n v="9"/>
    <x v="2"/>
    <n v="4"/>
    <n v="19"/>
    <n v="20"/>
    <s v="Moraceae"/>
    <x v="23"/>
    <s v="Amatillo"/>
    <n v="36"/>
    <n v="11.459155902616464"/>
    <n v="3"/>
    <n v="9"/>
    <m/>
    <s v="C"/>
    <s v="S"/>
    <x v="0"/>
    <n v="0.78539816339744828"/>
    <s v="árbol"/>
    <n v="17"/>
    <s v="Vol = Exp(-9.52375084+1.81551953*LN(DIAMETRO)+1.03039019*LN(ALTURATOTAL))"/>
    <n v="5.8890055727484625E-2"/>
  </r>
  <r>
    <n v="3"/>
    <x v="2"/>
    <n v="2"/>
    <n v="21"/>
    <n v="21"/>
    <s v="Moraceae"/>
    <x v="23"/>
    <s v="Amatillo"/>
    <n v="38.5"/>
    <n v="12.254930618075941"/>
    <n v="6"/>
    <n v="11"/>
    <m/>
    <s v="C"/>
    <s v="S"/>
    <x v="0"/>
    <n v="0.89759790102565529"/>
    <s v="árbol"/>
    <n v="17"/>
    <s v="Vol = Exp(-9.52375084+1.81551953*LN(DIAMETRO)+1.03039019*LN(ALTURATOTAL))"/>
    <n v="8.1804648924443071E-2"/>
  </r>
  <r>
    <n v="9"/>
    <x v="0"/>
    <n v="2"/>
    <n v="26"/>
    <n v="26"/>
    <s v="Moraceae"/>
    <x v="23"/>
    <s v="Amatillo"/>
    <n v="21"/>
    <n v="6.6845076098596046"/>
    <n v="5.5"/>
    <n v="9"/>
    <m/>
    <s v="C"/>
    <s v="S"/>
    <x v="0"/>
    <n v="1.3463968515384828"/>
    <s v="arbusto"/>
    <m/>
    <m/>
    <m/>
  </r>
  <r>
    <n v="3"/>
    <x v="2"/>
    <n v="3"/>
    <n v="30"/>
    <n v="30"/>
    <s v="Moraceae"/>
    <x v="23"/>
    <s v="Amatillo"/>
    <n v="51.5"/>
    <n v="16.392959138465219"/>
    <n v="5"/>
    <n v="10"/>
    <m/>
    <s v="CB"/>
    <s v="S"/>
    <x v="0"/>
    <n v="0.61001799098830933"/>
    <s v="árbol"/>
    <n v="17"/>
    <s v="Vol = Exp(-9.52375084+1.81551953*LN(DIAMETRO)+1.03039019*LN(ALTURATOTAL))"/>
    <n v="0.12575113276693189"/>
  </r>
  <r>
    <n v="9"/>
    <x v="0"/>
    <n v="3"/>
    <n v="30"/>
    <n v="30"/>
    <s v="Moraceae"/>
    <x v="23"/>
    <s v="Amatillo"/>
    <n v="18.5"/>
    <n v="5.8887328944001274"/>
    <n v="3.5"/>
    <n v="8"/>
    <m/>
    <s v="C"/>
    <s v="S"/>
    <x v="0"/>
    <n v="1.3585265529036943"/>
    <s v="arbusto"/>
    <m/>
    <m/>
    <m/>
  </r>
  <r>
    <n v="3"/>
    <x v="2"/>
    <n v="3"/>
    <s v="30A"/>
    <n v="31"/>
    <s v="Moraceae"/>
    <x v="23"/>
    <s v="Amatillo"/>
    <n v="44"/>
    <n v="14.00563499208679"/>
    <n v="3"/>
    <n v="9"/>
    <m/>
    <s v="C"/>
    <s v="S"/>
    <x v="1"/>
    <n v="0.64259849732518493"/>
    <s v="árbol"/>
    <n v="17"/>
    <s v="Vol = Exp(-9.52375084+1.81551953*LN(DIAMETRO)+1.03039019*LN(ALTURATOTAL))"/>
    <n v="8.4774416915525813E-2"/>
  </r>
  <r>
    <n v="3"/>
    <x v="2"/>
    <n v="3"/>
    <s v="30B"/>
    <n v="32"/>
    <s v="Moraceae"/>
    <x v="23"/>
    <s v="Amatillo"/>
    <n v="38.5"/>
    <n v="12.254930618075941"/>
    <n v="5"/>
    <n v="10"/>
    <m/>
    <s v="C"/>
    <s v="S"/>
    <x v="1"/>
    <n v="0.81599809184150474"/>
    <s v="árbol"/>
    <n v="17"/>
    <s v="Vol = Exp(-9.52375084+1.81551953*LN(DIAMETRO)+1.03039019*LN(ALTURATOTAL))"/>
    <n v="7.4152768215724821E-2"/>
  </r>
  <r>
    <n v="3"/>
    <x v="2"/>
    <n v="3"/>
    <n v="31"/>
    <n v="33"/>
    <s v="Moraceae"/>
    <x v="23"/>
    <s v="Amatillo"/>
    <n v="56"/>
    <n v="17.82535362629228"/>
    <n v="8"/>
    <n v="14"/>
    <m/>
    <s v="C"/>
    <s v="S"/>
    <x v="0"/>
    <n v="0.78539816339744817"/>
    <s v="árbol"/>
    <n v="17"/>
    <s v="Vol = Exp(-9.52375084+1.81551953*LN(DIAMETRO)+1.03039019*LN(ALTURATOTAL))"/>
    <n v="0.20707651602127494"/>
  </r>
  <r>
    <n v="4"/>
    <x v="1"/>
    <m/>
    <n v="3"/>
    <n v="3"/>
    <s v="Polygonaceae"/>
    <x v="22"/>
    <s v="Toyub"/>
    <m/>
    <m/>
    <m/>
    <n v="1"/>
    <e v="#REF!"/>
    <m/>
    <m/>
    <x v="0"/>
    <e v="#DIV/0!"/>
    <s v="herbácea"/>
    <m/>
    <m/>
    <m/>
  </r>
  <r>
    <n v="4"/>
    <x v="1"/>
    <m/>
    <n v="4"/>
    <n v="4"/>
    <s v="Apocynaceae"/>
    <x v="19"/>
    <s v="Akits"/>
    <m/>
    <m/>
    <m/>
    <n v="1.5"/>
    <e v="#REF!"/>
    <m/>
    <m/>
    <x v="0"/>
    <e v="#DIV/0!"/>
    <s v="herbácea"/>
    <m/>
    <m/>
    <m/>
  </r>
  <r>
    <n v="10"/>
    <x v="0"/>
    <n v="4"/>
    <n v="37"/>
    <n v="37"/>
    <s v="Moraceae"/>
    <x v="23"/>
    <s v="Amatillo"/>
    <n v="27"/>
    <n v="8.5943669269623477"/>
    <n v="6"/>
    <n v="12"/>
    <m/>
    <s v="C"/>
    <s v="S"/>
    <x v="0"/>
    <n v="1.3962634015954638"/>
    <s v="arbusto"/>
    <m/>
    <m/>
    <m/>
  </r>
  <r>
    <n v="3"/>
    <x v="2"/>
    <n v="4"/>
    <n v="47"/>
    <n v="56"/>
    <s v="Moraceae"/>
    <x v="23"/>
    <s v="Amatillo"/>
    <n v="39"/>
    <n v="12.414085561167836"/>
    <n v="5.5"/>
    <n v="9"/>
    <m/>
    <s v="C"/>
    <s v="S"/>
    <x v="0"/>
    <n v="0.72498292005918308"/>
    <s v="árbol"/>
    <n v="17"/>
    <s v="Vol = Exp(-9.52375084+1.81551953*LN(DIAMETRO)+1.03039019*LN(ALTURATOTAL))"/>
    <n v="6.8100962199452261E-2"/>
  </r>
  <r>
    <n v="4"/>
    <x v="2"/>
    <n v="4"/>
    <n v="55"/>
    <n v="57"/>
    <s v="Moraceae"/>
    <x v="23"/>
    <s v="Amatillo"/>
    <n v="38"/>
    <n v="12.095775674984045"/>
    <n v="6"/>
    <n v="8"/>
    <m/>
    <s v="C"/>
    <s v="SD"/>
    <x v="0"/>
    <n v="0.66138792707153549"/>
    <s v="árbol"/>
    <n v="17"/>
    <s v="Vol = Exp(-9.52375084+1.81551953*LN(DIAMETRO)+1.03039019*LN(ALTURATOTAL))"/>
    <n v="5.753939564851706E-2"/>
  </r>
  <r>
    <n v="4"/>
    <x v="1"/>
    <m/>
    <n v="5"/>
    <n v="5"/>
    <s v="Lauraceae"/>
    <x v="0"/>
    <s v="Aguacatillo"/>
    <m/>
    <m/>
    <m/>
    <n v="0.6"/>
    <e v="#REF!"/>
    <m/>
    <m/>
    <x v="0"/>
    <e v="#DIV/0!"/>
    <s v="herbácea"/>
    <m/>
    <m/>
    <m/>
  </r>
  <r>
    <n v="4"/>
    <x v="1"/>
    <m/>
    <n v="6"/>
    <n v="6"/>
    <s v="Sapindaceae"/>
    <x v="24"/>
    <s v="Bejuco alado"/>
    <m/>
    <m/>
    <m/>
    <n v="1.7"/>
    <e v="#REF!"/>
    <m/>
    <m/>
    <x v="0"/>
    <e v="#DIV/0!"/>
    <s v="herbácea"/>
    <m/>
    <m/>
    <m/>
  </r>
  <r>
    <n v="4"/>
    <x v="1"/>
    <m/>
    <n v="7"/>
    <n v="7"/>
    <s v="Sapindaceae"/>
    <x v="24"/>
    <s v="Bejuco alado"/>
    <m/>
    <m/>
    <m/>
    <n v="6"/>
    <e v="#REF!"/>
    <m/>
    <m/>
    <x v="0"/>
    <e v="#DIV/0!"/>
    <s v="herbácea"/>
    <m/>
    <m/>
    <m/>
  </r>
  <r>
    <n v="4"/>
    <x v="1"/>
    <m/>
    <n v="8"/>
    <n v="8"/>
    <s v="Anacardiaceae"/>
    <x v="25"/>
    <s v="Chechem"/>
    <m/>
    <m/>
    <m/>
    <n v="4"/>
    <e v="#REF!"/>
    <m/>
    <m/>
    <x v="0"/>
    <e v="#DIV/0!"/>
    <s v="herbácea"/>
    <m/>
    <m/>
    <m/>
  </r>
  <r>
    <n v="4"/>
    <x v="1"/>
    <m/>
    <n v="9"/>
    <n v="9"/>
    <s v="Bignoniaceae"/>
    <x v="26"/>
    <s v="Sool aak"/>
    <m/>
    <m/>
    <m/>
    <n v="6"/>
    <e v="#REF!"/>
    <m/>
    <m/>
    <x v="0"/>
    <e v="#DIV/0!"/>
    <s v="herbácea"/>
    <m/>
    <m/>
    <m/>
  </r>
  <r>
    <n v="4"/>
    <x v="1"/>
    <m/>
    <n v="10"/>
    <n v="10"/>
    <s v="Polygonaceae"/>
    <x v="22"/>
    <s v="Toyub"/>
    <m/>
    <m/>
    <m/>
    <n v="3.5"/>
    <e v="#REF!"/>
    <m/>
    <m/>
    <x v="0"/>
    <e v="#DIV/0!"/>
    <s v="herbácea"/>
    <m/>
    <m/>
    <m/>
  </r>
  <r>
    <n v="4"/>
    <x v="1"/>
    <m/>
    <n v="11"/>
    <n v="11"/>
    <s v="Bignoniaceae"/>
    <x v="26"/>
    <s v="Sool aak"/>
    <m/>
    <m/>
    <m/>
    <n v="6"/>
    <e v="#REF!"/>
    <m/>
    <m/>
    <x v="0"/>
    <e v="#DIV/0!"/>
    <s v="herbácea"/>
    <m/>
    <m/>
    <m/>
  </r>
  <r>
    <n v="4"/>
    <x v="1"/>
    <m/>
    <n v="12"/>
    <n v="12"/>
    <s v="Malvaceae"/>
    <x v="27"/>
    <s v="Ho'ol"/>
    <m/>
    <m/>
    <m/>
    <n v="0.8"/>
    <e v="#REF!"/>
    <m/>
    <m/>
    <x v="0"/>
    <e v="#DIV/0!"/>
    <s v="herbácea"/>
    <m/>
    <m/>
    <m/>
  </r>
  <r>
    <n v="4"/>
    <x v="1"/>
    <m/>
    <n v="13"/>
    <n v="13"/>
    <s v="Araliaceae"/>
    <x v="28"/>
    <s v="Sak chacaj"/>
    <m/>
    <m/>
    <m/>
    <n v="1.2"/>
    <e v="#REF!"/>
    <m/>
    <m/>
    <x v="0"/>
    <e v="#DIV/0!"/>
    <s v="herbácea"/>
    <m/>
    <m/>
    <m/>
  </r>
  <r>
    <n v="4"/>
    <x v="1"/>
    <m/>
    <n v="14"/>
    <n v="14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5"/>
    <n v="15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6"/>
    <n v="16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7"/>
    <n v="17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8"/>
    <n v="18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19"/>
    <n v="19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20"/>
    <n v="20"/>
    <s v="Poaceae"/>
    <x v="29"/>
    <s v="Carricillo"/>
    <m/>
    <m/>
    <m/>
    <n v="0.3"/>
    <e v="#REF!"/>
    <m/>
    <m/>
    <x v="0"/>
    <e v="#DIV/0!"/>
    <s v="herbácea"/>
    <m/>
    <m/>
    <m/>
  </r>
  <r>
    <n v="4"/>
    <x v="1"/>
    <m/>
    <n v="21"/>
    <n v="21"/>
    <s v="Poaceae"/>
    <x v="29"/>
    <s v="Carricillo"/>
    <m/>
    <m/>
    <m/>
    <n v="0.3"/>
    <e v="#REF!"/>
    <m/>
    <m/>
    <x v="0"/>
    <e v="#DIV/0!"/>
    <s v="herbácea"/>
    <m/>
    <m/>
    <m/>
  </r>
  <r>
    <n v="5"/>
    <x v="1"/>
    <m/>
    <n v="1"/>
    <n v="1"/>
    <s v="Araliaceae"/>
    <x v="28"/>
    <s v="Sak chacaj"/>
    <m/>
    <m/>
    <m/>
    <n v="6"/>
    <e v="#REF!"/>
    <m/>
    <s v="S"/>
    <x v="0"/>
    <e v="#DIV/0!"/>
    <s v="herbácea"/>
    <m/>
    <m/>
    <m/>
  </r>
  <r>
    <n v="5"/>
    <x v="1"/>
    <m/>
    <n v="2"/>
    <n v="2"/>
    <s v="Rubiaceae"/>
    <x v="15"/>
    <s v="Tasta'ab"/>
    <m/>
    <m/>
    <m/>
    <n v="5"/>
    <e v="#REF!"/>
    <m/>
    <s v="S"/>
    <x v="0"/>
    <e v="#DIV/0!"/>
    <s v="herbácea"/>
    <m/>
    <m/>
    <m/>
  </r>
  <r>
    <n v="5"/>
    <x v="1"/>
    <m/>
    <n v="3"/>
    <n v="3"/>
    <s v="Rubiaceae"/>
    <x v="15"/>
    <s v="Tasta'ab"/>
    <m/>
    <m/>
    <m/>
    <n v="4"/>
    <e v="#REF!"/>
    <m/>
    <s v="S"/>
    <x v="0"/>
    <e v="#DIV/0!"/>
    <s v="herbácea"/>
    <m/>
    <m/>
    <m/>
  </r>
  <r>
    <n v="5"/>
    <x v="1"/>
    <m/>
    <n v="4"/>
    <n v="4"/>
    <s v="Rubiaceae"/>
    <x v="15"/>
    <s v="Tasta'ab"/>
    <m/>
    <m/>
    <m/>
    <n v="6"/>
    <e v="#REF!"/>
    <m/>
    <s v="S"/>
    <x v="0"/>
    <e v="#DIV/0!"/>
    <s v="herbácea"/>
    <m/>
    <m/>
    <m/>
  </r>
  <r>
    <n v="5"/>
    <x v="1"/>
    <m/>
    <n v="5"/>
    <n v="5"/>
    <s v="Leguminosae"/>
    <x v="30"/>
    <s v="Katalox"/>
    <m/>
    <m/>
    <m/>
    <n v="6"/>
    <e v="#REF!"/>
    <m/>
    <s v="S"/>
    <x v="0"/>
    <e v="#DIV/0!"/>
    <s v="herbácea"/>
    <m/>
    <m/>
    <m/>
  </r>
  <r>
    <n v="5"/>
    <x v="1"/>
    <m/>
    <n v="6"/>
    <n v="6"/>
    <s v="Polygonaceae"/>
    <x v="13"/>
    <s v="Boob"/>
    <m/>
    <m/>
    <m/>
    <n v="0.8"/>
    <e v="#REF!"/>
    <m/>
    <s v="S"/>
    <x v="0"/>
    <e v="#DIV/0!"/>
    <s v="herbácea"/>
    <m/>
    <m/>
    <m/>
  </r>
  <r>
    <n v="5"/>
    <x v="1"/>
    <m/>
    <n v="7"/>
    <n v="7"/>
    <s v="Leguminosae"/>
    <x v="31"/>
    <s v="Kanasin"/>
    <m/>
    <m/>
    <m/>
    <n v="3"/>
    <e v="#REF!"/>
    <m/>
    <s v="S"/>
    <x v="0"/>
    <e v="#DIV/0!"/>
    <s v="herbácea"/>
    <m/>
    <m/>
    <m/>
  </r>
  <r>
    <n v="5"/>
    <x v="1"/>
    <m/>
    <n v="8"/>
    <n v="8"/>
    <s v="Leguminosae"/>
    <x v="31"/>
    <s v="Kanasin"/>
    <m/>
    <m/>
    <m/>
    <n v="3"/>
    <e v="#REF!"/>
    <m/>
    <s v="S"/>
    <x v="0"/>
    <e v="#DIV/0!"/>
    <s v="herbácea"/>
    <m/>
    <m/>
    <m/>
  </r>
  <r>
    <n v="5"/>
    <x v="1"/>
    <m/>
    <n v="9"/>
    <n v="9"/>
    <s v="Polygonaceae"/>
    <x v="13"/>
    <s v="Boob"/>
    <m/>
    <m/>
    <m/>
    <n v="0.15"/>
    <e v="#REF!"/>
    <m/>
    <s v="S"/>
    <x v="0"/>
    <e v="#DIV/0!"/>
    <s v="herbácea"/>
    <m/>
    <m/>
    <m/>
  </r>
  <r>
    <n v="5"/>
    <x v="1"/>
    <m/>
    <n v="10"/>
    <n v="10"/>
    <s v="Vitaceae "/>
    <x v="32"/>
    <s v="Bejuco Cissus"/>
    <m/>
    <m/>
    <m/>
    <n v="0.2"/>
    <e v="#REF!"/>
    <m/>
    <s v="S"/>
    <x v="0"/>
    <e v="#DIV/0!"/>
    <s v="herbácea"/>
    <m/>
    <m/>
    <m/>
  </r>
  <r>
    <n v="5"/>
    <x v="1"/>
    <m/>
    <n v="11"/>
    <n v="11"/>
    <s v="Sapindaceae"/>
    <x v="24"/>
    <s v="Bejuco alado"/>
    <m/>
    <m/>
    <m/>
    <n v="0.6"/>
    <e v="#REF!"/>
    <m/>
    <s v="S"/>
    <x v="0"/>
    <e v="#DIV/0!"/>
    <s v="herbácea"/>
    <m/>
    <m/>
    <m/>
  </r>
  <r>
    <n v="5"/>
    <x v="1"/>
    <m/>
    <n v="12"/>
    <n v="12"/>
    <s v="Sapindaceae"/>
    <x v="24"/>
    <s v="Bejuco alado"/>
    <m/>
    <m/>
    <m/>
    <n v="0.6"/>
    <e v="#REF!"/>
    <m/>
    <s v="S"/>
    <x v="0"/>
    <e v="#DIV/0!"/>
    <s v="herbácea"/>
    <m/>
    <m/>
    <m/>
  </r>
  <r>
    <n v="5"/>
    <x v="1"/>
    <m/>
    <n v="13"/>
    <n v="13"/>
    <s v="Sapindaceae"/>
    <x v="24"/>
    <s v="Bejuco alado"/>
    <m/>
    <m/>
    <m/>
    <n v="0.6"/>
    <e v="#REF!"/>
    <m/>
    <s v="S"/>
    <x v="0"/>
    <e v="#DIV/0!"/>
    <s v="herbácea"/>
    <m/>
    <m/>
    <m/>
  </r>
  <r>
    <n v="5"/>
    <x v="1"/>
    <m/>
    <n v="14"/>
    <n v="14"/>
    <s v="Vitaceae "/>
    <x v="32"/>
    <s v="Bejuco Cissus"/>
    <m/>
    <m/>
    <m/>
    <n v="0.2"/>
    <e v="#REF!"/>
    <m/>
    <s v="S"/>
    <x v="0"/>
    <e v="#DIV/0!"/>
    <s v="herbácea"/>
    <m/>
    <m/>
    <m/>
  </r>
  <r>
    <n v="5"/>
    <x v="1"/>
    <m/>
    <n v="15"/>
    <n v="15"/>
    <s v="Vitaceae "/>
    <x v="32"/>
    <s v="Bejuco Cissus"/>
    <m/>
    <m/>
    <m/>
    <n v="0.1"/>
    <e v="#REF!"/>
    <m/>
    <s v="S"/>
    <x v="0"/>
    <e v="#DIV/0!"/>
    <s v="herbácea"/>
    <m/>
    <m/>
    <m/>
  </r>
  <r>
    <n v="5"/>
    <x v="1"/>
    <m/>
    <n v="16"/>
    <n v="16"/>
    <s v="Vitaceae "/>
    <x v="32"/>
    <s v="Bejuco Cissus"/>
    <m/>
    <m/>
    <m/>
    <n v="0.1"/>
    <e v="#REF!"/>
    <m/>
    <s v="S"/>
    <x v="0"/>
    <e v="#DIV/0!"/>
    <s v="herbácea"/>
    <m/>
    <m/>
    <m/>
  </r>
  <r>
    <n v="5"/>
    <x v="1"/>
    <m/>
    <n v="17"/>
    <n v="17"/>
    <s v="Vitaceae "/>
    <x v="32"/>
    <s v="Bejuco Cissus"/>
    <m/>
    <m/>
    <m/>
    <n v="0.15"/>
    <e v="#REF!"/>
    <m/>
    <s v="S"/>
    <x v="0"/>
    <e v="#DIV/0!"/>
    <s v="herbácea"/>
    <m/>
    <m/>
    <m/>
  </r>
  <r>
    <n v="5"/>
    <x v="1"/>
    <m/>
    <n v="18"/>
    <n v="18"/>
    <s v="Vitaceae "/>
    <x v="32"/>
    <s v="Bejuco Cissus"/>
    <m/>
    <m/>
    <m/>
    <n v="0.1"/>
    <e v="#REF!"/>
    <m/>
    <s v="S"/>
    <x v="0"/>
    <e v="#DIV/0!"/>
    <s v="herbácea"/>
    <m/>
    <m/>
    <m/>
  </r>
  <r>
    <n v="5"/>
    <x v="1"/>
    <m/>
    <n v="19"/>
    <n v="19"/>
    <s v="Vitaceae "/>
    <x v="32"/>
    <s v="Bejuco Cissus"/>
    <m/>
    <m/>
    <m/>
    <n v="0.1"/>
    <e v="#REF!"/>
    <m/>
    <s v="S"/>
    <x v="0"/>
    <e v="#DIV/0!"/>
    <s v="herbácea"/>
    <m/>
    <m/>
    <m/>
  </r>
  <r>
    <n v="6"/>
    <x v="1"/>
    <m/>
    <n v="1"/>
    <n v="1"/>
    <s v="Sapindaceae"/>
    <x v="33"/>
    <s v="Sak poom"/>
    <m/>
    <m/>
    <m/>
    <n v="6"/>
    <e v="#REF!"/>
    <m/>
    <s v="S"/>
    <x v="0"/>
    <e v="#DIV/0!"/>
    <s v="herbácea"/>
    <m/>
    <m/>
    <m/>
  </r>
  <r>
    <n v="6"/>
    <x v="1"/>
    <m/>
    <n v="2"/>
    <n v="2"/>
    <s v="Sapindaceae"/>
    <x v="33"/>
    <s v="Sak poom"/>
    <m/>
    <m/>
    <m/>
    <n v="1.6"/>
    <e v="#REF!"/>
    <m/>
    <s v="S"/>
    <x v="0"/>
    <e v="#DIV/0!"/>
    <s v="herbácea"/>
    <m/>
    <m/>
    <m/>
  </r>
  <r>
    <n v="8"/>
    <x v="0"/>
    <n v="4"/>
    <n v="22"/>
    <n v="22"/>
    <s v="Capparaceae"/>
    <x v="34"/>
    <s v="Bo'kanche'"/>
    <n v="27"/>
    <n v="8.5943669269623477"/>
    <n v="7"/>
    <n v="11"/>
    <m/>
    <s v="C"/>
    <s v="S"/>
    <x v="0"/>
    <n v="1.2799081181291752"/>
    <s v="arbusto"/>
    <m/>
    <m/>
    <m/>
  </r>
  <r>
    <n v="2"/>
    <x v="2"/>
    <n v="1"/>
    <n v="1"/>
    <n v="1"/>
    <s v="Polygonaceae"/>
    <x v="13"/>
    <s v="Boob"/>
    <n v="37"/>
    <n v="11.777465788800255"/>
    <n v="6"/>
    <n v="13"/>
    <m/>
    <s v="C"/>
    <s v="S"/>
    <x v="0"/>
    <n v="1.1038028242342517"/>
    <s v="árbol"/>
    <n v="16"/>
    <s v="Vol = Exp(-9.63519924+1.83658572*LN(DIAMETRO)+1.02444663*LN(ALTURATOTAL))"/>
    <n v="8.3895793672179933E-2"/>
  </r>
  <r>
    <n v="5"/>
    <x v="0"/>
    <n v="1"/>
    <n v="1"/>
    <n v="1"/>
    <s v="Polygonaceae"/>
    <x v="13"/>
    <s v="Boob"/>
    <n v="29.5"/>
    <n v="9.3901416424218258"/>
    <n v="5.5"/>
    <n v="9"/>
    <m/>
    <s v="CB"/>
    <s v="S"/>
    <x v="0"/>
    <n v="0.95845199601044528"/>
    <s v="arbusto"/>
    <m/>
    <m/>
    <m/>
  </r>
  <r>
    <n v="4"/>
    <x v="2"/>
    <n v="1"/>
    <n v="2"/>
    <n v="2"/>
    <s v="Polygonaceae"/>
    <x v="13"/>
    <s v="Boob"/>
    <n v="33"/>
    <n v="10.504226244065093"/>
    <n v="8"/>
    <n v="11"/>
    <m/>
    <s v="C"/>
    <s v="S"/>
    <x v="0"/>
    <n v="1.0471975511965976"/>
    <s v="árbol"/>
    <n v="16"/>
    <s v="Vol = Exp(-9.63519924+1.83658572*LN(DIAMETRO)+1.02444663*LN(ALTURATOTAL))"/>
    <n v="5.7300712943972834E-2"/>
  </r>
  <r>
    <n v="5"/>
    <x v="2"/>
    <n v="1"/>
    <n v="2"/>
    <n v="2"/>
    <s v="Polygonaceae"/>
    <x v="13"/>
    <s v="Boob"/>
    <n v="43"/>
    <n v="13.687325105903"/>
    <n v="7"/>
    <n v="10"/>
    <m/>
    <s v="C"/>
    <s v="S"/>
    <x v="0"/>
    <n v="0.73060294269530068"/>
    <s v="árbol"/>
    <n v="16"/>
    <s v="Vol = Exp(-9.63519924+1.83658572*LN(DIAMETRO)+1.02444663*LN(ALTURATOTAL))"/>
    <n v="8.45043860324068E-2"/>
  </r>
  <r>
    <n v="1"/>
    <x v="0"/>
    <n v="1"/>
    <n v="2"/>
    <n v="2"/>
    <s v="Polygonaceae"/>
    <x v="13"/>
    <s v="Boob"/>
    <n v="28"/>
    <n v="8.91267681314614"/>
    <n v="3"/>
    <n v="7"/>
    <m/>
    <s v="C"/>
    <s v="S"/>
    <x v="0"/>
    <n v="0.78539816339744817"/>
    <s v="arbusto"/>
    <m/>
    <m/>
    <m/>
  </r>
  <r>
    <n v="2"/>
    <x v="0"/>
    <n v="1"/>
    <n v="2"/>
    <n v="2"/>
    <s v="Polygonaceae"/>
    <x v="13"/>
    <s v="Boob"/>
    <n v="19"/>
    <n v="6.0478878374920226"/>
    <n v="5"/>
    <n v="6"/>
    <m/>
    <s v="C"/>
    <s v="SD"/>
    <x v="0"/>
    <n v="0.99208189060730312"/>
    <s v="arbusto"/>
    <m/>
    <m/>
    <m/>
  </r>
  <r>
    <n v="5"/>
    <x v="0"/>
    <n v="1"/>
    <s v="1A"/>
    <n v="2"/>
    <s v="Polygonaceae"/>
    <x v="13"/>
    <s v="Boob"/>
    <n v="23"/>
    <n v="7.3211273822271856"/>
    <n v="5.5"/>
    <n v="9"/>
    <m/>
    <s v="C"/>
    <s v="S"/>
    <x v="1"/>
    <n v="1.2293188644481798"/>
    <s v="arbusto"/>
    <m/>
    <m/>
    <m/>
  </r>
  <r>
    <n v="9"/>
    <x v="2"/>
    <n v="1"/>
    <n v="3"/>
    <n v="3"/>
    <s v="Polygonaceae"/>
    <x v="13"/>
    <s v="Boob"/>
    <n v="35.5"/>
    <n v="11.300000959524569"/>
    <n v="5.5"/>
    <n v="10"/>
    <m/>
    <s v="C"/>
    <s v="S"/>
    <x v="0"/>
    <n v="0.88495567706754741"/>
    <s v="árbol"/>
    <n v="16"/>
    <s v="Vol = Exp(-9.63519924+1.83658572*LN(DIAMETRO)+1.02444663*LN(ALTURATOTAL))"/>
    <n v="5.9429443989314337E-2"/>
  </r>
  <r>
    <n v="10"/>
    <x v="2"/>
    <n v="1"/>
    <n v="3"/>
    <n v="3"/>
    <s v="Polygonaceae"/>
    <x v="13"/>
    <s v="Boob"/>
    <n v="33.5"/>
    <n v="10.663381187156988"/>
    <n v="6"/>
    <n v="10"/>
    <m/>
    <s v="C"/>
    <s v="S"/>
    <x v="0"/>
    <n v="0.93778885181784866"/>
    <s v="árbol"/>
    <n v="16"/>
    <s v="Vol = Exp(-9.63519924+1.83658572*LN(DIAMETRO)+1.02444663*LN(ALTURATOTAL))"/>
    <n v="5.3425663706255927E-2"/>
  </r>
  <r>
    <n v="11"/>
    <x v="2"/>
    <n v="1"/>
    <n v="2"/>
    <n v="3"/>
    <s v="Polygonaceae"/>
    <x v="13"/>
    <s v="Boob"/>
    <n v="36"/>
    <n v="11.459155902616464"/>
    <n v="4"/>
    <n v="10"/>
    <m/>
    <s v="C"/>
    <s v="S"/>
    <x v="0"/>
    <n v="0.87266462599716477"/>
    <s v="árbol"/>
    <n v="16"/>
    <s v="Vol = Exp(-9.63519924+1.83658572*LN(DIAMETRO)+1.02444663*LN(ALTURATOTAL))"/>
    <n v="6.0975779374989041E-2"/>
  </r>
  <r>
    <n v="11"/>
    <x v="2"/>
    <n v="1"/>
    <n v="3"/>
    <n v="4"/>
    <s v="Polygonaceae"/>
    <x v="13"/>
    <s v="Boob"/>
    <n v="46"/>
    <n v="14.642254764454371"/>
    <n v="6"/>
    <n v="12"/>
    <m/>
    <s v="C"/>
    <s v="S"/>
    <x v="0"/>
    <n v="0.81954590963211993"/>
    <s v="árbol"/>
    <n v="16"/>
    <s v="Vol = Exp(-9.63519924+1.83658572*LN(DIAMETRO)+1.02444663*LN(ALTURATOTAL))"/>
    <n v="0.1152892094778195"/>
  </r>
  <r>
    <n v="1"/>
    <x v="0"/>
    <n v="1"/>
    <n v="4"/>
    <n v="4"/>
    <s v="Polygonaceae"/>
    <x v="13"/>
    <s v="Boob"/>
    <n v="21"/>
    <n v="6.6845076098596046"/>
    <n v="6"/>
    <n v="8"/>
    <m/>
    <s v="C"/>
    <s v="S"/>
    <x v="0"/>
    <n v="1.1967972013675401"/>
    <s v="arbusto"/>
    <m/>
    <m/>
    <m/>
  </r>
  <r>
    <n v="6"/>
    <x v="1"/>
    <m/>
    <n v="3"/>
    <n v="3"/>
    <s v="Sapindaceae"/>
    <x v="33"/>
    <s v="Sak poom"/>
    <m/>
    <m/>
    <m/>
    <n v="4"/>
    <e v="#REF!"/>
    <m/>
    <s v="S"/>
    <x v="0"/>
    <e v="#DIV/0!"/>
    <s v="herbácea"/>
    <m/>
    <m/>
    <m/>
  </r>
  <r>
    <n v="2"/>
    <x v="2"/>
    <n v="1"/>
    <n v="5"/>
    <n v="5"/>
    <s v="Polygonaceae"/>
    <x v="13"/>
    <s v="Boob"/>
    <n v="35"/>
    <n v="11.140846016432674"/>
    <n v="8"/>
    <n v="12"/>
    <m/>
    <s v="C"/>
    <s v="S"/>
    <x v="0"/>
    <n v="1.0771174812307862"/>
    <s v="árbol"/>
    <n v="16"/>
    <s v="Vol = Exp(-9.63519924+1.83658572*LN(DIAMETRO)+1.02444663*LN(ALTURATOTAL))"/>
    <n v="6.9791847152597383E-2"/>
  </r>
  <r>
    <n v="9"/>
    <x v="2"/>
    <n v="1"/>
    <n v="5"/>
    <n v="5"/>
    <s v="Polygonaceae"/>
    <x v="13"/>
    <s v="Boob"/>
    <n v="32"/>
    <n v="10.185916357881302"/>
    <n v="4.5"/>
    <n v="9"/>
    <m/>
    <s v="C"/>
    <s v="S"/>
    <x v="0"/>
    <n v="0.88357293382212931"/>
    <s v="árbol"/>
    <n v="16"/>
    <s v="Vol = Exp(-9.63519924+1.83658572*LN(DIAMETRO)+1.02444663*LN(ALTURATOTAL))"/>
    <n v="4.408950883936872E-2"/>
  </r>
  <r>
    <n v="10"/>
    <x v="2"/>
    <n v="1"/>
    <n v="5"/>
    <n v="5"/>
    <s v="Polygonaceae"/>
    <x v="13"/>
    <s v="Boob"/>
    <n v="32"/>
    <n v="10.185916357881302"/>
    <n v="4"/>
    <n v="10"/>
    <m/>
    <s v="C"/>
    <s v="S"/>
    <x v="0"/>
    <n v="0.98174770424681035"/>
    <s v="árbol"/>
    <n v="16"/>
    <s v="Vol = Exp(-9.63519924+1.83658572*LN(DIAMETRO)+1.02444663*LN(ALTURATOTAL))"/>
    <n v="4.9114685538601273E-2"/>
  </r>
  <r>
    <n v="11"/>
    <x v="2"/>
    <n v="1"/>
    <n v="4"/>
    <n v="5"/>
    <s v="Polygonaceae"/>
    <x v="13"/>
    <s v="Boob"/>
    <n v="31.5"/>
    <n v="10.026761414789407"/>
    <n v="6"/>
    <n v="11"/>
    <m/>
    <s v="C"/>
    <s v="S"/>
    <x v="0"/>
    <n v="1.0970641012535784"/>
    <s v="árbol"/>
    <n v="16"/>
    <s v="Vol = Exp(-9.63519924+1.83658572*LN(DIAMETRO)+1.02444663*LN(ALTURATOTAL))"/>
    <n v="5.2608361423648733E-2"/>
  </r>
  <r>
    <n v="8"/>
    <x v="0"/>
    <n v="1"/>
    <n v="5"/>
    <n v="5"/>
    <s v="Polygonaceae"/>
    <x v="13"/>
    <s v="Boob"/>
    <n v="22"/>
    <n v="7.0028174960433951"/>
    <n v="6"/>
    <n v="9"/>
    <m/>
    <s v="C"/>
    <s v="S"/>
    <x v="0"/>
    <n v="1.2851969946503699"/>
    <s v="arbusto"/>
    <m/>
    <m/>
    <m/>
  </r>
  <r>
    <n v="11"/>
    <x v="0"/>
    <n v="1"/>
    <n v="5"/>
    <n v="5"/>
    <s v="Polygonaceae"/>
    <x v="13"/>
    <s v="Boob"/>
    <n v="16"/>
    <n v="5.0929581789406511"/>
    <n v="6"/>
    <n v="8"/>
    <m/>
    <s v="C"/>
    <s v="S"/>
    <x v="0"/>
    <n v="1.5707963267948966"/>
    <s v="arbusto"/>
    <m/>
    <m/>
    <m/>
  </r>
  <r>
    <n v="6"/>
    <x v="1"/>
    <m/>
    <n v="4"/>
    <n v="4"/>
    <s v="Sapindaceae"/>
    <x v="33"/>
    <s v="Sak poom"/>
    <m/>
    <m/>
    <m/>
    <n v="2.5"/>
    <e v="#REF!"/>
    <m/>
    <s v="S"/>
    <x v="0"/>
    <e v="#DIV/0!"/>
    <s v="herbácea"/>
    <m/>
    <m/>
    <m/>
  </r>
  <r>
    <n v="6"/>
    <x v="1"/>
    <m/>
    <n v="5"/>
    <n v="5"/>
    <s v="Polygonaceae"/>
    <x v="13"/>
    <s v="Boob"/>
    <m/>
    <m/>
    <m/>
    <n v="3"/>
    <e v="#REF!"/>
    <m/>
    <s v="S"/>
    <x v="0"/>
    <e v="#DIV/0!"/>
    <s v="herbácea"/>
    <m/>
    <m/>
    <m/>
  </r>
  <r>
    <n v="11"/>
    <x v="0"/>
    <n v="1"/>
    <n v="6"/>
    <n v="6"/>
    <s v="Polygonaceae"/>
    <x v="13"/>
    <s v="Boob"/>
    <n v="15"/>
    <n v="4.7746482927568605"/>
    <n v="5"/>
    <n v="11"/>
    <m/>
    <s v="C"/>
    <s v="S"/>
    <x v="0"/>
    <n v="2.3038346126325147"/>
    <s v="herbácea"/>
    <m/>
    <m/>
    <m/>
  </r>
  <r>
    <n v="6"/>
    <x v="1"/>
    <m/>
    <n v="6"/>
    <n v="6"/>
    <s v="Sapindaceae"/>
    <x v="33"/>
    <s v="Sak poom"/>
    <m/>
    <m/>
    <m/>
    <n v="2.5"/>
    <e v="#REF!"/>
    <m/>
    <s v="S"/>
    <x v="0"/>
    <e v="#DIV/0!"/>
    <s v="herbácea"/>
    <m/>
    <m/>
    <m/>
  </r>
  <r>
    <n v="5"/>
    <x v="2"/>
    <n v="1"/>
    <n v="7"/>
    <n v="7"/>
    <s v="Polygonaceae"/>
    <x v="13"/>
    <s v="Boob"/>
    <n v="40"/>
    <n v="12.732395447351628"/>
    <n v="6"/>
    <n v="9"/>
    <m/>
    <s v="C"/>
    <s v="S"/>
    <x v="0"/>
    <n v="0.70685834705770345"/>
    <s v="árbol"/>
    <n v="16"/>
    <s v="Vol = Exp(-9.63519924+1.83658572*LN(DIAMETRO)+1.02444663*LN(ALTURATOTAL))"/>
    <n v="6.6423048964348835E-2"/>
  </r>
  <r>
    <n v="11"/>
    <x v="2"/>
    <n v="2"/>
    <n v="6"/>
    <n v="7"/>
    <s v="Polygonaceae"/>
    <x v="13"/>
    <s v="Boob"/>
    <n v="45.5"/>
    <n v="14.483099821362476"/>
    <n v="7"/>
    <n v="10"/>
    <m/>
    <s v="C"/>
    <s v="S"/>
    <x v="0"/>
    <n v="0.69045992386588861"/>
    <s v="árbol"/>
    <n v="16"/>
    <s v="Vol = Exp(-9.63519924+1.83658572*LN(DIAMETRO)+1.02444663*LN(ALTURATOTAL))"/>
    <n v="9.3746371218650273E-2"/>
  </r>
  <r>
    <n v="11"/>
    <x v="0"/>
    <n v="1"/>
    <n v="7"/>
    <n v="7"/>
    <s v="Polygonaceae"/>
    <x v="13"/>
    <s v="Boob"/>
    <n v="19"/>
    <n v="6.0478878374920226"/>
    <n v="8"/>
    <n v="10"/>
    <m/>
    <s v="C"/>
    <s v="S"/>
    <x v="0"/>
    <n v="1.6534698176788385"/>
    <s v="arbusto"/>
    <m/>
    <m/>
    <m/>
  </r>
  <r>
    <n v="6"/>
    <x v="1"/>
    <m/>
    <n v="7"/>
    <n v="7"/>
    <s v="Araliaceae"/>
    <x v="28"/>
    <s v="Sak chacaj"/>
    <m/>
    <m/>
    <m/>
    <n v="3"/>
    <e v="#REF!"/>
    <m/>
    <s v="S"/>
    <x v="0"/>
    <e v="#DIV/0!"/>
    <s v="herbácea"/>
    <m/>
    <m/>
    <m/>
  </r>
  <r>
    <n v="6"/>
    <x v="2"/>
    <n v="2"/>
    <n v="7"/>
    <n v="8"/>
    <s v="Polygonaceae"/>
    <x v="13"/>
    <s v="Boob"/>
    <n v="33"/>
    <n v="10.504226244065093"/>
    <n v="7"/>
    <n v="12"/>
    <m/>
    <s v="C"/>
    <s v="S"/>
    <x v="0"/>
    <n v="1.1423973285781066"/>
    <s v="árbol"/>
    <n v="16"/>
    <s v="Vol = Exp(-9.63519924+1.83658572*LN(DIAMETRO)+1.02444663*LN(ALTURATOTAL))"/>
    <n v="6.2642977111450393E-2"/>
  </r>
  <r>
    <n v="11"/>
    <x v="2"/>
    <n v="2"/>
    <n v="7"/>
    <n v="8"/>
    <s v="Polygonaceae"/>
    <x v="13"/>
    <s v="Boob"/>
    <n v="36"/>
    <n v="11.459155902616464"/>
    <n v="6"/>
    <n v="11"/>
    <m/>
    <s v="C"/>
    <s v="S"/>
    <x v="0"/>
    <n v="0.95993108859688125"/>
    <s v="árbol"/>
    <n v="16"/>
    <s v="Vol = Exp(-9.63519924+1.83658572*LN(DIAMETRO)+1.02444663*LN(ALTURATOTAL))"/>
    <n v="6.7229821297668677E-2"/>
  </r>
  <r>
    <n v="2"/>
    <x v="0"/>
    <n v="2"/>
    <n v="8"/>
    <n v="8"/>
    <s v="Polygonaceae"/>
    <x v="13"/>
    <s v="Boob"/>
    <n v="16"/>
    <n v="5.0929581789406511"/>
    <n v="3.5"/>
    <n v="7"/>
    <m/>
    <s v="C"/>
    <s v="S"/>
    <x v="0"/>
    <n v="1.3744467859455345"/>
    <s v="arbusto"/>
    <m/>
    <m/>
    <m/>
  </r>
  <r>
    <n v="6"/>
    <x v="0"/>
    <n v="1"/>
    <n v="8"/>
    <n v="8"/>
    <s v="Polygonaceae"/>
    <x v="13"/>
    <s v="Boob"/>
    <n v="21.5"/>
    <n v="6.8436625529514998"/>
    <n v="6"/>
    <n v="11"/>
    <m/>
    <s v="C"/>
    <s v="S"/>
    <x v="0"/>
    <n v="1.6073264739296615"/>
    <s v="arbusto"/>
    <m/>
    <m/>
    <m/>
  </r>
  <r>
    <n v="9"/>
    <x v="2"/>
    <n v="2"/>
    <n v="9"/>
    <n v="9"/>
    <s v="Polygonaceae"/>
    <x v="13"/>
    <s v="Boob"/>
    <n v="32"/>
    <n v="10.185916357881302"/>
    <n v="7"/>
    <n v="12"/>
    <m/>
    <s v="C"/>
    <s v="S"/>
    <x v="0"/>
    <n v="1.1780972450961724"/>
    <s v="árbol"/>
    <n v="16"/>
    <s v="Vol = Exp(-9.63519924+1.83658572*LN(DIAMETRO)+1.02444663*LN(ALTURATOTAL))"/>
    <n v="5.9200902635031444E-2"/>
  </r>
  <r>
    <n v="6"/>
    <x v="1"/>
    <m/>
    <n v="8"/>
    <n v="8"/>
    <s v="Araliaceae"/>
    <x v="28"/>
    <s v="Sak chacaj"/>
    <m/>
    <m/>
    <m/>
    <n v="8"/>
    <e v="#REF!"/>
    <m/>
    <s v="S"/>
    <x v="0"/>
    <e v="#DIV/0!"/>
    <s v="herbácea"/>
    <m/>
    <m/>
    <m/>
  </r>
  <r>
    <n v="3"/>
    <x v="2"/>
    <n v="1"/>
    <n v="10"/>
    <n v="10"/>
    <s v="Polygonaceae"/>
    <x v="13"/>
    <s v="Boob"/>
    <n v="42"/>
    <n v="13.369015219719209"/>
    <n v="5.5"/>
    <n v="9"/>
    <m/>
    <s v="C"/>
    <s v="S"/>
    <x v="0"/>
    <n v="0.67319842576924138"/>
    <s v="árbol"/>
    <n v="16"/>
    <s v="Vol = Exp(-9.63519924+1.83658572*LN(DIAMETRO)+1.02444663*LN(ALTURATOTAL))"/>
    <n v="7.2649858185882196E-2"/>
  </r>
  <r>
    <n v="10"/>
    <x v="2"/>
    <n v="3"/>
    <n v="10"/>
    <n v="10"/>
    <s v="Polygonaceae"/>
    <x v="13"/>
    <s v="Boob"/>
    <n v="47"/>
    <n v="14.960564650638162"/>
    <n v="4"/>
    <n v="10"/>
    <m/>
    <s v="C"/>
    <s v="S"/>
    <x v="0"/>
    <n v="0.66842396884889221"/>
    <s v="árbol"/>
    <n v="16"/>
    <s v="Vol = Exp(-9.63519924+1.83658572*LN(DIAMETRO)+1.02444663*LN(ALTURATOTAL))"/>
    <n v="9.9500544983716244E-2"/>
  </r>
  <r>
    <n v="6"/>
    <x v="2"/>
    <n v="3"/>
    <n v="10"/>
    <n v="11"/>
    <s v="Polygonaceae"/>
    <x v="13"/>
    <s v="Boob"/>
    <n v="35"/>
    <n v="11.140846016432674"/>
    <n v="6"/>
    <n v="13"/>
    <m/>
    <s v="C"/>
    <s v="S"/>
    <x v="0"/>
    <n v="1.1668772713333517"/>
    <s v="árbol"/>
    <n v="16"/>
    <s v="Vol = Exp(-9.63519924+1.83658572*LN(DIAMETRO)+1.02444663*LN(ALTURATOTAL))"/>
    <n v="7.5755926738959659E-2"/>
  </r>
  <r>
    <n v="9"/>
    <x v="2"/>
    <n v="3"/>
    <n v="11"/>
    <n v="11"/>
    <s v="Polygonaceae"/>
    <x v="13"/>
    <s v="Boob"/>
    <n v="35.5"/>
    <n v="11.300000959524569"/>
    <n v="5"/>
    <n v="10"/>
    <m/>
    <s v="C"/>
    <s v="S"/>
    <x v="0"/>
    <n v="0.88495567706754741"/>
    <s v="árbol"/>
    <n v="16"/>
    <s v="Vol = Exp(-9.63519924+1.83658572*LN(DIAMETRO)+1.02444663*LN(ALTURATOTAL))"/>
    <n v="5.9429443989314337E-2"/>
  </r>
  <r>
    <n v="10"/>
    <x v="2"/>
    <n v="3"/>
    <n v="11"/>
    <n v="11"/>
    <s v="Polygonaceae"/>
    <x v="13"/>
    <s v="Boob"/>
    <n v="36"/>
    <n v="11.459155902616464"/>
    <n v="5"/>
    <n v="12"/>
    <m/>
    <s v="C"/>
    <s v="S"/>
    <x v="0"/>
    <n v="1.0471975511965976"/>
    <s v="árbol"/>
    <n v="16"/>
    <s v="Vol = Exp(-9.63519924+1.83658572*LN(DIAMETRO)+1.02444663*LN(ALTURATOTAL))"/>
    <n v="7.3497796805331805E-2"/>
  </r>
  <r>
    <n v="6"/>
    <x v="2"/>
    <n v="4"/>
    <n v="11"/>
    <n v="12"/>
    <s v="Polygonaceae"/>
    <x v="13"/>
    <s v="Boob"/>
    <n v="34.5"/>
    <n v="10.981691073340778"/>
    <n v="3"/>
    <n v="10"/>
    <m/>
    <s v="C"/>
    <s v="S"/>
    <x v="0"/>
    <n v="0.91060656625791103"/>
    <s v="árbol"/>
    <n v="16"/>
    <s v="Vol = Exp(-9.63519924+1.83658572*LN(DIAMETRO)+1.02444663*LN(ALTURATOTAL))"/>
    <n v="5.6391156457334175E-2"/>
  </r>
  <r>
    <n v="9"/>
    <x v="2"/>
    <n v="3"/>
    <n v="12"/>
    <n v="12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3"/>
    <x v="0"/>
    <n v="3"/>
    <n v="12"/>
    <n v="12"/>
    <s v="Polygonaceae"/>
    <x v="13"/>
    <s v="Boob"/>
    <n v="17"/>
    <n v="5.4112680651244416"/>
    <n v="5"/>
    <n v="8"/>
    <m/>
    <s v="C"/>
    <s v="S"/>
    <x v="0"/>
    <n v="1.478396542865785"/>
    <s v="arbusto"/>
    <m/>
    <m/>
    <m/>
  </r>
  <r>
    <n v="6"/>
    <x v="1"/>
    <m/>
    <n v="9"/>
    <n v="9"/>
    <s v="Araliaceae"/>
    <x v="28"/>
    <s v="Sak chacaj"/>
    <m/>
    <m/>
    <m/>
    <n v="7"/>
    <e v="#REF!"/>
    <m/>
    <s v="S"/>
    <x v="0"/>
    <e v="#DIV/0!"/>
    <s v="herbácea"/>
    <m/>
    <m/>
    <m/>
  </r>
  <r>
    <n v="9"/>
    <x v="2"/>
    <n v="3"/>
    <n v="13"/>
    <n v="13"/>
    <s v="Polygonaceae"/>
    <x v="13"/>
    <s v="Boob"/>
    <n v="37"/>
    <n v="11.777465788800255"/>
    <n v="5.5"/>
    <n v="10"/>
    <m/>
    <s v="C"/>
    <s v="S"/>
    <x v="0"/>
    <n v="0.84907909556480898"/>
    <s v="árbol"/>
    <n v="16"/>
    <s v="Vol = Exp(-9.63519924+1.83658572*LN(DIAMETRO)+1.02444663*LN(ALTURATOTAL))"/>
    <n v="6.4122626594503129E-2"/>
  </r>
  <r>
    <n v="10"/>
    <x v="2"/>
    <n v="4"/>
    <n v="13"/>
    <n v="13"/>
    <s v="Polygonaceae"/>
    <x v="13"/>
    <s v="Boob"/>
    <n v="31.5"/>
    <n v="10.026761414789407"/>
    <n v="5"/>
    <n v="11"/>
    <m/>
    <s v="C"/>
    <s v="S"/>
    <x v="0"/>
    <n v="1.0970641012535784"/>
    <s v="árbol"/>
    <n v="16"/>
    <s v="Vol = Exp(-9.63519924+1.83658572*LN(DIAMETRO)+1.02444663*LN(ALTURATOTAL))"/>
    <n v="5.2608361423648733E-2"/>
  </r>
  <r>
    <n v="10"/>
    <x v="0"/>
    <n v="1"/>
    <n v="13"/>
    <n v="13"/>
    <s v="Polygonaceae"/>
    <x v="13"/>
    <s v="Boob"/>
    <n v="29.5"/>
    <n v="9.3901416424218258"/>
    <n v="5"/>
    <n v="10"/>
    <m/>
    <s v="C"/>
    <s v="S"/>
    <x v="0"/>
    <n v="1.0649466622338282"/>
    <s v="arbusto"/>
    <m/>
    <m/>
    <m/>
  </r>
  <r>
    <n v="11"/>
    <x v="0"/>
    <n v="1"/>
    <n v="13"/>
    <n v="13"/>
    <s v="Polygonaceae"/>
    <x v="13"/>
    <s v="Boob"/>
    <n v="18.5"/>
    <n v="5.8887328944001274"/>
    <n v="6"/>
    <n v="8"/>
    <m/>
    <s v="C"/>
    <s v="S"/>
    <x v="0"/>
    <n v="1.3585265529036943"/>
    <s v="arbusto"/>
    <m/>
    <m/>
    <m/>
  </r>
  <r>
    <n v="6"/>
    <x v="1"/>
    <m/>
    <n v="10"/>
    <n v="10"/>
    <s v="Rubiaceae"/>
    <x v="15"/>
    <s v="Tasta'ab"/>
    <m/>
    <m/>
    <m/>
    <n v="2"/>
    <e v="#REF!"/>
    <m/>
    <s v="S"/>
    <x v="0"/>
    <e v="#DIV/0!"/>
    <s v="herbácea"/>
    <m/>
    <m/>
    <m/>
  </r>
  <r>
    <n v="5"/>
    <x v="2"/>
    <n v="1"/>
    <n v="13"/>
    <n v="14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9"/>
    <x v="2"/>
    <n v="3"/>
    <n v="14"/>
    <n v="14"/>
    <s v="Polygonaceae"/>
    <x v="13"/>
    <s v="Boob"/>
    <n v="32"/>
    <n v="10.185916357881302"/>
    <n v="6"/>
    <n v="12"/>
    <m/>
    <s v="C"/>
    <s v="S"/>
    <x v="0"/>
    <n v="1.1780972450961724"/>
    <s v="árbol"/>
    <n v="16"/>
    <s v="Vol = Exp(-9.63519924+1.83658572*LN(DIAMETRO)+1.02444663*LN(ALTURATOTAL))"/>
    <n v="5.9200902635031444E-2"/>
  </r>
  <r>
    <n v="11"/>
    <x v="0"/>
    <n v="1"/>
    <n v="14"/>
    <n v="14"/>
    <s v="Polygonaceae"/>
    <x v="13"/>
    <s v="Boob"/>
    <n v="24"/>
    <n v="7.6394372684109761"/>
    <n v="6"/>
    <n v="8"/>
    <m/>
    <s v="C"/>
    <s v="S"/>
    <x v="0"/>
    <n v="1.0471975511965976"/>
    <s v="arbusto"/>
    <m/>
    <m/>
    <m/>
  </r>
  <r>
    <n v="6"/>
    <x v="1"/>
    <m/>
    <n v="11"/>
    <n v="11"/>
    <s v="Leguminosae"/>
    <x v="31"/>
    <s v="Kanasin"/>
    <m/>
    <m/>
    <m/>
    <n v="1"/>
    <e v="#REF!"/>
    <m/>
    <s v="S"/>
    <x v="0"/>
    <e v="#DIV/0!"/>
    <s v="herbácea"/>
    <m/>
    <m/>
    <m/>
  </r>
  <r>
    <n v="4"/>
    <x v="0"/>
    <n v="2"/>
    <n v="14"/>
    <n v="15"/>
    <s v="Polygonaceae"/>
    <x v="13"/>
    <s v="Boob"/>
    <n v="22.5"/>
    <n v="7.1619724391352904"/>
    <n v="1.3"/>
    <n v="6"/>
    <m/>
    <s v="C"/>
    <s v="S"/>
    <x v="0"/>
    <n v="0.83775804095727813"/>
    <s v="arbusto"/>
    <m/>
    <m/>
    <m/>
  </r>
  <r>
    <n v="11"/>
    <x v="0"/>
    <n v="2"/>
    <n v="15"/>
    <n v="15"/>
    <s v="Polygonaceae"/>
    <x v="13"/>
    <s v="Boob"/>
    <n v="18"/>
    <n v="5.7295779513082321"/>
    <n v="3.5"/>
    <n v="7"/>
    <m/>
    <s v="C"/>
    <s v="S"/>
    <x v="0"/>
    <n v="1.2217304763960306"/>
    <s v="arbusto"/>
    <m/>
    <m/>
    <m/>
  </r>
  <r>
    <n v="6"/>
    <x v="1"/>
    <m/>
    <n v="12"/>
    <n v="12"/>
    <s v="Polygonaceae"/>
    <x v="13"/>
    <s v="Boob"/>
    <m/>
    <m/>
    <m/>
    <n v="2.2000000000000002"/>
    <e v="#REF!"/>
    <m/>
    <s v="S"/>
    <x v="0"/>
    <e v="#DIV/0!"/>
    <s v="herbácea"/>
    <m/>
    <m/>
    <m/>
  </r>
  <r>
    <n v="2"/>
    <x v="2"/>
    <n v="1"/>
    <n v="16"/>
    <n v="16"/>
    <s v="Polygonaceae"/>
    <x v="13"/>
    <s v="Boob"/>
    <n v="31.5"/>
    <n v="10.026761414789407"/>
    <n v="6"/>
    <n v="9"/>
    <m/>
    <s v="C"/>
    <s v="S"/>
    <x v="0"/>
    <n v="0.89759790102565518"/>
    <s v="árbol"/>
    <n v="16"/>
    <s v="Vol = Exp(-9.63519924+1.83658572*LN(DIAMETRO)+1.02444663*LN(ALTURATOTAL))"/>
    <n v="4.2832563889274963E-2"/>
  </r>
  <r>
    <n v="11"/>
    <x v="2"/>
    <n v="3"/>
    <n v="15"/>
    <n v="16"/>
    <s v="Polygonaceae"/>
    <x v="13"/>
    <s v="Boob"/>
    <n v="31.5"/>
    <n v="10.026761414789407"/>
    <n v="5"/>
    <n v="12"/>
    <m/>
    <s v="C"/>
    <s v="S"/>
    <x v="0"/>
    <n v="1.1967972013675401"/>
    <s v="árbol"/>
    <n v="16"/>
    <s v="Vol = Exp(-9.63519924+1.83658572*LN(DIAMETRO)+1.02444663*LN(ALTURATOTAL))"/>
    <n v="5.751314793857517E-2"/>
  </r>
  <r>
    <n v="6"/>
    <x v="1"/>
    <m/>
    <n v="13"/>
    <n v="13"/>
    <s v="Polygonaceae"/>
    <x v="13"/>
    <s v="Boob"/>
    <m/>
    <m/>
    <m/>
    <n v="1.9"/>
    <e v="#REF!"/>
    <m/>
    <s v="S"/>
    <x v="0"/>
    <e v="#DIV/0!"/>
    <s v="herbácea"/>
    <m/>
    <m/>
    <m/>
  </r>
  <r>
    <n v="6"/>
    <x v="2"/>
    <n v="4"/>
    <n v="16"/>
    <n v="17"/>
    <s v="Polygonaceae"/>
    <x v="13"/>
    <s v="Boob"/>
    <n v="34"/>
    <n v="10.822536130248883"/>
    <n v="5.5"/>
    <n v="11"/>
    <m/>
    <s v="C"/>
    <s v="S"/>
    <x v="0"/>
    <n v="1.0163976232202272"/>
    <s v="árbol"/>
    <n v="16"/>
    <s v="Vol = Exp(-9.63519924+1.83658572*LN(DIAMETRO)+1.02444663*LN(ALTURATOTAL))"/>
    <n v="6.0530089697250426E-2"/>
  </r>
  <r>
    <n v="11"/>
    <x v="2"/>
    <n v="3"/>
    <n v="16"/>
    <n v="17"/>
    <s v="Polygonaceae"/>
    <x v="13"/>
    <s v="Boob"/>
    <n v="35"/>
    <n v="11.140846016432674"/>
    <n v="6"/>
    <n v="13"/>
    <m/>
    <s v="C"/>
    <s v="S"/>
    <x v="0"/>
    <n v="1.1668772713333517"/>
    <s v="árbol"/>
    <n v="16"/>
    <s v="Vol = Exp(-9.63519924+1.83658572*LN(DIAMETRO)+1.02444663*LN(ALTURATOTAL))"/>
    <n v="7.5755926738959659E-2"/>
  </r>
  <r>
    <n v="7"/>
    <x v="2"/>
    <n v="2"/>
    <n v="15"/>
    <n v="18"/>
    <s v="Polygonaceae"/>
    <x v="13"/>
    <s v="Boob"/>
    <n v="49"/>
    <n v="15.597184423005743"/>
    <n v="9"/>
    <n v="13"/>
    <m/>
    <s v="C"/>
    <s v="S"/>
    <x v="0"/>
    <n v="0.83348376523810841"/>
    <s v="árbol"/>
    <n v="16"/>
    <s v="Vol = Exp(-9.63519924+1.83658572*LN(DIAMETRO)+1.02444663*LN(ALTURATOTAL))"/>
    <n v="0.14053784150461127"/>
  </r>
  <r>
    <n v="11"/>
    <x v="2"/>
    <n v="3"/>
    <n v="17"/>
    <n v="18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6"/>
    <x v="1"/>
    <m/>
    <n v="14"/>
    <n v="14"/>
    <s v="Polygonaceae"/>
    <x v="13"/>
    <s v="Boob"/>
    <m/>
    <m/>
    <m/>
    <n v="2.5"/>
    <e v="#REF!"/>
    <m/>
    <s v="S"/>
    <x v="0"/>
    <e v="#DIV/0!"/>
    <s v="herbácea"/>
    <m/>
    <m/>
    <m/>
  </r>
  <r>
    <n v="2"/>
    <x v="2"/>
    <n v="2"/>
    <n v="20"/>
    <n v="20"/>
    <s v="Polygonaceae"/>
    <x v="13"/>
    <s v="Boob"/>
    <n v="34.5"/>
    <n v="10.981691073340778"/>
    <n v="7"/>
    <n v="10"/>
    <m/>
    <s v="C"/>
    <s v="S"/>
    <x v="0"/>
    <n v="0.91060656625791103"/>
    <s v="árbol"/>
    <n v="16"/>
    <s v="Vol = Exp(-9.63519924+1.83658572*LN(DIAMETRO)+1.02444663*LN(ALTURATOTAL))"/>
    <n v="5.6391156457334175E-2"/>
  </r>
  <r>
    <n v="11"/>
    <x v="2"/>
    <n v="4"/>
    <n v="20"/>
    <n v="21"/>
    <s v="Polygonaceae"/>
    <x v="13"/>
    <s v="Boob"/>
    <n v="36"/>
    <n v="11.459155902616464"/>
    <n v="6"/>
    <n v="12"/>
    <m/>
    <s v="C"/>
    <s v="S"/>
    <x v="0"/>
    <n v="1.0471975511965976"/>
    <s v="árbol"/>
    <n v="16"/>
    <s v="Vol = Exp(-9.63519924+1.83658572*LN(DIAMETRO)+1.02444663*LN(ALTURATOTAL))"/>
    <n v="7.3497796805331805E-2"/>
  </r>
  <r>
    <n v="8"/>
    <x v="2"/>
    <n v="2"/>
    <n v="20"/>
    <n v="22"/>
    <s v="Polygonaceae"/>
    <x v="13"/>
    <s v="Boob"/>
    <n v="34"/>
    <n v="10.822536130248883"/>
    <n v="8"/>
    <n v="11"/>
    <m/>
    <s v="C"/>
    <s v="S"/>
    <x v="0"/>
    <n v="1.0163976232202272"/>
    <s v="árbol"/>
    <n v="16"/>
    <s v="Vol = Exp(-9.63519924+1.83658572*LN(DIAMETRO)+1.02444663*LN(ALTURATOTAL))"/>
    <n v="6.0530089697250426E-2"/>
  </r>
  <r>
    <n v="11"/>
    <x v="2"/>
    <n v="4"/>
    <n v="21"/>
    <n v="22"/>
    <s v="Polygonaceae"/>
    <x v="13"/>
    <s v="Boob"/>
    <n v="38.5"/>
    <n v="12.254930618075941"/>
    <n v="1.4"/>
    <n v="12"/>
    <m/>
    <s v="C"/>
    <s v="S"/>
    <x v="0"/>
    <n v="0.97919771020980573"/>
    <s v="árbol"/>
    <n v="16"/>
    <s v="Vol = Exp(-9.63519924+1.83658572*LN(DIAMETRO)+1.02444663*LN(ALTURATOTAL))"/>
    <n v="8.3143041429044176E-2"/>
  </r>
  <r>
    <n v="11"/>
    <x v="0"/>
    <n v="3"/>
    <n v="22"/>
    <n v="22"/>
    <s v="Polygonaceae"/>
    <x v="13"/>
    <s v="Boob"/>
    <n v="22"/>
    <n v="7.0028174960433951"/>
    <n v="3.5"/>
    <n v="8"/>
    <m/>
    <s v="C"/>
    <s v="S"/>
    <x v="0"/>
    <n v="1.1423973285781066"/>
    <s v="arbusto"/>
    <m/>
    <m/>
    <m/>
  </r>
  <r>
    <n v="5"/>
    <x v="2"/>
    <n v="2"/>
    <n v="21"/>
    <n v="23"/>
    <s v="Polygonaceae"/>
    <x v="13"/>
    <s v="Boob"/>
    <n v="33"/>
    <n v="10.504226244065093"/>
    <n v="4"/>
    <n v="10"/>
    <m/>
    <s v="C"/>
    <s v="S"/>
    <x v="0"/>
    <n v="0.95199777381508877"/>
    <s v="árbol"/>
    <n v="16"/>
    <s v="Vol = Exp(-9.63519924+1.83658572*LN(DIAMETRO)+1.02444663*LN(ALTURATOTAL))"/>
    <n v="5.1970324523567132E-2"/>
  </r>
  <r>
    <n v="8"/>
    <x v="2"/>
    <n v="2"/>
    <n v="21"/>
    <n v="23"/>
    <s v="Polygonaceae"/>
    <x v="13"/>
    <s v="Boob"/>
    <n v="41.5"/>
    <n v="13.209860276627314"/>
    <n v="9"/>
    <n v="12"/>
    <m/>
    <s v="C"/>
    <s v="S"/>
    <x v="0"/>
    <n v="0.90841233356813289"/>
    <s v="árbol"/>
    <n v="16"/>
    <s v="Vol = Exp(-9.63519924+1.83658572*LN(DIAMETRO)+1.02444663*LN(ALTURATOTAL))"/>
    <n v="9.5427907409601123E-2"/>
  </r>
  <r>
    <n v="6"/>
    <x v="0"/>
    <n v="3"/>
    <n v="20"/>
    <n v="23"/>
    <s v="Polygonaceae"/>
    <x v="13"/>
    <s v="Boob"/>
    <n v="16.5"/>
    <n v="5.2521131220325463"/>
    <n v="5"/>
    <n v="8"/>
    <m/>
    <s v="C"/>
    <s v="S"/>
    <x v="0"/>
    <n v="1.5231964381041421"/>
    <s v="arbusto"/>
    <m/>
    <m/>
    <m/>
  </r>
  <r>
    <n v="11"/>
    <x v="0"/>
    <n v="3"/>
    <n v="23"/>
    <n v="23"/>
    <s v="Polygonaceae"/>
    <x v="13"/>
    <s v="Boob"/>
    <n v="21.5"/>
    <n v="6.8436625529514998"/>
    <n v="3.5"/>
    <n v="8"/>
    <m/>
    <s v="C"/>
    <s v="S"/>
    <x v="0"/>
    <n v="1.1689647083124812"/>
    <s v="arbusto"/>
    <m/>
    <m/>
    <m/>
  </r>
  <r>
    <n v="5"/>
    <x v="2"/>
    <n v="2"/>
    <n v="22"/>
    <n v="24"/>
    <s v="Polygonaceae"/>
    <x v="13"/>
    <s v="Boob"/>
    <n v="35"/>
    <n v="11.140846016432674"/>
    <n v="6"/>
    <n v="11"/>
    <m/>
    <s v="C"/>
    <s v="S"/>
    <x v="0"/>
    <n v="0.98735769112822069"/>
    <s v="árbol"/>
    <n v="16"/>
    <s v="Vol = Exp(-9.63519924+1.83658572*LN(DIAMETRO)+1.02444663*LN(ALTURATOTAL))"/>
    <n v="6.3839919236367462E-2"/>
  </r>
  <r>
    <n v="9"/>
    <x v="0"/>
    <n v="2"/>
    <n v="24"/>
    <n v="24"/>
    <s v="Polygonaceae"/>
    <x v="13"/>
    <s v="Boob"/>
    <n v="21"/>
    <n v="6.6845076098596046"/>
    <n v="3"/>
    <n v="9"/>
    <m/>
    <s v="C"/>
    <s v="S"/>
    <x v="0"/>
    <n v="1.3463968515384828"/>
    <s v="arbusto"/>
    <m/>
    <m/>
    <m/>
  </r>
  <r>
    <n v="1"/>
    <x v="2"/>
    <n v="4"/>
    <n v="22"/>
    <n v="25"/>
    <s v="Polygonaceae"/>
    <x v="13"/>
    <s v="Boob"/>
    <n v="54.5"/>
    <n v="17.347888797016591"/>
    <n v="8"/>
    <n v="15"/>
    <m/>
    <s v="C"/>
    <s v="S"/>
    <x v="0"/>
    <n v="0.86465852851095226"/>
    <s v="árbol"/>
    <n v="16"/>
    <s v="Vol = Exp(-9.63519924+1.83658572*LN(DIAMETRO)+1.02444663*LN(ALTURATOTAL))"/>
    <n v="0.19783882699633751"/>
  </r>
  <r>
    <n v="9"/>
    <x v="0"/>
    <n v="2"/>
    <n v="25"/>
    <n v="25"/>
    <s v="Polygonaceae"/>
    <x v="13"/>
    <s v="Boob"/>
    <n v="25"/>
    <n v="7.9577471545947667"/>
    <n v="5"/>
    <n v="9"/>
    <m/>
    <s v="C"/>
    <s v="S"/>
    <x v="0"/>
    <n v="1.1309733552923256"/>
    <s v="arbusto"/>
    <m/>
    <m/>
    <m/>
  </r>
  <r>
    <n v="11"/>
    <x v="0"/>
    <n v="3"/>
    <n v="25"/>
    <n v="25"/>
    <s v="Polygonaceae"/>
    <x v="13"/>
    <s v="Boob"/>
    <n v="18"/>
    <n v="5.7295779513082321"/>
    <n v="5.5"/>
    <n v="5.5"/>
    <m/>
    <s v="C"/>
    <s v="S"/>
    <x v="0"/>
    <n v="0.95993108859688125"/>
    <s v="arbusto"/>
    <m/>
    <m/>
    <m/>
  </r>
  <r>
    <n v="9"/>
    <x v="2"/>
    <n v="4"/>
    <n v="23"/>
    <n v="26"/>
    <s v="Polygonaceae"/>
    <x v="13"/>
    <s v="Boob"/>
    <n v="35.5"/>
    <n v="11.300000959524569"/>
    <n v="2.2000000000000002"/>
    <n v="9"/>
    <m/>
    <s v="C"/>
    <s v="S"/>
    <x v="0"/>
    <n v="0.79646010936079259"/>
    <s v="árbol"/>
    <n v="16"/>
    <s v="Vol = Exp(-9.63519924+1.83658572*LN(DIAMETRO)+1.02444663*LN(ALTURATOTAL))"/>
    <n v="5.3348911172938406E-2"/>
  </r>
  <r>
    <n v="9"/>
    <x v="2"/>
    <n v="4"/>
    <n v="25"/>
    <n v="28"/>
    <s v="Polygonaceae"/>
    <x v="13"/>
    <s v="Boob"/>
    <n v="37.200000000000003"/>
    <n v="11.841127766037014"/>
    <n v="4"/>
    <n v="10"/>
    <m/>
    <s v="C"/>
    <s v="S"/>
    <x v="0"/>
    <n v="0.84451415419080456"/>
    <s v="árbol"/>
    <n v="16"/>
    <s v="Vol = Exp(-9.63519924+1.83658572*LN(DIAMETRO)+1.02444663*LN(ALTURATOTAL))"/>
    <n v="6.4760642257022452E-2"/>
  </r>
  <r>
    <n v="4"/>
    <x v="2"/>
    <n v="2"/>
    <n v="28"/>
    <n v="29"/>
    <s v="Polygonaceae"/>
    <x v="13"/>
    <s v="Boob"/>
    <n v="48.5"/>
    <n v="15.438029479913848"/>
    <n v="3.5"/>
    <n v="13"/>
    <m/>
    <s v="C"/>
    <s v="S"/>
    <x v="0"/>
    <n v="0.84207638137458374"/>
    <s v="árbol"/>
    <n v="16"/>
    <s v="Vol = Exp(-9.63519924+1.83658572*LN(DIAMETRO)+1.02444663*LN(ALTURATOTAL))"/>
    <n v="0.13791531609601446"/>
  </r>
  <r>
    <n v="5"/>
    <x v="2"/>
    <n v="3"/>
    <n v="28"/>
    <n v="30"/>
    <s v="Polygonaceae"/>
    <x v="13"/>
    <s v="Boob"/>
    <n v="31.5"/>
    <n v="10.026761414789407"/>
    <n v="6"/>
    <n v="9"/>
    <m/>
    <s v="C"/>
    <s v="S"/>
    <x v="0"/>
    <n v="0.89759790102565518"/>
    <s v="árbol"/>
    <n v="16"/>
    <s v="Vol = Exp(-9.63519924+1.83658572*LN(DIAMETRO)+1.02444663*LN(ALTURATOTAL))"/>
    <n v="4.2832563889274963E-2"/>
  </r>
  <r>
    <n v="11"/>
    <x v="0"/>
    <n v="3"/>
    <n v="30"/>
    <n v="30"/>
    <s v="Polygonaceae"/>
    <x v="13"/>
    <s v="Boob"/>
    <n v="18.5"/>
    <n v="5.8887328944001274"/>
    <n v="3"/>
    <n v="6"/>
    <m/>
    <s v="C"/>
    <s v="S"/>
    <x v="0"/>
    <n v="1.0188949146777708"/>
    <s v="arbusto"/>
    <m/>
    <m/>
    <m/>
  </r>
  <r>
    <n v="5"/>
    <x v="2"/>
    <n v="3"/>
    <n v="29"/>
    <n v="31"/>
    <s v="Polygonaceae"/>
    <x v="13"/>
    <s v="Boob"/>
    <n v="35"/>
    <n v="11.140846016432674"/>
    <n v="5.5"/>
    <n v="11"/>
    <m/>
    <s v="C"/>
    <s v="S"/>
    <x v="0"/>
    <n v="0.98735769112822069"/>
    <s v="árbol"/>
    <n v="16"/>
    <s v="Vol = Exp(-9.63519924+1.83658572*LN(DIAMETRO)+1.02444663*LN(ALTURATOTAL))"/>
    <n v="6.3839919236367462E-2"/>
  </r>
  <r>
    <n v="2"/>
    <x v="2"/>
    <n v="2"/>
    <n v="31"/>
    <n v="32"/>
    <s v="Polygonaceae"/>
    <x v="13"/>
    <s v="Boob"/>
    <n v="48"/>
    <n v="15.278874536821952"/>
    <n v="7"/>
    <n v="11"/>
    <m/>
    <s v="C"/>
    <s v="S"/>
    <x v="0"/>
    <n v="0.719948316447661"/>
    <s v="árbol"/>
    <n v="16"/>
    <s v="Vol = Exp(-9.63519924+1.83658572*LN(DIAMETRO)+1.02444663*LN(ALTURATOTAL))"/>
    <n v="0.11403092739822697"/>
  </r>
  <r>
    <n v="5"/>
    <x v="2"/>
    <n v="3"/>
    <n v="30"/>
    <n v="32"/>
    <s v="Polygonaceae"/>
    <x v="13"/>
    <s v="Boob"/>
    <n v="34"/>
    <n v="10.822536130248883"/>
    <n v="6"/>
    <n v="10"/>
    <m/>
    <s v="C"/>
    <s v="S"/>
    <x v="0"/>
    <n v="0.92399783929111567"/>
    <s v="árbol"/>
    <n v="16"/>
    <s v="Vol = Exp(-9.63519924+1.83658572*LN(DIAMETRO)+1.02444663*LN(ALTURATOTAL))"/>
    <n v="5.489928909056653E-2"/>
  </r>
  <r>
    <n v="4"/>
    <x v="2"/>
    <n v="2"/>
    <n v="32"/>
    <n v="33"/>
    <s v="Polygonaceae"/>
    <x v="13"/>
    <s v="Boob"/>
    <n v="33"/>
    <n v="10.504226244065093"/>
    <n v="4"/>
    <n v="9"/>
    <m/>
    <s v="C"/>
    <s v="S"/>
    <x v="0"/>
    <n v="0.8567979964335799"/>
    <s v="árbol"/>
    <n v="16"/>
    <s v="Vol = Exp(-9.63519924+1.83658572*LN(DIAMETRO)+1.02444663*LN(ALTURATOTAL))"/>
    <n v="4.6652972676895367E-2"/>
  </r>
  <r>
    <n v="9"/>
    <x v="0"/>
    <n v="3"/>
    <n v="33"/>
    <n v="33"/>
    <s v="Polygonaceae"/>
    <x v="13"/>
    <s v="Boob"/>
    <n v="25.5"/>
    <n v="8.1169020976866619"/>
    <n v="7"/>
    <n v="10"/>
    <m/>
    <s v="C"/>
    <s v="S"/>
    <x v="0"/>
    <n v="1.2319971190548209"/>
    <s v="arbusto"/>
    <m/>
    <m/>
    <m/>
  </r>
  <r>
    <n v="7"/>
    <x v="2"/>
    <n v="3"/>
    <n v="31"/>
    <n v="34"/>
    <s v="Polygonaceae"/>
    <x v="13"/>
    <s v="Boob"/>
    <n v="38.5"/>
    <n v="12.254930618075941"/>
    <n v="5"/>
    <n v="13"/>
    <m/>
    <s v="C"/>
    <s v="S"/>
    <x v="0"/>
    <n v="1.0607975193939563"/>
    <s v="árbol"/>
    <n v="16"/>
    <s v="Vol = Exp(-9.63519924+1.83658572*LN(DIAMETRO)+1.02444663*LN(ALTURATOTAL))"/>
    <n v="9.0248050629486057E-2"/>
  </r>
  <r>
    <n v="11"/>
    <x v="0"/>
    <n v="3"/>
    <n v="34"/>
    <n v="34"/>
    <s v="Polygonaceae"/>
    <x v="13"/>
    <s v="Boob"/>
    <n v="31"/>
    <n v="9.8676064716975116"/>
    <n v="6"/>
    <n v="11"/>
    <m/>
    <s v="C"/>
    <s v="S"/>
    <x v="0"/>
    <n v="1.1147586835318621"/>
    <s v="arbusto"/>
    <m/>
    <m/>
    <m/>
  </r>
  <r>
    <n v="8"/>
    <x v="2"/>
    <n v="3"/>
    <n v="30"/>
    <n v="35"/>
    <s v="Polygonaceae"/>
    <x v="13"/>
    <s v="Boob"/>
    <n v="42"/>
    <n v="13.369015219719209"/>
    <n v="9"/>
    <n v="13"/>
    <m/>
    <s v="C"/>
    <s v="S"/>
    <x v="0"/>
    <n v="0.9723977261111264"/>
    <s v="árbol"/>
    <n v="16"/>
    <s v="Vol = Exp(-9.63519924+1.83658572*LN(DIAMETRO)+1.02444663*LN(ALTURATOTAL))"/>
    <n v="0.10588629712540945"/>
  </r>
  <r>
    <n v="9"/>
    <x v="0"/>
    <n v="3"/>
    <n v="35"/>
    <n v="35"/>
    <s v="Polygonaceae"/>
    <x v="13"/>
    <s v="Boob"/>
    <n v="21.5"/>
    <n v="6.8436625529514998"/>
    <n v="5"/>
    <n v="7"/>
    <m/>
    <s v="C"/>
    <s v="S"/>
    <x v="0"/>
    <n v="1.022844119773421"/>
    <s v="arbusto"/>
    <m/>
    <m/>
    <m/>
  </r>
  <r>
    <n v="4"/>
    <x v="2"/>
    <n v="3"/>
    <n v="37"/>
    <n v="38"/>
    <s v="Polygonaceae"/>
    <x v="13"/>
    <s v="Boob"/>
    <n v="32"/>
    <n v="10.185916357881302"/>
    <n v="4"/>
    <n v="10"/>
    <m/>
    <s v="C"/>
    <s v="S"/>
    <x v="0"/>
    <n v="0.98174770424681035"/>
    <s v="árbol"/>
    <n v="16"/>
    <s v="Vol = Exp(-9.63519924+1.83658572*LN(DIAMETRO)+1.02444663*LN(ALTURATOTAL))"/>
    <n v="4.9114685538601273E-2"/>
  </r>
  <r>
    <n v="9"/>
    <x v="0"/>
    <n v="3"/>
    <n v="39"/>
    <n v="39"/>
    <s v="Polygonaceae"/>
    <x v="13"/>
    <s v="Boob"/>
    <n v="19.5"/>
    <n v="6.2070427805839179"/>
    <n v="6"/>
    <n v="9"/>
    <m/>
    <s v="C"/>
    <s v="S"/>
    <x v="0"/>
    <n v="1.4499658401183662"/>
    <s v="arbusto"/>
    <m/>
    <m/>
    <m/>
  </r>
  <r>
    <n v="9"/>
    <x v="0"/>
    <n v="3"/>
    <n v="40"/>
    <n v="40"/>
    <s v="Polygonaceae"/>
    <x v="13"/>
    <s v="Boob"/>
    <n v="16"/>
    <n v="5.0929581789406511"/>
    <n v="4"/>
    <n v="8"/>
    <m/>
    <s v="C"/>
    <s v="S"/>
    <x v="0"/>
    <n v="1.5707963267948966"/>
    <s v="arbusto"/>
    <m/>
    <m/>
    <m/>
  </r>
  <r>
    <n v="2"/>
    <x v="2"/>
    <n v="3"/>
    <n v="44"/>
    <n v="46"/>
    <s v="Polygonaceae"/>
    <x v="13"/>
    <s v="Boob"/>
    <n v="36"/>
    <n v="11.459155902616464"/>
    <n v="5.5"/>
    <n v="10"/>
    <m/>
    <s v="C"/>
    <s v="S"/>
    <x v="0"/>
    <n v="0.87266462599716477"/>
    <s v="árbol"/>
    <n v="16"/>
    <s v="Vol = Exp(-9.63519924+1.83658572*LN(DIAMETRO)+1.02444663*LN(ALTURATOTAL))"/>
    <n v="6.0975779374989041E-2"/>
  </r>
  <r>
    <n v="9"/>
    <x v="0"/>
    <n v="4"/>
    <n v="48"/>
    <n v="48"/>
    <s v="Polygonaceae"/>
    <x v="13"/>
    <s v="Boob"/>
    <n v="24.5"/>
    <n v="7.7985922115028714"/>
    <n v="7"/>
    <n v="9"/>
    <m/>
    <s v="C"/>
    <s v="S"/>
    <x v="0"/>
    <n v="1.1540544441758425"/>
    <s v="arbusto"/>
    <m/>
    <m/>
    <m/>
  </r>
  <r>
    <n v="9"/>
    <x v="0"/>
    <n v="4"/>
    <n v="49"/>
    <n v="49"/>
    <s v="Polygonaceae"/>
    <x v="13"/>
    <s v="Boob"/>
    <n v="21.5"/>
    <n v="6.8436625529514998"/>
    <n v="6"/>
    <n v="8"/>
    <m/>
    <s v="C"/>
    <s v="S"/>
    <x v="0"/>
    <n v="1.1689647083124812"/>
    <s v="arbusto"/>
    <m/>
    <m/>
    <m/>
  </r>
  <r>
    <n v="8"/>
    <x v="2"/>
    <n v="4"/>
    <n v="47"/>
    <n v="52"/>
    <s v="Polygonaceae"/>
    <x v="13"/>
    <s v="Boob"/>
    <n v="31.5"/>
    <n v="10.026761414789407"/>
    <n v="6"/>
    <n v="10"/>
    <m/>
    <s v="C"/>
    <s v="S"/>
    <x v="0"/>
    <n v="0.99733100113961681"/>
    <s v="árbol"/>
    <n v="16"/>
    <s v="Vol = Exp(-9.63519924+1.83658572*LN(DIAMETRO)+1.02444663*LN(ALTURATOTAL))"/>
    <n v="4.771447815166701E-2"/>
  </r>
  <r>
    <n v="3"/>
    <x v="2"/>
    <n v="4"/>
    <n v="45"/>
    <n v="54"/>
    <s v="Polygonaceae"/>
    <x v="13"/>
    <s v="Boob"/>
    <n v="37.5"/>
    <n v="11.93662073189215"/>
    <n v="6"/>
    <n v="13"/>
    <m/>
    <s v="C"/>
    <s v="S"/>
    <x v="0"/>
    <n v="1.0890854532444616"/>
    <s v="árbol"/>
    <n v="16"/>
    <s v="Vol = Exp(-9.63519924+1.83658572*LN(DIAMETRO)+1.02444663*LN(ALTURATOTAL))"/>
    <n v="8.5989741535008518E-2"/>
  </r>
  <r>
    <n v="8"/>
    <x v="2"/>
    <n v="4"/>
    <n v="51"/>
    <n v="56"/>
    <s v="Polygonaceae"/>
    <x v="13"/>
    <s v="Boob"/>
    <n v="35"/>
    <n v="11.140846016432674"/>
    <n v="6"/>
    <n v="9"/>
    <m/>
    <s v="C"/>
    <s v="S"/>
    <x v="0"/>
    <n v="0.80783811092308966"/>
    <s v="árbol"/>
    <n v="16"/>
    <s v="Vol = Exp(-9.63519924+1.83658572*LN(DIAMETRO)+1.02444663*LN(ALTURATOTAL))"/>
    <n v="5.197704975750627E-2"/>
  </r>
  <r>
    <n v="8"/>
    <x v="2"/>
    <n v="4"/>
    <n v="52"/>
    <n v="57"/>
    <s v="Polygonaceae"/>
    <x v="13"/>
    <s v="Boob"/>
    <n v="37.5"/>
    <n v="11.93662073189215"/>
    <n v="4"/>
    <n v="13"/>
    <m/>
    <s v="C"/>
    <s v="S"/>
    <x v="0"/>
    <n v="1.0890854532444616"/>
    <s v="árbol"/>
    <n v="16"/>
    <s v="Vol = Exp(-9.63519924+1.83658572*LN(DIAMETRO)+1.02444663*LN(ALTURATOTAL))"/>
    <n v="8.5989741535008518E-2"/>
  </r>
  <r>
    <n v="3"/>
    <x v="2"/>
    <n v="4"/>
    <n v="51"/>
    <n v="60"/>
    <s v="Polygonaceae"/>
    <x v="13"/>
    <s v="Boob"/>
    <n v="49"/>
    <n v="15.597184423005743"/>
    <n v="5"/>
    <n v="13"/>
    <m/>
    <s v="C"/>
    <s v="S"/>
    <x v="0"/>
    <n v="0.83348376523810841"/>
    <s v="árbol"/>
    <n v="16"/>
    <s v="Vol = Exp(-9.63519924+1.83658572*LN(DIAMETRO)+1.02444663*LN(ALTURATOTAL))"/>
    <n v="0.14053784150461127"/>
  </r>
  <r>
    <n v="3"/>
    <x v="2"/>
    <n v="4"/>
    <n v="53"/>
    <n v="62"/>
    <s v="Polygonaceae"/>
    <x v="13"/>
    <s v="Boob"/>
    <n v="36.5"/>
    <n v="11.618310845708359"/>
    <n v="6"/>
    <n v="11"/>
    <m/>
    <s v="C"/>
    <s v="S"/>
    <x v="0"/>
    <n v="0.94678134765719801"/>
    <s v="árbol"/>
    <n v="16"/>
    <s v="Vol = Exp(-9.63519924+1.83658572*LN(DIAMETRO)+1.02444663*LN(ALTURATOTAL))"/>
    <n v="6.8954684113488304E-2"/>
  </r>
  <r>
    <n v="6"/>
    <x v="1"/>
    <m/>
    <n v="15"/>
    <n v="15"/>
    <s v="Polygonaceae"/>
    <x v="13"/>
    <s v="Boob"/>
    <m/>
    <m/>
    <m/>
    <n v="2.5"/>
    <e v="#REF!"/>
    <m/>
    <s v="S"/>
    <x v="0"/>
    <e v="#DIV/0!"/>
    <s v="herbácea"/>
    <m/>
    <m/>
    <m/>
  </r>
  <r>
    <n v="6"/>
    <x v="1"/>
    <m/>
    <n v="16"/>
    <n v="16"/>
    <s v="Polygonaceae"/>
    <x v="13"/>
    <s v="Boob"/>
    <m/>
    <m/>
    <m/>
    <n v="7"/>
    <e v="#REF!"/>
    <m/>
    <s v="S"/>
    <x v="0"/>
    <e v="#DIV/0!"/>
    <s v="herbácea"/>
    <m/>
    <m/>
    <m/>
  </r>
  <r>
    <n v="6"/>
    <x v="1"/>
    <m/>
    <n v="17"/>
    <n v="17"/>
    <s v="Myrtaceae"/>
    <x v="1"/>
    <s v="Granada cimarrona"/>
    <m/>
    <m/>
    <m/>
    <n v="3"/>
    <e v="#REF!"/>
    <m/>
    <s v="S"/>
    <x v="0"/>
    <e v="#DIV/0!"/>
    <s v="herbácea"/>
    <m/>
    <m/>
    <m/>
  </r>
  <r>
    <n v="6"/>
    <x v="1"/>
    <m/>
    <n v="18"/>
    <n v="18"/>
    <s v="Rubiaceae"/>
    <x v="35"/>
    <s v="Café de Monte"/>
    <m/>
    <m/>
    <m/>
    <n v="0.8"/>
    <e v="#REF!"/>
    <m/>
    <s v="S"/>
    <x v="0"/>
    <e v="#DIV/0!"/>
    <s v="herbácea"/>
    <m/>
    <m/>
    <m/>
  </r>
  <r>
    <n v="6"/>
    <x v="1"/>
    <m/>
    <n v="19"/>
    <n v="19"/>
    <s v="Rubiaceae"/>
    <x v="35"/>
    <s v="Café de Monte"/>
    <m/>
    <m/>
    <m/>
    <n v="0.7"/>
    <e v="#REF!"/>
    <m/>
    <s v="S"/>
    <x v="0"/>
    <e v="#DIV/0!"/>
    <s v="herbácea"/>
    <m/>
    <m/>
    <m/>
  </r>
  <r>
    <n v="6"/>
    <x v="1"/>
    <m/>
    <n v="20"/>
    <n v="20"/>
    <s v="Rubiaceae"/>
    <x v="35"/>
    <s v="Café de Monte"/>
    <m/>
    <m/>
    <m/>
    <n v="0.5"/>
    <e v="#REF!"/>
    <m/>
    <s v="S"/>
    <x v="0"/>
    <e v="#DIV/0!"/>
    <s v="herbácea"/>
    <m/>
    <m/>
    <m/>
  </r>
  <r>
    <n v="6"/>
    <x v="1"/>
    <m/>
    <n v="21"/>
    <n v="21"/>
    <s v="Rubiaceae"/>
    <x v="35"/>
    <s v="Café de Monte"/>
    <m/>
    <m/>
    <m/>
    <n v="0.4"/>
    <e v="#REF!"/>
    <m/>
    <s v="S"/>
    <x v="0"/>
    <e v="#DIV/0!"/>
    <s v="herbácea"/>
    <m/>
    <m/>
    <m/>
  </r>
  <r>
    <n v="6"/>
    <x v="1"/>
    <m/>
    <n v="22"/>
    <n v="22"/>
    <s v="Rubiaceae"/>
    <x v="35"/>
    <s v="Café de Monte"/>
    <m/>
    <m/>
    <m/>
    <n v="0.3"/>
    <e v="#REF!"/>
    <m/>
    <s v="S"/>
    <x v="0"/>
    <e v="#DIV/0!"/>
    <s v="herbácea"/>
    <m/>
    <m/>
    <m/>
  </r>
  <r>
    <n v="2"/>
    <x v="0"/>
    <n v="4"/>
    <n v="13"/>
    <n v="13"/>
    <s v="Leguminosae"/>
    <x v="5"/>
    <s v="Cacao che"/>
    <n v="16.5"/>
    <n v="5.2521131220325463"/>
    <n v="1.8"/>
    <n v="7"/>
    <m/>
    <s v="C"/>
    <s v="S"/>
    <x v="0"/>
    <n v="1.3327968833411243"/>
    <s v="arbusto"/>
    <m/>
    <m/>
    <m/>
  </r>
  <r>
    <n v="6"/>
    <x v="1"/>
    <m/>
    <n v="23"/>
    <n v="23"/>
    <s v="Leguminosae"/>
    <x v="31"/>
    <s v="Kanasin"/>
    <m/>
    <m/>
    <m/>
    <n v="0.2"/>
    <e v="#REF!"/>
    <m/>
    <s v="S"/>
    <x v="0"/>
    <e v="#DIV/0!"/>
    <s v="herbácea"/>
    <m/>
    <m/>
    <m/>
  </r>
  <r>
    <n v="6"/>
    <x v="1"/>
    <m/>
    <n v="24"/>
    <n v="2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5"/>
    <n v="25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6"/>
    <n v="26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7"/>
    <n v="27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8"/>
    <n v="28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29"/>
    <n v="29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0"/>
    <n v="30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1"/>
    <n v="31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2"/>
    <n v="32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3"/>
    <n v="33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4"/>
    <n v="3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5"/>
    <n v="35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6"/>
    <n v="36"/>
    <s v="Poaceae"/>
    <x v="29"/>
    <s v="Carricillo"/>
    <m/>
    <m/>
    <m/>
    <n v="0.4"/>
    <e v="#REF!"/>
    <m/>
    <s v="S"/>
    <x v="0"/>
    <e v="#DIV/0!"/>
    <s v="herbácea"/>
    <m/>
    <m/>
    <m/>
  </r>
  <r>
    <n v="3"/>
    <x v="0"/>
    <n v="1"/>
    <n v="2"/>
    <n v="2"/>
    <s v="Sapotaceae"/>
    <x v="36"/>
    <s v="Caimito"/>
    <n v="21"/>
    <n v="6.6845076098596046"/>
    <n v="2.5"/>
    <n v="9"/>
    <m/>
    <s v="C"/>
    <s v="S"/>
    <x v="0"/>
    <n v="1.3463968515384828"/>
    <s v="arbusto"/>
    <m/>
    <m/>
    <m/>
  </r>
  <r>
    <n v="8"/>
    <x v="0"/>
    <n v="1"/>
    <n v="9"/>
    <n v="9"/>
    <s v="Sapotaceae"/>
    <x v="36"/>
    <s v="Caimito"/>
    <n v="16"/>
    <n v="5.0929581789406511"/>
    <n v="2.5"/>
    <n v="6"/>
    <m/>
    <s v="C"/>
    <s v="S"/>
    <x v="0"/>
    <n v="1.1780972450961724"/>
    <s v="arbusto"/>
    <m/>
    <m/>
    <m/>
  </r>
  <r>
    <n v="6"/>
    <x v="1"/>
    <m/>
    <n v="37"/>
    <n v="37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8"/>
    <n v="38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39"/>
    <n v="39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0"/>
    <n v="40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1"/>
    <n v="41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2"/>
    <n v="42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3"/>
    <n v="43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4"/>
    <n v="4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5"/>
    <n v="45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6"/>
    <n v="46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7"/>
    <n v="47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8"/>
    <n v="48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49"/>
    <n v="49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0"/>
    <n v="50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1"/>
    <n v="51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2"/>
    <n v="52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3"/>
    <n v="53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4"/>
    <n v="54"/>
    <s v="Poaceae"/>
    <x v="29"/>
    <s v="Carricillo"/>
    <m/>
    <m/>
    <m/>
    <n v="0.4"/>
    <e v="#REF!"/>
    <m/>
    <s v="S"/>
    <x v="0"/>
    <e v="#DIV/0!"/>
    <s v="herbácea"/>
    <m/>
    <m/>
    <m/>
  </r>
  <r>
    <n v="6"/>
    <x v="1"/>
    <m/>
    <n v="55"/>
    <n v="55"/>
    <s v="Meliaceae"/>
    <x v="37"/>
    <s v="Choobem che'"/>
    <m/>
    <m/>
    <m/>
    <n v="1"/>
    <e v="#REF!"/>
    <m/>
    <s v="S"/>
    <x v="0"/>
    <e v="#DIV/0!"/>
    <s v="herbácea"/>
    <m/>
    <m/>
    <m/>
  </r>
  <r>
    <n v="6"/>
    <x v="1"/>
    <m/>
    <n v="56"/>
    <n v="56"/>
    <s v="Sapindaceae"/>
    <x v="24"/>
    <s v="Bejuco alado"/>
    <m/>
    <m/>
    <m/>
    <n v="0.6"/>
    <e v="#REF!"/>
    <m/>
    <s v="S"/>
    <x v="0"/>
    <e v="#DIV/0!"/>
    <s v="herbácea"/>
    <m/>
    <m/>
    <m/>
  </r>
  <r>
    <n v="7"/>
    <x v="1"/>
    <m/>
    <n v="1"/>
    <n v="1"/>
    <s v="Sapotaceae"/>
    <x v="38"/>
    <s v="Kaniste"/>
    <m/>
    <m/>
    <m/>
    <n v="5"/>
    <e v="#REF!"/>
    <m/>
    <s v="SC"/>
    <x v="0"/>
    <e v="#DIV/0!"/>
    <s v="herbácea"/>
    <m/>
    <m/>
    <m/>
  </r>
  <r>
    <n v="7"/>
    <x v="1"/>
    <m/>
    <n v="2"/>
    <n v="2"/>
    <s v="Salicaceae"/>
    <x v="39"/>
    <s v="Tamay"/>
    <m/>
    <m/>
    <m/>
    <n v="1.5"/>
    <e v="#REF!"/>
    <m/>
    <s v="S"/>
    <x v="0"/>
    <e v="#DIV/0!"/>
    <s v="herbácea"/>
    <m/>
    <m/>
    <m/>
  </r>
  <r>
    <n v="7"/>
    <x v="1"/>
    <m/>
    <n v="3"/>
    <n v="3"/>
    <s v="Myrtaceae"/>
    <x v="1"/>
    <s v="Granada cimarrona"/>
    <m/>
    <m/>
    <m/>
    <n v="1.5"/>
    <e v="#REF!"/>
    <m/>
    <s v="S"/>
    <x v="0"/>
    <e v="#DIV/0!"/>
    <s v="herbácea"/>
    <m/>
    <m/>
    <m/>
  </r>
  <r>
    <n v="7"/>
    <x v="1"/>
    <m/>
    <n v="4"/>
    <n v="4"/>
    <s v="Myrtaceae"/>
    <x v="12"/>
    <s v="Guayabillo"/>
    <m/>
    <m/>
    <m/>
    <n v="1.2"/>
    <e v="#REF!"/>
    <m/>
    <s v="S"/>
    <x v="0"/>
    <e v="#DIV/0!"/>
    <s v="herbácea"/>
    <m/>
    <m/>
    <m/>
  </r>
  <r>
    <n v="7"/>
    <x v="1"/>
    <m/>
    <n v="5"/>
    <n v="5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6"/>
    <n v="6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7"/>
    <n v="7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8"/>
    <n v="8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9"/>
    <n v="9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0"/>
    <n v="10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1"/>
    <n v="11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2"/>
    <n v="12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3"/>
    <n v="13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4"/>
    <n v="14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5"/>
    <n v="15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6"/>
    <n v="16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7"/>
    <n v="17"/>
    <s v="Lauraceae"/>
    <x v="0"/>
    <s v="Aguacatillo"/>
    <m/>
    <m/>
    <m/>
    <n v="0.4"/>
    <e v="#REF!"/>
    <m/>
    <s v="S"/>
    <x v="0"/>
    <e v="#DIV/0!"/>
    <s v="herbácea"/>
    <m/>
    <m/>
    <m/>
  </r>
  <r>
    <n v="7"/>
    <x v="1"/>
    <m/>
    <n v="18"/>
    <n v="18"/>
    <s v="Arecaceae"/>
    <x v="40"/>
    <s v="Palma chit"/>
    <m/>
    <m/>
    <m/>
    <n v="0.6"/>
    <e v="#REF!"/>
    <m/>
    <s v="S"/>
    <x v="0"/>
    <e v="#DIV/0!"/>
    <s v="herbácea"/>
    <m/>
    <m/>
    <m/>
  </r>
  <r>
    <n v="7"/>
    <x v="1"/>
    <m/>
    <n v="19"/>
    <n v="19"/>
    <s v="Leguminosae"/>
    <x v="41"/>
    <s v="Jabín"/>
    <m/>
    <m/>
    <m/>
    <n v="0.15"/>
    <e v="#REF!"/>
    <m/>
    <s v="S"/>
    <x v="0"/>
    <e v="#DIV/0!"/>
    <s v="herbácea"/>
    <m/>
    <m/>
    <m/>
  </r>
  <r>
    <n v="7"/>
    <x v="1"/>
    <m/>
    <n v="20"/>
    <n v="20"/>
    <s v="Anacardiaceae"/>
    <x v="25"/>
    <s v="Chechem"/>
    <m/>
    <m/>
    <m/>
    <n v="0.2"/>
    <e v="#REF!"/>
    <m/>
    <s v="S"/>
    <x v="0"/>
    <e v="#DIV/0!"/>
    <s v="herbácea"/>
    <m/>
    <m/>
    <m/>
  </r>
  <r>
    <n v="11"/>
    <x v="0"/>
    <n v="4"/>
    <n v="37"/>
    <n v="37"/>
    <s v="Celastraceae "/>
    <x v="42"/>
    <s v="Cascarillo grueso"/>
    <n v="26.5"/>
    <n v="8.4352119838704525"/>
    <n v="3"/>
    <n v="7"/>
    <m/>
    <s v="C"/>
    <s v="S"/>
    <x v="0"/>
    <n v="0.8298546632123982"/>
    <s v="arbusto"/>
    <m/>
    <m/>
    <m/>
  </r>
  <r>
    <n v="3"/>
    <x v="2"/>
    <n v="1"/>
    <n v="1"/>
    <n v="1"/>
    <s v="Burseraceae"/>
    <x v="43"/>
    <s v="Chacah"/>
    <n v="38.5"/>
    <n v="12.254930618075941"/>
    <n v="6"/>
    <n v="10"/>
    <m/>
    <s v="C"/>
    <s v="S"/>
    <x v="0"/>
    <n v="0.81599809184150474"/>
    <s v="árbol"/>
    <n v="12"/>
    <s v="Vol = Exp(-9.63573531+1.90246451*LN(DIAMETRO)+0.97875991*LN(ALTURATOTAL))"/>
    <n v="7.3195775547621564E-2"/>
  </r>
  <r>
    <n v="8"/>
    <x v="2"/>
    <n v="1"/>
    <n v="1"/>
    <n v="1"/>
    <s v="Burseraceae"/>
    <x v="43"/>
    <s v="Chacah"/>
    <n v="33"/>
    <n v="10.504226244065093"/>
    <n v="9"/>
    <n v="11"/>
    <m/>
    <s v="C"/>
    <s v="S"/>
    <x v="0"/>
    <n v="1.0471975511965976"/>
    <s v="árbol"/>
    <n v="12"/>
    <s v="Vol = Exp(-9.63573531+1.90246451*LN(DIAMETRO)+0.97875991*LN(ALTURATOTAL))"/>
    <n v="5.992880615699217E-2"/>
  </r>
  <r>
    <n v="4"/>
    <x v="0"/>
    <n v="1"/>
    <n v="1"/>
    <n v="1"/>
    <s v="Burseraceae"/>
    <x v="43"/>
    <s v="Chacah"/>
    <n v="29"/>
    <n v="9.2309866993299305"/>
    <n v="6"/>
    <n v="12"/>
    <m/>
    <s v="C"/>
    <s v="S"/>
    <x v="0"/>
    <n v="1.2999693738992246"/>
    <s v="arbusto"/>
    <m/>
    <m/>
    <m/>
  </r>
  <r>
    <n v="2"/>
    <x v="2"/>
    <n v="1"/>
    <n v="2"/>
    <n v="2"/>
    <s v="Burseraceae"/>
    <x v="43"/>
    <s v="Chacah"/>
    <n v="35"/>
    <n v="11.140846016432674"/>
    <n v="6.5"/>
    <n v="12"/>
    <m/>
    <s v="C"/>
    <s v="S"/>
    <x v="0"/>
    <n v="1.0771174812307862"/>
    <s v="árbol"/>
    <n v="12"/>
    <s v="Vol = Exp(-9.63573531+1.90246451*LN(DIAMETRO)+0.97875991*LN(ALTURATOTAL))"/>
    <n v="7.2985625018523723E-2"/>
  </r>
  <r>
    <n v="9"/>
    <x v="2"/>
    <n v="1"/>
    <n v="2"/>
    <n v="2"/>
    <s v="Burseraceae"/>
    <x v="43"/>
    <s v="Chacah"/>
    <n v="36.5"/>
    <n v="11.618310845708359"/>
    <n v="4"/>
    <n v="11"/>
    <m/>
    <s v="C"/>
    <s v="S"/>
    <x v="0"/>
    <n v="0.94678134765719801"/>
    <s v="árbol"/>
    <n v="12"/>
    <s v="Vol = Exp(-9.63573531+1.90246451*LN(DIAMETRO)+0.97875991*LN(ALTURATOTAL))"/>
    <n v="7.2597802746153378E-2"/>
  </r>
  <r>
    <n v="10"/>
    <x v="2"/>
    <n v="1"/>
    <n v="2"/>
    <n v="2"/>
    <s v="Burseraceae"/>
    <x v="43"/>
    <s v="Chacah"/>
    <n v="32.5"/>
    <n v="10.345071300973197"/>
    <n v="6"/>
    <n v="10"/>
    <m/>
    <s v="C"/>
    <s v="S"/>
    <x v="0"/>
    <n v="0.96664389341224399"/>
    <s v="árbol"/>
    <n v="12"/>
    <s v="Vol = Exp(-9.63573531+1.90246451*LN(DIAMETRO)+0.97875991*LN(ALTURATOTAL))"/>
    <n v="5.3028297531253217E-2"/>
  </r>
  <r>
    <n v="9"/>
    <x v="0"/>
    <n v="1"/>
    <n v="2"/>
    <n v="2"/>
    <s v="Burseraceae"/>
    <x v="43"/>
    <s v="Chacah"/>
    <n v="22.5"/>
    <n v="7.1619724391352904"/>
    <n v="7"/>
    <n v="9"/>
    <m/>
    <s v="C"/>
    <s v="S"/>
    <x v="0"/>
    <n v="1.2566370614359172"/>
    <s v="arbusto"/>
    <m/>
    <m/>
    <m/>
  </r>
  <r>
    <n v="2"/>
    <x v="2"/>
    <n v="1"/>
    <n v="3"/>
    <n v="3"/>
    <s v="Burseraceae"/>
    <x v="43"/>
    <s v="Chacah"/>
    <n v="38.5"/>
    <n v="12.254930618075941"/>
    <n v="6"/>
    <n v="12"/>
    <m/>
    <s v="C"/>
    <s v="S"/>
    <x v="0"/>
    <n v="0.97919771020980573"/>
    <s v="árbol"/>
    <n v="12"/>
    <s v="Vol = Exp(-9.63573531+1.90246451*LN(DIAMETRO)+0.97875991*LN(ALTURATOTAL))"/>
    <n v="8.7495445337458511E-2"/>
  </r>
  <r>
    <n v="7"/>
    <x v="2"/>
    <n v="1"/>
    <n v="3"/>
    <n v="3"/>
    <s v="Burseraceae"/>
    <x v="43"/>
    <s v="Chacah"/>
    <n v="79"/>
    <n v="25.146481008519466"/>
    <n v="6"/>
    <n v="14"/>
    <m/>
    <s v="C"/>
    <s v="S"/>
    <x v="0"/>
    <n v="0.55673793861084941"/>
    <s v="árbol"/>
    <n v="12"/>
    <s v="Vol = Exp(-9.63573531+1.90246451*LN(DIAMETRO)+0.97875991*LN(ALTURATOTAL))"/>
    <n v="0.39938863670000313"/>
  </r>
  <r>
    <n v="1"/>
    <x v="0"/>
    <n v="1"/>
    <n v="3"/>
    <n v="3"/>
    <s v="Burseraceae"/>
    <x v="43"/>
    <s v="Chacah"/>
    <n v="24.5"/>
    <n v="7.7985922115028714"/>
    <n v="6"/>
    <n v="8"/>
    <m/>
    <s v="C"/>
    <s v="S"/>
    <x v="0"/>
    <n v="1.0258261726007487"/>
    <s v="arbusto"/>
    <m/>
    <m/>
    <m/>
  </r>
  <r>
    <n v="2"/>
    <x v="0"/>
    <n v="1"/>
    <n v="3"/>
    <n v="3"/>
    <s v="Burseraceae"/>
    <x v="43"/>
    <s v="Chacah"/>
    <n v="19"/>
    <n v="6.0478878374920226"/>
    <n v="3"/>
    <n v="6"/>
    <m/>
    <s v="C"/>
    <s v="SD"/>
    <x v="0"/>
    <n v="0.99208189060730312"/>
    <s v="arbusto"/>
    <m/>
    <m/>
    <m/>
  </r>
  <r>
    <n v="6"/>
    <x v="0"/>
    <n v="1"/>
    <n v="3"/>
    <n v="3"/>
    <s v="Burseraceae"/>
    <x v="43"/>
    <s v="Chacah"/>
    <n v="20.5"/>
    <n v="6.5253526667677093"/>
    <n v="6"/>
    <n v="10"/>
    <m/>
    <s v="C"/>
    <s v="S"/>
    <x v="0"/>
    <n v="1.5324842212633136"/>
    <s v="arbusto"/>
    <m/>
    <m/>
    <m/>
  </r>
  <r>
    <n v="9"/>
    <x v="0"/>
    <n v="1"/>
    <n v="3"/>
    <n v="3"/>
    <s v="Burseraceae"/>
    <x v="43"/>
    <s v="Chacah"/>
    <n v="19"/>
    <n v="6.0478878374920226"/>
    <n v="6"/>
    <n v="8"/>
    <m/>
    <s v="C"/>
    <s v="S"/>
    <x v="0"/>
    <n v="1.322775854143071"/>
    <s v="arbusto"/>
    <m/>
    <m/>
    <m/>
  </r>
  <r>
    <n v="2"/>
    <x v="2"/>
    <n v="1"/>
    <n v="4"/>
    <n v="4"/>
    <s v="Burseraceae"/>
    <x v="43"/>
    <s v="Chacah"/>
    <n v="35"/>
    <n v="11.140846016432674"/>
    <n v="4.5"/>
    <n v="10"/>
    <m/>
    <s v="C"/>
    <s v="S"/>
    <x v="0"/>
    <n v="0.89759790102565518"/>
    <s v="árbol"/>
    <n v="12"/>
    <s v="Vol = Exp(-9.63573531+1.90246451*LN(DIAMETRO)+0.97875991*LN(ALTURATOTAL))"/>
    <n v="6.105734311602639E-2"/>
  </r>
  <r>
    <n v="10"/>
    <x v="2"/>
    <n v="1"/>
    <n v="4"/>
    <n v="4"/>
    <s v="Burseraceae"/>
    <x v="43"/>
    <s v="Chacah"/>
    <n v="35.5"/>
    <n v="11.300000959524569"/>
    <n v="5"/>
    <n v="10"/>
    <m/>
    <s v="C"/>
    <s v="S"/>
    <x v="0"/>
    <n v="0.88495567706754741"/>
    <s v="árbol"/>
    <n v="12"/>
    <s v="Vol = Exp(-9.63573531+1.90246451*LN(DIAMETRO)+0.97875991*LN(ALTURATOTAL))"/>
    <n v="6.2727455486645323E-2"/>
  </r>
  <r>
    <n v="3"/>
    <x v="0"/>
    <n v="1"/>
    <n v="4"/>
    <n v="4"/>
    <s v="Burseraceae"/>
    <x v="43"/>
    <s v="Chacah"/>
    <n v="23"/>
    <n v="7.3211273822271856"/>
    <n v="4"/>
    <n v="6"/>
    <m/>
    <s v="C"/>
    <s v="S"/>
    <x v="0"/>
    <n v="0.81954590963211993"/>
    <s v="arbusto"/>
    <m/>
    <m/>
    <m/>
  </r>
  <r>
    <n v="11"/>
    <x v="0"/>
    <n v="1"/>
    <n v="4"/>
    <n v="4"/>
    <s v="Burseraceae"/>
    <x v="43"/>
    <s v="Chacah"/>
    <n v="17.5"/>
    <n v="5.5704230082163368"/>
    <n v="4.5"/>
    <n v="7"/>
    <m/>
    <s v="C"/>
    <s v="S"/>
    <x v="0"/>
    <n v="1.2566370614359172"/>
    <s v="arbusto"/>
    <m/>
    <m/>
    <m/>
  </r>
  <r>
    <n v="9"/>
    <x v="0"/>
    <n v="1"/>
    <n v="5"/>
    <n v="5"/>
    <s v="Burseraceae"/>
    <x v="43"/>
    <s v="Chacah"/>
    <n v="26"/>
    <n v="8.2760570407785572"/>
    <n v="6"/>
    <n v="9"/>
    <m/>
    <s v="C"/>
    <s v="S"/>
    <x v="0"/>
    <n v="1.0874743800887747"/>
    <s v="arbusto"/>
    <m/>
    <m/>
    <m/>
  </r>
  <r>
    <n v="10"/>
    <x v="0"/>
    <n v="1"/>
    <n v="5"/>
    <n v="5"/>
    <s v="Burseraceae"/>
    <x v="43"/>
    <s v="Chacah"/>
    <n v="21"/>
    <n v="6.6845076098596046"/>
    <n v="7"/>
    <n v="10"/>
    <m/>
    <s v="C"/>
    <s v="S"/>
    <x v="0"/>
    <n v="1.4959965017094252"/>
    <s v="arbusto"/>
    <m/>
    <m/>
    <m/>
  </r>
  <r>
    <n v="7"/>
    <x v="1"/>
    <m/>
    <n v="21"/>
    <n v="21"/>
    <s v="Bignoniaceae"/>
    <x v="44"/>
    <s v="Bejuco dos hojas"/>
    <m/>
    <m/>
    <m/>
    <n v="1.5"/>
    <e v="#REF!"/>
    <m/>
    <s v="S"/>
    <x v="0"/>
    <e v="#DIV/0!"/>
    <s v="herbácea"/>
    <m/>
    <m/>
    <m/>
  </r>
  <r>
    <n v="2"/>
    <x v="2"/>
    <n v="1"/>
    <n v="6"/>
    <n v="6"/>
    <s v="Burseraceae"/>
    <x v="43"/>
    <s v="Chacah"/>
    <n v="43.5"/>
    <n v="13.846480048994895"/>
    <n v="4"/>
    <n v="12"/>
    <m/>
    <s v="C"/>
    <s v="S"/>
    <x v="0"/>
    <n v="0.86664624926614986"/>
    <s v="árbol"/>
    <n v="12"/>
    <s v="Vol = Exp(-9.63573531+1.90246451*LN(DIAMETRO)+0.97875991*LN(ALTURATOTAL))"/>
    <n v="0.11037490364679946"/>
  </r>
  <r>
    <n v="3"/>
    <x v="2"/>
    <n v="1"/>
    <n v="6"/>
    <n v="6"/>
    <s v="Burseraceae"/>
    <x v="43"/>
    <s v="Chacah"/>
    <n v="38.5"/>
    <n v="12.254930618075941"/>
    <n v="7"/>
    <n v="9"/>
    <m/>
    <s v="C"/>
    <s v="S"/>
    <x v="0"/>
    <n v="0.7343982826573543"/>
    <s v="árbol"/>
    <n v="12"/>
    <s v="Vol = Exp(-9.63573531+1.90246451*LN(DIAMETRO)+0.97875991*LN(ALTURATOTAL))"/>
    <n v="6.6023785230263032E-2"/>
  </r>
  <r>
    <n v="6"/>
    <x v="2"/>
    <n v="2"/>
    <n v="5"/>
    <n v="6"/>
    <s v="Burseraceae"/>
    <x v="43"/>
    <s v="Chacah"/>
    <n v="35"/>
    <n v="11.140846016432674"/>
    <n v="4"/>
    <n v="10"/>
    <m/>
    <s v="C"/>
    <s v="S"/>
    <x v="0"/>
    <n v="0.89759790102565518"/>
    <s v="árbol"/>
    <n v="12"/>
    <s v="Vol = Exp(-9.63573531+1.90246451*LN(DIAMETRO)+0.97875991*LN(ALTURATOTAL))"/>
    <n v="6.105734311602639E-2"/>
  </r>
  <r>
    <n v="7"/>
    <x v="2"/>
    <n v="1"/>
    <n v="5"/>
    <n v="6"/>
    <s v="Burseraceae"/>
    <x v="43"/>
    <s v="Chacah"/>
    <n v="81"/>
    <n v="25.783100780887047"/>
    <n v="8"/>
    <n v="12"/>
    <m/>
    <s v="C"/>
    <s v="S"/>
    <x v="0"/>
    <n v="0.46542113386515449"/>
    <s v="árbol"/>
    <n v="12"/>
    <s v="Vol = Exp(-9.63573531+1.90246451*LN(DIAMETRO)+0.97875991*LN(ALTURATOTAL))"/>
    <n v="0.36018671662514573"/>
  </r>
  <r>
    <n v="9"/>
    <x v="2"/>
    <n v="1"/>
    <n v="6"/>
    <n v="6"/>
    <s v="Burseraceae"/>
    <x v="43"/>
    <s v="Chacah"/>
    <n v="32.5"/>
    <n v="10.345071300973197"/>
    <n v="4"/>
    <n v="10"/>
    <m/>
    <s v="C"/>
    <s v="S"/>
    <x v="0"/>
    <n v="0.96664389341224399"/>
    <s v="árbol"/>
    <n v="12"/>
    <s v="Vol = Exp(-9.63573531+1.90246451*LN(DIAMETRO)+0.97875991*LN(ALTURATOTAL))"/>
    <n v="5.3028297531253217E-2"/>
  </r>
  <r>
    <n v="10"/>
    <x v="2"/>
    <n v="2"/>
    <n v="6"/>
    <n v="6"/>
    <s v="Burseraceae"/>
    <x v="43"/>
    <s v="Chacah"/>
    <n v="32"/>
    <n v="10.185916357881302"/>
    <n v="5"/>
    <n v="11"/>
    <m/>
    <s v="C"/>
    <s v="S"/>
    <x v="0"/>
    <n v="1.0799224746714913"/>
    <s v="árbol"/>
    <n v="12"/>
    <s v="Vol = Exp(-9.63573531+1.90246451*LN(DIAMETRO)+0.97875991*LN(ALTURATOTAL))"/>
    <n v="5.6521172649776755E-2"/>
  </r>
  <r>
    <n v="5"/>
    <x v="0"/>
    <n v="1"/>
    <n v="5"/>
    <n v="6"/>
    <s v="Burseraceae"/>
    <x v="43"/>
    <s v="Chacah"/>
    <n v="20"/>
    <n v="6.366197723675814"/>
    <n v="3"/>
    <n v="6"/>
    <m/>
    <s v="C"/>
    <s v="S"/>
    <x v="0"/>
    <n v="0.94247779607693793"/>
    <s v="arbusto"/>
    <m/>
    <m/>
    <m/>
  </r>
  <r>
    <n v="6"/>
    <x v="0"/>
    <n v="1"/>
    <n v="6"/>
    <n v="6"/>
    <s v="Burseraceae"/>
    <x v="43"/>
    <s v="Chacah"/>
    <n v="23"/>
    <n v="7.3211273822271856"/>
    <n v="4"/>
    <n v="8"/>
    <m/>
    <s v="C"/>
    <s v="S"/>
    <x v="0"/>
    <n v="1.0927278795094932"/>
    <s v="arbusto"/>
    <m/>
    <m/>
    <m/>
  </r>
  <r>
    <n v="2"/>
    <x v="2"/>
    <n v="1"/>
    <n v="7"/>
    <n v="7"/>
    <s v="Burseraceae"/>
    <x v="43"/>
    <s v="Chacah"/>
    <n v="32"/>
    <n v="10.185916357881302"/>
    <n v="4.5"/>
    <n v="9"/>
    <m/>
    <s v="C"/>
    <s v="S"/>
    <x v="0"/>
    <n v="0.88357293382212931"/>
    <s v="árbol"/>
    <n v="12"/>
    <s v="Vol = Exp(-9.63573531+1.90246451*LN(DIAMETRO)+0.97875991*LN(ALTURATOTAL))"/>
    <n v="4.6442123120946172E-2"/>
  </r>
  <r>
    <n v="3"/>
    <x v="2"/>
    <n v="1"/>
    <n v="7"/>
    <n v="7"/>
    <s v="Burseraceae"/>
    <x v="43"/>
    <s v="Chacah"/>
    <n v="42"/>
    <n v="13.369015219719209"/>
    <n v="7"/>
    <n v="10"/>
    <m/>
    <s v="C"/>
    <s v="S"/>
    <x v="0"/>
    <n v="0.74799825085471261"/>
    <s v="árbol"/>
    <n v="12"/>
    <s v="Vol = Exp(-9.63573531+1.90246451*LN(DIAMETRO)+0.97875991*LN(ALTURATOTAL))"/>
    <n v="8.6372882353242891E-2"/>
  </r>
  <r>
    <n v="10"/>
    <x v="0"/>
    <n v="1"/>
    <n v="7"/>
    <n v="7"/>
    <s v="Burseraceae"/>
    <x v="43"/>
    <s v="Chacah"/>
    <n v="16"/>
    <n v="5.0929581789406511"/>
    <n v="6"/>
    <n v="8"/>
    <m/>
    <s v="C"/>
    <s v="S"/>
    <x v="0"/>
    <n v="1.5707963267948966"/>
    <s v="arbusto"/>
    <m/>
    <m/>
    <m/>
  </r>
  <r>
    <n v="1"/>
    <x v="2"/>
    <n v="2"/>
    <n v="7"/>
    <n v="8"/>
    <s v="Burseraceae"/>
    <x v="43"/>
    <s v="Chacah"/>
    <n v="37"/>
    <n v="11.777465788800255"/>
    <n v="8"/>
    <n v="11"/>
    <m/>
    <s v="C"/>
    <s v="S"/>
    <x v="0"/>
    <n v="0.93398700512128985"/>
    <s v="árbol"/>
    <n v="12"/>
    <s v="Vol = Exp(-9.63573531+1.90246451*LN(DIAMETRO)+0.97875991*LN(ALTURATOTAL))"/>
    <n v="7.4501475185697733E-2"/>
  </r>
  <r>
    <n v="3"/>
    <x v="2"/>
    <n v="1"/>
    <n v="8"/>
    <n v="8"/>
    <s v="Burseraceae"/>
    <x v="43"/>
    <s v="Chacah"/>
    <n v="41.5"/>
    <n v="13.209860276627314"/>
    <n v="8"/>
    <n v="10"/>
    <m/>
    <s v="C"/>
    <s v="S"/>
    <x v="0"/>
    <n v="0.75701027797344411"/>
    <s v="árbol"/>
    <n v="12"/>
    <s v="Vol = Exp(-9.63573531+1.90246451*LN(DIAMETRO)+0.97875991*LN(ALTURATOTAL))"/>
    <n v="8.442718834039023E-2"/>
  </r>
  <r>
    <n v="10"/>
    <x v="2"/>
    <n v="2"/>
    <n v="8"/>
    <n v="8"/>
    <s v="Burseraceae"/>
    <x v="43"/>
    <s v="Chacah"/>
    <n v="36"/>
    <n v="11.459155902616464"/>
    <n v="6.5"/>
    <n v="10"/>
    <m/>
    <s v="C"/>
    <s v="S"/>
    <x v="0"/>
    <n v="0.87266462599716477"/>
    <s v="árbol"/>
    <n v="12"/>
    <s v="Vol = Exp(-9.63573531+1.90246451*LN(DIAMETRO)+0.97875991*LN(ALTURATOTAL))"/>
    <n v="6.4418932145957952E-2"/>
  </r>
  <r>
    <n v="7"/>
    <x v="0"/>
    <n v="3"/>
    <n v="8"/>
    <n v="8"/>
    <s v="Burseraceae"/>
    <x v="43"/>
    <s v="Chacah"/>
    <n v="25"/>
    <n v="7.9577471545947667"/>
    <n v="7"/>
    <n v="11"/>
    <m/>
    <s v="C"/>
    <s v="S"/>
    <x v="0"/>
    <n v="1.3823007675795091"/>
    <s v="arbusto"/>
    <m/>
    <m/>
    <m/>
  </r>
  <r>
    <n v="10"/>
    <x v="0"/>
    <n v="1"/>
    <n v="8"/>
    <n v="8"/>
    <s v="Burseraceae"/>
    <x v="43"/>
    <s v="Chacah"/>
    <n v="17.5"/>
    <n v="5.5704230082163368"/>
    <n v="7"/>
    <n v="8"/>
    <m/>
    <s v="C"/>
    <s v="S"/>
    <x v="0"/>
    <n v="1.4361566416410483"/>
    <s v="arbusto"/>
    <m/>
    <m/>
    <m/>
  </r>
  <r>
    <n v="11"/>
    <x v="0"/>
    <n v="1"/>
    <n v="8"/>
    <n v="8"/>
    <s v="Burseraceae"/>
    <x v="43"/>
    <s v="Chacah"/>
    <n v="19.5"/>
    <n v="6.2070427805839179"/>
    <n v="7"/>
    <n v="8.5"/>
    <m/>
    <s v="C"/>
    <s v="S"/>
    <x v="0"/>
    <n v="1.3694121823340124"/>
    <s v="arbusto"/>
    <m/>
    <m/>
    <m/>
  </r>
  <r>
    <n v="1"/>
    <x v="2"/>
    <n v="2"/>
    <n v="8"/>
    <n v="9"/>
    <s v="Burseraceae"/>
    <x v="43"/>
    <s v="Chacah"/>
    <n v="33"/>
    <n v="10.504226244065093"/>
    <n v="4"/>
    <n v="8"/>
    <m/>
    <s v="C"/>
    <s v="S"/>
    <x v="0"/>
    <n v="0.76159821905207103"/>
    <s v="árbol"/>
    <n v="12"/>
    <s v="Vol = Exp(-9.63573531+1.90246451*LN(DIAMETRO)+0.97875991*LN(ALTURATOTAL))"/>
    <n v="4.3880391105574526E-2"/>
  </r>
  <r>
    <n v="2"/>
    <x v="2"/>
    <n v="1"/>
    <n v="9"/>
    <n v="9"/>
    <s v="Burseraceae"/>
    <x v="43"/>
    <s v="Chacah"/>
    <n v="37"/>
    <n v="11.777465788800255"/>
    <n v="8"/>
    <n v="12"/>
    <m/>
    <s v="C"/>
    <s v="S"/>
    <x v="0"/>
    <n v="1.0188949146777708"/>
    <s v="árbol"/>
    <n v="12"/>
    <s v="Vol = Exp(-9.63573531+1.90246451*LN(DIAMETRO)+0.97875991*LN(ALTURATOTAL))"/>
    <n v="8.1124269783116265E-2"/>
  </r>
  <r>
    <n v="1"/>
    <x v="0"/>
    <n v="2"/>
    <n v="9"/>
    <n v="9"/>
    <s v="Burseraceae"/>
    <x v="43"/>
    <s v="Chacah"/>
    <n v="16"/>
    <n v="5.0929581789406511"/>
    <n v="2.5"/>
    <n v="7"/>
    <m/>
    <s v="C"/>
    <s v="S"/>
    <x v="0"/>
    <n v="1.3744467859455345"/>
    <s v="arbusto"/>
    <m/>
    <m/>
    <m/>
  </r>
  <r>
    <n v="9"/>
    <x v="0"/>
    <n v="1"/>
    <n v="9"/>
    <n v="9"/>
    <s v="Burseraceae"/>
    <x v="43"/>
    <s v="Chacah"/>
    <n v="18"/>
    <n v="5.7295779513082321"/>
    <n v="6"/>
    <n v="8"/>
    <m/>
    <s v="C"/>
    <s v="S"/>
    <x v="0"/>
    <n v="1.3962634015954636"/>
    <s v="arbusto"/>
    <m/>
    <m/>
    <m/>
  </r>
  <r>
    <n v="11"/>
    <x v="0"/>
    <n v="1"/>
    <n v="9"/>
    <n v="9"/>
    <s v="Burseraceae"/>
    <x v="43"/>
    <s v="Chacah"/>
    <n v="24"/>
    <n v="7.6394372684109761"/>
    <n v="7"/>
    <n v="8.5"/>
    <m/>
    <s v="C"/>
    <s v="S"/>
    <x v="0"/>
    <n v="1.1126473981463851"/>
    <s v="arbusto"/>
    <m/>
    <m/>
    <m/>
  </r>
  <r>
    <n v="5"/>
    <x v="2"/>
    <n v="1"/>
    <n v="10"/>
    <n v="10"/>
    <s v="Burseraceae"/>
    <x v="43"/>
    <s v="Chacah"/>
    <n v="36.5"/>
    <n v="11.618310845708359"/>
    <n v="5"/>
    <n v="8"/>
    <m/>
    <s v="C"/>
    <s v="S"/>
    <x v="0"/>
    <n v="0.6885682528415985"/>
    <s v="árbol"/>
    <n v="12"/>
    <s v="Vol = Exp(-9.63573531+1.90246451*LN(DIAMETRO)+0.97875991*LN(ALTURATOTAL))"/>
    <n v="5.315674017535691E-2"/>
  </r>
  <r>
    <n v="11"/>
    <x v="0"/>
    <n v="1"/>
    <n v="10"/>
    <n v="10"/>
    <s v="Burseraceae"/>
    <x v="43"/>
    <s v="Chacah"/>
    <n v="18.5"/>
    <n v="5.8887328944001274"/>
    <n v="7"/>
    <n v="9"/>
    <m/>
    <s v="C"/>
    <s v="S"/>
    <x v="0"/>
    <n v="1.5283423720166562"/>
    <s v="arbusto"/>
    <m/>
    <m/>
    <m/>
  </r>
  <r>
    <n v="3"/>
    <x v="2"/>
    <n v="1"/>
    <n v="11"/>
    <n v="11"/>
    <s v="Burseraceae"/>
    <x v="43"/>
    <s v="Chacah"/>
    <n v="34"/>
    <n v="10.822536130248883"/>
    <n v="7"/>
    <n v="11"/>
    <m/>
    <s v="C"/>
    <s v="S"/>
    <x v="0"/>
    <n v="1.0163976232202272"/>
    <s v="árbol"/>
    <n v="12"/>
    <s v="Vol = Exp(-9.63573531+1.90246451*LN(DIAMETRO)+0.97875991*LN(ALTURATOTAL))"/>
    <n v="6.3430923605390391E-2"/>
  </r>
  <r>
    <n v="11"/>
    <x v="2"/>
    <n v="3"/>
    <n v="10"/>
    <n v="11"/>
    <s v="Burseraceae"/>
    <x v="43"/>
    <s v="Chacah"/>
    <n v="33.5"/>
    <n v="10.663381187156988"/>
    <n v="4"/>
    <n v="9"/>
    <m/>
    <s v="C"/>
    <s v="S"/>
    <x v="0"/>
    <n v="0.84400996663606387"/>
    <s v="árbol"/>
    <n v="12"/>
    <s v="Vol = Exp(-9.63573531+1.90246451*LN(DIAMETRO)+0.97875991*LN(ALTURATOTAL))"/>
    <n v="5.0671209523614237E-2"/>
  </r>
  <r>
    <n v="1"/>
    <x v="0"/>
    <n v="2"/>
    <n v="11"/>
    <n v="11"/>
    <s v="Burseraceae"/>
    <x v="43"/>
    <s v="Chacah"/>
    <n v="17"/>
    <n v="5.4112680651244416"/>
    <n v="4"/>
    <n v="7"/>
    <m/>
    <s v="C"/>
    <s v="S"/>
    <x v="0"/>
    <n v="1.293596975007562"/>
    <s v="arbusto"/>
    <m/>
    <m/>
    <m/>
  </r>
  <r>
    <n v="4"/>
    <x v="0"/>
    <n v="2"/>
    <n v="10"/>
    <n v="11"/>
    <s v="Burseraceae"/>
    <x v="43"/>
    <s v="Chacah"/>
    <n v="27"/>
    <n v="8.5943669269623477"/>
    <n v="9"/>
    <n v="13"/>
    <m/>
    <s v="C"/>
    <s v="S"/>
    <x v="0"/>
    <n v="1.5126186850617525"/>
    <s v="arbusto"/>
    <m/>
    <m/>
    <m/>
  </r>
  <r>
    <n v="8"/>
    <x v="0"/>
    <n v="1"/>
    <n v="11"/>
    <n v="11"/>
    <s v="Burseraceae"/>
    <x v="43"/>
    <s v="Chacah"/>
    <n v="17.5"/>
    <n v="5.5704230082163368"/>
    <n v="3"/>
    <n v="8"/>
    <m/>
    <s v="C"/>
    <s v="S"/>
    <x v="0"/>
    <n v="1.4361566416410483"/>
    <s v="arbusto"/>
    <m/>
    <m/>
    <m/>
  </r>
  <r>
    <n v="11"/>
    <x v="0"/>
    <n v="1"/>
    <n v="11"/>
    <n v="11"/>
    <s v="Burseraceae"/>
    <x v="43"/>
    <s v="Chacah"/>
    <n v="23"/>
    <n v="7.3211273822271856"/>
    <n v="6"/>
    <n v="10"/>
    <m/>
    <s v="C"/>
    <s v="S"/>
    <x v="0"/>
    <n v="1.3659098493868667"/>
    <s v="arbusto"/>
    <m/>
    <m/>
    <m/>
  </r>
  <r>
    <n v="2"/>
    <x v="2"/>
    <n v="1"/>
    <n v="12"/>
    <n v="12"/>
    <s v="Burseraceae"/>
    <x v="43"/>
    <s v="Chacah"/>
    <n v="56"/>
    <n v="17.82535362629228"/>
    <n v="6.5"/>
    <n v="13"/>
    <m/>
    <s v="C"/>
    <s v="S"/>
    <x v="0"/>
    <n v="0.72929829458334472"/>
    <s v="árbol"/>
    <n v="12"/>
    <s v="Vol = Exp(-9.63573531+1.90246451*LN(DIAMETRO)+0.97875991*LN(ALTURATOTAL))"/>
    <n v="0.19301546626322191"/>
  </r>
  <r>
    <n v="5"/>
    <x v="0"/>
    <n v="1"/>
    <n v="11"/>
    <n v="12"/>
    <s v="Burseraceae"/>
    <x v="43"/>
    <s v="Chacah"/>
    <n v="22.5"/>
    <n v="7.1619724391352904"/>
    <n v="3.5"/>
    <n v="7"/>
    <m/>
    <s v="C"/>
    <s v="S"/>
    <x v="0"/>
    <n v="0.97738438111682457"/>
    <s v="arbusto"/>
    <m/>
    <m/>
    <m/>
  </r>
  <r>
    <n v="11"/>
    <x v="0"/>
    <n v="1"/>
    <n v="12"/>
    <n v="12"/>
    <s v="Burseraceae"/>
    <x v="43"/>
    <s v="Chacah"/>
    <n v="18"/>
    <n v="5.7295779513082321"/>
    <n v="7"/>
    <n v="9"/>
    <m/>
    <s v="C"/>
    <s v="S"/>
    <x v="0"/>
    <n v="1.5707963267948966"/>
    <s v="arbusto"/>
    <m/>
    <m/>
    <m/>
  </r>
  <r>
    <n v="6"/>
    <x v="2"/>
    <n v="4"/>
    <n v="12"/>
    <n v="13"/>
    <s v="Burseraceae"/>
    <x v="43"/>
    <s v="Chacah"/>
    <n v="33"/>
    <n v="10.504226244065093"/>
    <n v="6"/>
    <n v="10"/>
    <m/>
    <s v="C"/>
    <s v="S"/>
    <x v="0"/>
    <n v="0.95199777381508877"/>
    <s v="árbol"/>
    <n v="12"/>
    <s v="Vol = Exp(-9.63573531+1.90246451*LN(DIAMETRO)+0.97875991*LN(ALTURATOTAL))"/>
    <n v="5.4591135202470997E-2"/>
  </r>
  <r>
    <n v="7"/>
    <x v="2"/>
    <n v="2"/>
    <n v="10"/>
    <n v="13"/>
    <s v="Burseraceae"/>
    <x v="43"/>
    <s v="Chacah"/>
    <n v="34"/>
    <n v="10.822536130248883"/>
    <n v="9"/>
    <n v="11"/>
    <m/>
    <s v="C"/>
    <s v="S"/>
    <x v="0"/>
    <n v="1.0163976232202272"/>
    <s v="árbol"/>
    <n v="12"/>
    <s v="Vol = Exp(-9.63573531+1.90246451*LN(DIAMETRO)+0.97875991*LN(ALTURATOTAL))"/>
    <n v="6.3430923605390391E-2"/>
  </r>
  <r>
    <n v="8"/>
    <x v="2"/>
    <n v="1"/>
    <n v="12"/>
    <n v="13"/>
    <s v="Burseraceae"/>
    <x v="43"/>
    <s v="Chacah"/>
    <n v="33"/>
    <n v="10.504226244065093"/>
    <n v="6"/>
    <n v="8"/>
    <m/>
    <s v="C"/>
    <s v="S"/>
    <x v="0"/>
    <n v="0.76159821905207103"/>
    <s v="árbol"/>
    <n v="12"/>
    <s v="Vol = Exp(-9.63573531+1.90246451*LN(DIAMETRO)+0.97875991*LN(ALTURATOTAL))"/>
    <n v="4.3880391105574526E-2"/>
  </r>
  <r>
    <n v="2"/>
    <x v="2"/>
    <n v="1"/>
    <n v="14"/>
    <n v="14"/>
    <s v="Burseraceae"/>
    <x v="43"/>
    <s v="Chacah"/>
    <n v="33"/>
    <n v="10.504226244065093"/>
    <n v="10"/>
    <n v="14"/>
    <m/>
    <s v="C"/>
    <s v="S"/>
    <x v="0"/>
    <n v="1.3327968833411243"/>
    <s v="árbol"/>
    <n v="12"/>
    <s v="Vol = Exp(-9.63573531+1.90246451*LN(DIAMETRO)+0.97875991*LN(ALTURATOTAL))"/>
    <n v="7.5883331327001868E-2"/>
  </r>
  <r>
    <n v="6"/>
    <x v="2"/>
    <n v="4"/>
    <n v="13"/>
    <n v="14"/>
    <s v="Burseraceae"/>
    <x v="43"/>
    <s v="Chacah"/>
    <n v="35"/>
    <n v="11.140846016432674"/>
    <n v="4"/>
    <n v="9"/>
    <m/>
    <s v="C"/>
    <s v="S"/>
    <x v="0"/>
    <n v="0.80783811092308966"/>
    <s v="árbol"/>
    <n v="12"/>
    <s v="Vol = Exp(-9.63573531+1.90246451*LN(DIAMETRO)+0.97875991*LN(ALTURATOTAL))"/>
    <n v="5.5074720890145645E-2"/>
  </r>
  <r>
    <n v="10"/>
    <x v="2"/>
    <n v="4"/>
    <n v="14"/>
    <n v="14"/>
    <s v="Burseraceae"/>
    <x v="43"/>
    <s v="Chacah"/>
    <n v="33"/>
    <n v="10.504226244065093"/>
    <n v="6"/>
    <n v="9"/>
    <m/>
    <s v="C"/>
    <s v="S"/>
    <x v="0"/>
    <n v="0.8567979964335799"/>
    <s v="árbol"/>
    <n v="12"/>
    <s v="Vol = Exp(-9.63573531+1.90246451*LN(DIAMETRO)+0.97875991*LN(ALTURATOTAL))"/>
    <n v="4.9242095723669325E-2"/>
  </r>
  <r>
    <n v="10"/>
    <x v="0"/>
    <n v="1"/>
    <n v="14"/>
    <n v="14"/>
    <s v="Burseraceae"/>
    <x v="43"/>
    <s v="Chacah"/>
    <n v="24.5"/>
    <n v="7.7985922115028714"/>
    <n v="4"/>
    <n v="10"/>
    <m/>
    <s v="C"/>
    <s v="S"/>
    <x v="0"/>
    <n v="1.282282715750936"/>
    <s v="arbusto"/>
    <m/>
    <m/>
    <m/>
  </r>
  <r>
    <n v="2"/>
    <x v="2"/>
    <n v="1"/>
    <n v="15"/>
    <n v="15"/>
    <s v="Burseraceae"/>
    <x v="43"/>
    <s v="Chacah"/>
    <n v="40"/>
    <n v="12.732395447351628"/>
    <n v="7"/>
    <n v="12"/>
    <m/>
    <s v="C"/>
    <s v="S"/>
    <x v="0"/>
    <n v="0.94247779607693793"/>
    <s v="árbol"/>
    <n v="12"/>
    <s v="Vol = Exp(-9.63573531+1.90246451*LN(DIAMETRO)+0.97875991*LN(ALTURATOTAL))"/>
    <n v="9.4094654617910181E-2"/>
  </r>
  <r>
    <n v="6"/>
    <x v="2"/>
    <n v="4"/>
    <n v="14"/>
    <n v="15"/>
    <s v="Burseraceae"/>
    <x v="43"/>
    <s v="Chacah"/>
    <n v="34"/>
    <n v="10.822536130248883"/>
    <n v="4.5"/>
    <n v="8"/>
    <m/>
    <s v="C"/>
    <s v="S"/>
    <x v="0"/>
    <n v="0.73919827143289252"/>
    <s v="árbol"/>
    <n v="12"/>
    <s v="Vol = Exp(-9.63573531+1.90246451*LN(DIAMETRO)+0.97875991*LN(ALTURATOTAL))"/>
    <n v="4.6444671844469917E-2"/>
  </r>
  <r>
    <n v="10"/>
    <x v="2"/>
    <n v="4"/>
    <n v="15"/>
    <n v="15"/>
    <s v="Burseraceae"/>
    <x v="43"/>
    <s v="Chacah"/>
    <n v="37.5"/>
    <n v="11.93662073189215"/>
    <n v="4"/>
    <n v="9"/>
    <m/>
    <s v="C"/>
    <s v="S"/>
    <x v="0"/>
    <n v="0.75398223686155041"/>
    <s v="árbol"/>
    <n v="12"/>
    <s v="Vol = Exp(-9.63573531+1.90246451*LN(DIAMETRO)+0.97875991*LN(ALTURATOTAL))"/>
    <n v="6.2799512726288143E-2"/>
  </r>
  <r>
    <n v="3"/>
    <x v="0"/>
    <n v="4"/>
    <n v="15"/>
    <n v="15"/>
    <s v="Burseraceae"/>
    <x v="43"/>
    <s v="Chacah"/>
    <n v="25.5"/>
    <n v="8.1169020976866619"/>
    <n v="5.5"/>
    <n v="7"/>
    <m/>
    <s v="C"/>
    <s v="S"/>
    <x v="0"/>
    <n v="0.86239798333837459"/>
    <s v="arbusto"/>
    <m/>
    <m/>
    <m/>
  </r>
  <r>
    <n v="8"/>
    <x v="0"/>
    <n v="2"/>
    <n v="15"/>
    <n v="15"/>
    <s v="Burseraceae"/>
    <x v="43"/>
    <s v="Chacah"/>
    <n v="24"/>
    <n v="7.6394372684109761"/>
    <n v="6"/>
    <n v="9"/>
    <m/>
    <s v="C"/>
    <s v="S"/>
    <x v="0"/>
    <n v="1.1780972450961724"/>
    <s v="arbusto"/>
    <m/>
    <m/>
    <m/>
  </r>
  <r>
    <n v="9"/>
    <x v="0"/>
    <n v="2"/>
    <n v="15"/>
    <n v="15"/>
    <s v="Burseraceae"/>
    <x v="43"/>
    <s v="Chacah"/>
    <n v="23"/>
    <n v="7.3211273822271856"/>
    <n v="7"/>
    <n v="11"/>
    <m/>
    <s v="C"/>
    <s v="S"/>
    <x v="0"/>
    <n v="1.5025008343255533"/>
    <s v="arbusto"/>
    <m/>
    <m/>
    <m/>
  </r>
  <r>
    <n v="3"/>
    <x v="2"/>
    <n v="1"/>
    <n v="16"/>
    <n v="16"/>
    <s v="Burseraceae"/>
    <x v="43"/>
    <s v="Chacah"/>
    <n v="31.5"/>
    <n v="10.026761414789407"/>
    <n v="6"/>
    <n v="12"/>
    <m/>
    <s v="C"/>
    <s v="S"/>
    <x v="0"/>
    <n v="1.1967972013675401"/>
    <s v="árbol"/>
    <n v="12"/>
    <s v="Vol = Exp(-9.63573531+1.90246451*LN(DIAMETRO)+0.97875991*LN(ALTURATOTAL))"/>
    <n v="5.9729011815020175E-2"/>
  </r>
  <r>
    <n v="6"/>
    <x v="2"/>
    <n v="4"/>
    <n v="15"/>
    <n v="16"/>
    <s v="Burseraceae"/>
    <x v="43"/>
    <s v="Chacah"/>
    <n v="31.5"/>
    <n v="10.026761414789407"/>
    <n v="5"/>
    <n v="10"/>
    <m/>
    <s v="C"/>
    <s v="S"/>
    <x v="0"/>
    <n v="0.99733100113961681"/>
    <s v="árbol"/>
    <n v="12"/>
    <s v="Vol = Exp(-9.63573531+1.90246451*LN(DIAMETRO)+0.97875991*LN(ALTURATOTAL))"/>
    <n v="4.9967302019340111E-2"/>
  </r>
  <r>
    <n v="10"/>
    <x v="0"/>
    <n v="2"/>
    <n v="16"/>
    <n v="16"/>
    <s v="Burseraceae"/>
    <x v="43"/>
    <s v="Chacah"/>
    <n v="18"/>
    <n v="5.7295779513082321"/>
    <n v="6"/>
    <n v="6.5"/>
    <m/>
    <s v="C"/>
    <s v="S"/>
    <x v="0"/>
    <n v="1.1344640137963142"/>
    <s v="arbusto"/>
    <m/>
    <m/>
    <m/>
  </r>
  <r>
    <n v="11"/>
    <x v="0"/>
    <n v="2"/>
    <n v="16"/>
    <n v="16"/>
    <s v="Burseraceae"/>
    <x v="43"/>
    <s v="Chacah"/>
    <n v="20"/>
    <n v="6.366197723675814"/>
    <n v="6.5"/>
    <n v="8"/>
    <m/>
    <s v="C"/>
    <s v="S"/>
    <x v="0"/>
    <n v="1.2566370614359172"/>
    <s v="arbusto"/>
    <m/>
    <m/>
    <m/>
  </r>
  <r>
    <n v="9"/>
    <x v="2"/>
    <n v="4"/>
    <n v="17"/>
    <n v="17"/>
    <s v="Burseraceae"/>
    <x v="43"/>
    <s v="Chacah"/>
    <n v="31.5"/>
    <n v="10.026761414789407"/>
    <n v="5.5"/>
    <n v="9"/>
    <m/>
    <s v="C"/>
    <s v="S"/>
    <x v="0"/>
    <n v="0.89759790102565518"/>
    <s v="árbol"/>
    <n v="12"/>
    <s v="Vol = Exp(-9.63573531+1.90246451*LN(DIAMETRO)+0.97875991*LN(ALTURATOTAL))"/>
    <n v="4.50713226600657E-2"/>
  </r>
  <r>
    <n v="9"/>
    <x v="0"/>
    <n v="2"/>
    <n v="17"/>
    <n v="17"/>
    <s v="Burseraceae"/>
    <x v="43"/>
    <s v="Chacah"/>
    <n v="26"/>
    <n v="8.2760570407785572"/>
    <n v="4.5"/>
    <n v="9"/>
    <m/>
    <s v="C"/>
    <s v="S"/>
    <x v="0"/>
    <n v="1.0874743800887747"/>
    <s v="arbusto"/>
    <m/>
    <m/>
    <m/>
  </r>
  <r>
    <n v="11"/>
    <x v="0"/>
    <n v="2"/>
    <n v="18"/>
    <n v="18"/>
    <s v="Burseraceae"/>
    <x v="43"/>
    <s v="Chacah"/>
    <n v="19"/>
    <n v="6.0478878374920226"/>
    <n v="7"/>
    <n v="10"/>
    <m/>
    <s v="C"/>
    <s v="S"/>
    <x v="0"/>
    <n v="1.6534698176788385"/>
    <s v="arbusto"/>
    <m/>
    <m/>
    <m/>
  </r>
  <r>
    <n v="6"/>
    <x v="0"/>
    <n v="3"/>
    <n v="16"/>
    <n v="19"/>
    <s v="Burseraceae"/>
    <x v="43"/>
    <s v="Chacah"/>
    <n v="21"/>
    <n v="6.6845076098596046"/>
    <n v="6"/>
    <n v="9"/>
    <m/>
    <s v="C"/>
    <s v="S"/>
    <x v="0"/>
    <n v="1.3463968515384828"/>
    <s v="arbusto"/>
    <m/>
    <m/>
    <m/>
  </r>
  <r>
    <n v="10"/>
    <x v="0"/>
    <n v="2"/>
    <n v="19"/>
    <n v="19"/>
    <s v="Burseraceae"/>
    <x v="43"/>
    <s v="Chacah"/>
    <n v="19"/>
    <n v="6.0478878374920226"/>
    <n v="5"/>
    <n v="7"/>
    <m/>
    <s v="C"/>
    <s v="S"/>
    <x v="0"/>
    <n v="1.1574288723751871"/>
    <s v="arbusto"/>
    <m/>
    <m/>
    <m/>
  </r>
  <r>
    <n v="11"/>
    <x v="0"/>
    <n v="3"/>
    <n v="20"/>
    <n v="20"/>
    <s v="Burseraceae"/>
    <x v="43"/>
    <s v="Chacah"/>
    <n v="17.5"/>
    <n v="5.5704230082163368"/>
    <n v="4.5"/>
    <n v="8"/>
    <m/>
    <s v="C"/>
    <s v="S"/>
    <x v="0"/>
    <n v="1.4361566416410483"/>
    <s v="arbusto"/>
    <m/>
    <m/>
    <m/>
  </r>
  <r>
    <n v="8"/>
    <x v="2"/>
    <n v="2"/>
    <n v="19"/>
    <n v="21"/>
    <s v="Burseraceae"/>
    <x v="43"/>
    <s v="Chacah"/>
    <n v="38.5"/>
    <n v="12.254930618075941"/>
    <n v="8"/>
    <n v="14"/>
    <m/>
    <s v="C"/>
    <s v="S"/>
    <x v="0"/>
    <n v="1.1423973285781066"/>
    <s v="árbol"/>
    <n v="12"/>
    <s v="Vol = Exp(-9.63573531+1.90246451*LN(DIAMETRO)+0.97875991*LN(ALTURATOTAL))"/>
    <n v="0.10174434488340918"/>
  </r>
  <r>
    <n v="8"/>
    <x v="0"/>
    <n v="3"/>
    <n v="21"/>
    <n v="21"/>
    <s v="Burseraceae"/>
    <x v="43"/>
    <s v="Chacah"/>
    <n v="27"/>
    <n v="8.5943669269623477"/>
    <n v="7"/>
    <n v="11"/>
    <m/>
    <s v="C"/>
    <s v="S"/>
    <x v="0"/>
    <n v="1.2799081181291752"/>
    <s v="arbusto"/>
    <m/>
    <m/>
    <m/>
  </r>
  <r>
    <n v="11"/>
    <x v="0"/>
    <n v="3"/>
    <n v="21"/>
    <n v="21"/>
    <s v="Burseraceae"/>
    <x v="43"/>
    <s v="Chacah"/>
    <n v="16.5"/>
    <n v="5.2521131220325463"/>
    <n v="6"/>
    <n v="9"/>
    <m/>
    <s v="C"/>
    <s v="S"/>
    <x v="0"/>
    <n v="1.7135959928671598"/>
    <s v="arbusto"/>
    <m/>
    <m/>
    <m/>
  </r>
  <r>
    <n v="5"/>
    <x v="0"/>
    <n v="3"/>
    <n v="21"/>
    <n v="22"/>
    <s v="Burseraceae"/>
    <x v="43"/>
    <s v="Chacah"/>
    <n v="17"/>
    <n v="5.4112680651244416"/>
    <n v="4"/>
    <n v="6"/>
    <m/>
    <s v="C"/>
    <s v="S"/>
    <x v="0"/>
    <n v="1.1087974071493387"/>
    <s v="arbusto"/>
    <m/>
    <m/>
    <m/>
  </r>
  <r>
    <n v="10"/>
    <x v="0"/>
    <n v="2"/>
    <n v="22"/>
    <n v="22"/>
    <s v="Burseraceae"/>
    <x v="43"/>
    <s v="Chacah"/>
    <n v="18"/>
    <n v="5.7295779513082321"/>
    <n v="6"/>
    <n v="9"/>
    <m/>
    <s v="C"/>
    <s v="S"/>
    <x v="0"/>
    <n v="1.5707963267948966"/>
    <s v="arbusto"/>
    <m/>
    <m/>
    <m/>
  </r>
  <r>
    <n v="2"/>
    <x v="2"/>
    <n v="2"/>
    <n v="22"/>
    <n v="23"/>
    <s v="Burseraceae"/>
    <x v="43"/>
    <s v="Chacah"/>
    <n v="34"/>
    <n v="10.822536130248883"/>
    <n v="8"/>
    <n v="12"/>
    <m/>
    <s v="C"/>
    <s v="S"/>
    <x v="0"/>
    <n v="1.1087974071493387"/>
    <s v="árbol"/>
    <n v="12"/>
    <s v="Vol = Exp(-9.63573531+1.90246451*LN(DIAMETRO)+0.97875991*LN(ALTURATOTAL))"/>
    <n v="6.9069603606235472E-2"/>
  </r>
  <r>
    <n v="5"/>
    <x v="0"/>
    <n v="4"/>
    <n v="22"/>
    <n v="23"/>
    <s v="Burseraceae"/>
    <x v="43"/>
    <s v="Chacah"/>
    <n v="30.5"/>
    <n v="9.7084515286056163"/>
    <n v="6"/>
    <n v="11"/>
    <m/>
    <s v="C"/>
    <s v="S"/>
    <x v="0"/>
    <n v="1.1330334160487778"/>
    <s v="arbusto"/>
    <m/>
    <m/>
    <m/>
  </r>
  <r>
    <n v="6"/>
    <x v="0"/>
    <n v="4"/>
    <n v="21"/>
    <n v="24"/>
    <s v="Burseraceae"/>
    <x v="43"/>
    <s v="Chacah"/>
    <n v="24"/>
    <n v="7.6394372684109761"/>
    <n v="5"/>
    <n v="8"/>
    <m/>
    <s v="C"/>
    <s v="S"/>
    <x v="0"/>
    <n v="1.0471975511965976"/>
    <s v="arbusto"/>
    <m/>
    <m/>
    <m/>
  </r>
  <r>
    <n v="11"/>
    <x v="0"/>
    <n v="3"/>
    <n v="24"/>
    <n v="24"/>
    <s v="Burseraceae"/>
    <x v="43"/>
    <s v="Chacah"/>
    <n v="25"/>
    <n v="7.9577471545947667"/>
    <n v="3"/>
    <n v="7"/>
    <m/>
    <s v="C"/>
    <s v="S"/>
    <x v="0"/>
    <n v="0.87964594300514209"/>
    <s v="arbusto"/>
    <m/>
    <m/>
    <m/>
  </r>
  <r>
    <n v="10"/>
    <x v="0"/>
    <n v="2"/>
    <n v="25"/>
    <n v="25"/>
    <s v="Burseraceae"/>
    <x v="43"/>
    <s v="Chacah"/>
    <n v="30"/>
    <n v="9.5492965855137211"/>
    <n v="3.5"/>
    <n v="8.5"/>
    <m/>
    <s v="C"/>
    <s v="S"/>
    <x v="0"/>
    <n v="0.89011791851710798"/>
    <s v="arbusto"/>
    <m/>
    <m/>
    <m/>
  </r>
  <r>
    <n v="2"/>
    <x v="2"/>
    <n v="2"/>
    <n v="25"/>
    <n v="26"/>
    <s v="Burseraceae"/>
    <x v="43"/>
    <s v="Chacah"/>
    <n v="33"/>
    <n v="10.504226244065093"/>
    <n v="4"/>
    <n v="8"/>
    <m/>
    <s v="C"/>
    <s v="SD"/>
    <x v="0"/>
    <n v="0.76159821905207103"/>
    <s v="árbol"/>
    <n v="12"/>
    <s v="Vol = Exp(-9.63573531+1.90246451*LN(DIAMETRO)+0.97875991*LN(ALTURATOTAL))"/>
    <n v="4.3880391105574526E-2"/>
  </r>
  <r>
    <n v="7"/>
    <x v="2"/>
    <n v="3"/>
    <n v="23"/>
    <n v="26"/>
    <s v="Burseraceae"/>
    <x v="43"/>
    <s v="Chacah"/>
    <n v="35.5"/>
    <n v="11.300000959524569"/>
    <n v="8"/>
    <n v="12"/>
    <m/>
    <s v="C"/>
    <s v="S"/>
    <x v="0"/>
    <n v="1.0619468124810569"/>
    <s v="árbol"/>
    <n v="12"/>
    <s v="Vol = Exp(-9.63573531+1.90246451*LN(DIAMETRO)+0.97875991*LN(ALTURATOTAL))"/>
    <n v="7.4982013806505501E-2"/>
  </r>
  <r>
    <n v="5"/>
    <x v="0"/>
    <n v="4"/>
    <n v="24"/>
    <n v="26"/>
    <s v="Burseraceae"/>
    <x v="43"/>
    <s v="Chacah"/>
    <n v="23"/>
    <n v="7.3211273822271856"/>
    <n v="3"/>
    <n v="9"/>
    <m/>
    <s v="C"/>
    <s v="S"/>
    <x v="0"/>
    <n v="1.2293188644481798"/>
    <s v="arbusto"/>
    <m/>
    <m/>
    <m/>
  </r>
  <r>
    <n v="10"/>
    <x v="0"/>
    <n v="2"/>
    <n v="26"/>
    <n v="26"/>
    <s v="Burseraceae"/>
    <x v="43"/>
    <s v="Chacah"/>
    <n v="28"/>
    <n v="8.91267681314614"/>
    <n v="4.5"/>
    <n v="8.5"/>
    <m/>
    <s v="C"/>
    <s v="S"/>
    <x v="0"/>
    <n v="0.95369776983975851"/>
    <s v="arbusto"/>
    <m/>
    <m/>
    <m/>
  </r>
  <r>
    <n v="1"/>
    <x v="2"/>
    <n v="4"/>
    <n v="24"/>
    <n v="27"/>
    <s v="Burseraceae"/>
    <x v="43"/>
    <s v="Chacah"/>
    <n v="33"/>
    <n v="10.504226244065093"/>
    <n v="6"/>
    <n v="10"/>
    <m/>
    <s v="C"/>
    <s v="S"/>
    <x v="0"/>
    <n v="0.95199777381508877"/>
    <s v="árbol"/>
    <n v="12"/>
    <s v="Vol = Exp(-9.63573531+1.90246451*LN(DIAMETRO)+0.97875991*LN(ALTURATOTAL))"/>
    <n v="5.4591135202470997E-2"/>
  </r>
  <r>
    <n v="2"/>
    <x v="2"/>
    <n v="2"/>
    <n v="26"/>
    <n v="27"/>
    <s v="Burseraceae"/>
    <x v="43"/>
    <s v="Chacah"/>
    <n v="46"/>
    <n v="14.642254764454371"/>
    <n v="6"/>
    <n v="12"/>
    <m/>
    <s v="C"/>
    <s v="S"/>
    <x v="0"/>
    <n v="0.81954590963211993"/>
    <s v="árbol"/>
    <n v="12"/>
    <s v="Vol = Exp(-9.63573531+1.90246451*LN(DIAMETRO)+0.97875991*LN(ALTURATOTAL))"/>
    <n v="0.12275535302141567"/>
  </r>
  <r>
    <n v="7"/>
    <x v="2"/>
    <n v="3"/>
    <n v="24"/>
    <n v="27"/>
    <s v="Burseraceae"/>
    <x v="43"/>
    <s v="Chacah"/>
    <n v="40"/>
    <n v="12.732395447351628"/>
    <n v="6"/>
    <n v="11"/>
    <m/>
    <s v="C"/>
    <s v="S"/>
    <x v="0"/>
    <n v="0.86393797973719311"/>
    <s v="árbol"/>
    <n v="12"/>
    <s v="Vol = Exp(-9.63573531+1.90246451*LN(DIAMETRO)+0.97875991*LN(ALTURATOTAL))"/>
    <n v="8.6412988306268909E-2"/>
  </r>
  <r>
    <n v="9"/>
    <x v="0"/>
    <n v="2"/>
    <n v="27"/>
    <n v="27"/>
    <s v="Burseraceae"/>
    <x v="43"/>
    <s v="Chacah"/>
    <n v="19"/>
    <n v="6.0478878374920226"/>
    <n v="6"/>
    <n v="8"/>
    <m/>
    <s v="C"/>
    <s v="S"/>
    <x v="0"/>
    <n v="1.322775854143071"/>
    <s v="arbusto"/>
    <m/>
    <m/>
    <m/>
  </r>
  <r>
    <n v="11"/>
    <x v="0"/>
    <n v="3"/>
    <n v="27"/>
    <n v="27"/>
    <s v="Burseraceae"/>
    <x v="43"/>
    <s v="Chacah"/>
    <n v="24"/>
    <n v="7.6394372684109761"/>
    <n v="7"/>
    <n v="8.5"/>
    <m/>
    <s v="C"/>
    <s v="S"/>
    <x v="0"/>
    <n v="1.1126473981463851"/>
    <s v="arbusto"/>
    <m/>
    <m/>
    <m/>
  </r>
  <r>
    <n v="6"/>
    <x v="0"/>
    <n v="4"/>
    <n v="25"/>
    <n v="28"/>
    <s v="Burseraceae"/>
    <x v="43"/>
    <s v="Chacah"/>
    <n v="22"/>
    <n v="7.0028174960433951"/>
    <n v="6"/>
    <n v="9"/>
    <m/>
    <s v="C"/>
    <s v="S"/>
    <x v="0"/>
    <n v="1.2851969946503699"/>
    <s v="arbusto"/>
    <m/>
    <m/>
    <m/>
  </r>
  <r>
    <n v="9"/>
    <x v="0"/>
    <n v="2"/>
    <n v="28"/>
    <n v="28"/>
    <s v="Burseraceae"/>
    <x v="43"/>
    <s v="Chacah"/>
    <n v="21.5"/>
    <n v="6.8436625529514998"/>
    <n v="5.5"/>
    <n v="9"/>
    <m/>
    <s v="C"/>
    <s v="S"/>
    <x v="0"/>
    <n v="1.3150852968515412"/>
    <s v="arbusto"/>
    <m/>
    <m/>
    <m/>
  </r>
  <r>
    <n v="5"/>
    <x v="0"/>
    <n v="4"/>
    <n v="27"/>
    <n v="29"/>
    <s v="Burseraceae"/>
    <x v="43"/>
    <s v="Chacah"/>
    <n v="18"/>
    <n v="5.7295779513082321"/>
    <n v="4"/>
    <n v="6"/>
    <m/>
    <s v="C"/>
    <s v="S"/>
    <x v="0"/>
    <n v="1.0471975511965976"/>
    <s v="arbusto"/>
    <m/>
    <m/>
    <m/>
  </r>
  <r>
    <n v="9"/>
    <x v="0"/>
    <n v="3"/>
    <n v="29"/>
    <n v="29"/>
    <s v="Burseraceae"/>
    <x v="43"/>
    <s v="Chacah"/>
    <n v="17"/>
    <n v="5.4112680651244416"/>
    <n v="6"/>
    <n v="8.5"/>
    <m/>
    <s v="C"/>
    <s v="S"/>
    <x v="0"/>
    <n v="1.5707963267948966"/>
    <s v="arbusto"/>
    <m/>
    <m/>
    <m/>
  </r>
  <r>
    <n v="2"/>
    <x v="2"/>
    <n v="2"/>
    <n v="29"/>
    <n v="30"/>
    <s v="Burseraceae"/>
    <x v="43"/>
    <s v="Chacah"/>
    <n v="48.5"/>
    <n v="15.438029479913848"/>
    <n v="8"/>
    <n v="13"/>
    <m/>
    <s v="C"/>
    <s v="S"/>
    <x v="0"/>
    <n v="0.84207638137458374"/>
    <s v="árbol"/>
    <n v="12"/>
    <s v="Vol = Exp(-9.63573531+1.90246451*LN(DIAMETRO)+0.97875991*LN(ALTURATOTAL))"/>
    <n v="0.14682170489643562"/>
  </r>
  <r>
    <n v="1"/>
    <x v="2"/>
    <n v="4"/>
    <n v="28"/>
    <n v="31"/>
    <s v="Burseraceae"/>
    <x v="43"/>
    <s v="Chacah"/>
    <n v="34"/>
    <n v="10.822536130248883"/>
    <n v="6"/>
    <n v="9"/>
    <m/>
    <s v="C"/>
    <s v="S"/>
    <x v="0"/>
    <n v="0.83159805536200404"/>
    <s v="árbol"/>
    <n v="12"/>
    <s v="Vol = Exp(-9.63573531+1.90246451*LN(DIAMETRO)+0.97875991*LN(ALTURATOTAL))"/>
    <n v="5.2119703566845706E-2"/>
  </r>
  <r>
    <n v="9"/>
    <x v="0"/>
    <n v="3"/>
    <n v="31"/>
    <n v="31"/>
    <s v="Burseraceae"/>
    <x v="43"/>
    <s v="Chacah"/>
    <n v="16.5"/>
    <n v="5.2521131220325463"/>
    <n v="4"/>
    <n v="8"/>
    <m/>
    <s v="C"/>
    <s v="S"/>
    <x v="0"/>
    <n v="1.5231964381041421"/>
    <s v="arbusto"/>
    <m/>
    <m/>
    <m/>
  </r>
  <r>
    <n v="7"/>
    <x v="2"/>
    <n v="3"/>
    <n v="30"/>
    <n v="33"/>
    <s v="Burseraceae"/>
    <x v="43"/>
    <s v="Chacah"/>
    <n v="45.5"/>
    <n v="14.483099821362476"/>
    <n v="7"/>
    <n v="14"/>
    <m/>
    <s v="C"/>
    <s v="S"/>
    <x v="0"/>
    <n v="0.96664389341224399"/>
    <s v="árbol"/>
    <n v="12"/>
    <s v="Vol = Exp(-9.63573531+1.90246451*LN(DIAMETRO)+0.97875991*LN(ALTURATOTAL))"/>
    <n v="0.13980907076420018"/>
  </r>
  <r>
    <n v="11"/>
    <x v="0"/>
    <n v="3"/>
    <n v="33"/>
    <n v="33"/>
    <s v="Burseraceae"/>
    <x v="43"/>
    <s v="Chacah"/>
    <n v="20.5"/>
    <n v="6.5253526667677093"/>
    <n v="7"/>
    <n v="8.5"/>
    <m/>
    <s v="C"/>
    <s v="S"/>
    <x v="0"/>
    <n v="1.3026115880738165"/>
    <s v="arbusto"/>
    <m/>
    <m/>
    <m/>
  </r>
  <r>
    <n v="12"/>
    <x v="0"/>
    <n v="3"/>
    <n v="21"/>
    <n v="33"/>
    <s v="Burseraceae"/>
    <x v="43"/>
    <s v="Chacah"/>
    <n v="22"/>
    <n v="7.0028174960433951"/>
    <n v="8"/>
    <n v="9"/>
    <m/>
    <s v="C"/>
    <s v="S"/>
    <x v="0"/>
    <n v="1.2851969946503699"/>
    <s v="arbusto"/>
    <m/>
    <m/>
    <m/>
  </r>
  <r>
    <n v="7"/>
    <x v="2"/>
    <n v="3"/>
    <n v="32"/>
    <n v="35"/>
    <s v="Burseraceae"/>
    <x v="43"/>
    <s v="Chacah"/>
    <n v="33"/>
    <n v="10.504226244065093"/>
    <n v="9"/>
    <n v="12"/>
    <m/>
    <s v="C"/>
    <s v="S"/>
    <x v="0"/>
    <n v="1.1423973285781066"/>
    <s v="árbol"/>
    <n v="12"/>
    <s v="Vol = Exp(-9.63573531+1.90246451*LN(DIAMETRO)+0.97875991*LN(ALTURATOTAL))"/>
    <n v="6.5256166087208245E-2"/>
  </r>
  <r>
    <n v="5"/>
    <x v="2"/>
    <n v="4"/>
    <n v="35"/>
    <n v="37"/>
    <s v="Burseraceae"/>
    <x v="43"/>
    <s v="Chacah"/>
    <n v="34"/>
    <n v="10.822536130248883"/>
    <n v="7"/>
    <n v="10"/>
    <m/>
    <s v="C"/>
    <s v="S"/>
    <x v="0"/>
    <n v="0.92399783929111567"/>
    <s v="árbol"/>
    <n v="12"/>
    <s v="Vol = Exp(-9.63573531+1.90246451*LN(DIAMETRO)+0.97875991*LN(ALTURATOTAL))"/>
    <n v="5.7781330024967617E-2"/>
  </r>
  <r>
    <n v="9"/>
    <x v="0"/>
    <n v="3"/>
    <n v="37"/>
    <n v="37"/>
    <s v="Burseraceae"/>
    <x v="43"/>
    <s v="Chacah"/>
    <n v="17.5"/>
    <n v="5.5704230082163368"/>
    <n v="8"/>
    <n v="10"/>
    <m/>
    <s v="C"/>
    <s v="S"/>
    <x v="0"/>
    <n v="1.7951958020513104"/>
    <s v="arbusto"/>
    <m/>
    <m/>
    <m/>
  </r>
  <r>
    <n v="10"/>
    <x v="0"/>
    <n v="4"/>
    <n v="38"/>
    <n v="38"/>
    <s v="Burseraceae"/>
    <x v="43"/>
    <s v="Chacah"/>
    <n v="26"/>
    <n v="8.2760570407785572"/>
    <n v="5.5"/>
    <n v="10"/>
    <m/>
    <s v="C"/>
    <s v="S"/>
    <x v="0"/>
    <n v="1.2083048667653051"/>
    <s v="arbusto"/>
    <m/>
    <m/>
    <m/>
  </r>
  <r>
    <n v="12"/>
    <x v="0"/>
    <n v="4"/>
    <n v="28"/>
    <n v="40"/>
    <s v="Burseraceae"/>
    <x v="43"/>
    <s v="Chacah"/>
    <n v="20.5"/>
    <n v="6.5253526667677093"/>
    <n v="2"/>
    <n v="9"/>
    <m/>
    <s v="C"/>
    <s v="S"/>
    <x v="0"/>
    <n v="1.3792357991369824"/>
    <s v="arbusto"/>
    <m/>
    <m/>
    <m/>
  </r>
  <r>
    <n v="2"/>
    <x v="2"/>
    <n v="3"/>
    <n v="39"/>
    <n v="41"/>
    <s v="Burseraceae"/>
    <x v="43"/>
    <s v="Chacah"/>
    <n v="36.5"/>
    <n v="11.618310845708359"/>
    <n v="4"/>
    <n v="9"/>
    <m/>
    <s v="C"/>
    <s v="S"/>
    <x v="0"/>
    <n v="0.7746392844467983"/>
    <s v="árbol"/>
    <n v="12"/>
    <s v="Vol = Exp(-9.63573531+1.90246451*LN(DIAMETRO)+0.97875991*LN(ALTURATOTAL))"/>
    <n v="5.9651913351807223E-2"/>
  </r>
  <r>
    <n v="2"/>
    <x v="2"/>
    <n v="3"/>
    <n v="40"/>
    <n v="42"/>
    <s v="Burseraceae"/>
    <x v="43"/>
    <s v="Chacah"/>
    <n v="45"/>
    <n v="14.323944878270581"/>
    <n v="5"/>
    <n v="10"/>
    <m/>
    <s v="C"/>
    <s v="S"/>
    <x v="0"/>
    <n v="0.69813170079773179"/>
    <s v="árbol"/>
    <n v="12"/>
    <s v="Vol = Exp(-9.63573531+1.90246451*LN(DIAMETRO)+0.97875991*LN(ALTURATOTAL))"/>
    <n v="9.8487560842440897E-2"/>
  </r>
  <r>
    <n v="8"/>
    <x v="2"/>
    <n v="3"/>
    <n v="37"/>
    <n v="42"/>
    <s v="Burseraceae"/>
    <x v="43"/>
    <s v="Chacah"/>
    <n v="40"/>
    <n v="12.732395447351628"/>
    <n v="9"/>
    <n v="12"/>
    <m/>
    <s v="C"/>
    <s v="S"/>
    <x v="0"/>
    <n v="0.94247779607693793"/>
    <s v="árbol"/>
    <n v="12"/>
    <s v="Vol = Exp(-9.63573531+1.90246451*LN(DIAMETRO)+0.97875991*LN(ALTURATOTAL))"/>
    <n v="9.4094654617910181E-2"/>
  </r>
  <r>
    <n v="7"/>
    <x v="2"/>
    <n v="4"/>
    <n v="42"/>
    <n v="45"/>
    <s v="Burseraceae"/>
    <x v="43"/>
    <s v="Chacah"/>
    <n v="53"/>
    <n v="16.870423967740905"/>
    <n v="5.5"/>
    <n v="12"/>
    <m/>
    <s v="C"/>
    <s v="S"/>
    <x v="0"/>
    <n v="0.71130399703919844"/>
    <s v="árbol"/>
    <n v="12"/>
    <s v="Vol = Exp(-9.63573531+1.90246451*LN(DIAMETRO)+0.97875991*LN(ALTURATOTAL))"/>
    <n v="0.1607223683694381"/>
  </r>
  <r>
    <n v="9"/>
    <x v="0"/>
    <n v="4"/>
    <n v="45"/>
    <n v="45"/>
    <s v="Burseraceae"/>
    <x v="43"/>
    <s v="Chacah"/>
    <n v="18"/>
    <n v="5.7295779513082321"/>
    <n v="4.5"/>
    <n v="6"/>
    <m/>
    <s v="C"/>
    <s v="S"/>
    <x v="0"/>
    <n v="1.0471975511965976"/>
    <s v="arbusto"/>
    <m/>
    <m/>
    <m/>
  </r>
  <r>
    <n v="9"/>
    <x v="0"/>
    <n v="4"/>
    <n v="47"/>
    <n v="47"/>
    <s v="Burseraceae"/>
    <x v="43"/>
    <s v="Chacah"/>
    <n v="17.5"/>
    <n v="5.5704230082163368"/>
    <n v="2.5"/>
    <n v="7"/>
    <m/>
    <s v="C"/>
    <s v="S"/>
    <x v="0"/>
    <n v="1.2566370614359172"/>
    <s v="arbusto"/>
    <m/>
    <m/>
    <m/>
  </r>
  <r>
    <n v="4"/>
    <x v="2"/>
    <n v="4"/>
    <n v="46"/>
    <n v="48"/>
    <s v="Burseraceae"/>
    <x v="43"/>
    <s v="Chacah"/>
    <n v="42.5"/>
    <n v="13.528170162811104"/>
    <n v="6"/>
    <n v="11"/>
    <m/>
    <s v="C"/>
    <s v="S"/>
    <x v="0"/>
    <n v="0.81311809857618178"/>
    <s v="árbol"/>
    <n v="12"/>
    <s v="Vol = Exp(-9.63573531+1.90246451*LN(DIAMETRO)+0.97875991*LN(ALTURATOTAL))"/>
    <n v="9.6977033610609026E-2"/>
  </r>
  <r>
    <n v="2"/>
    <x v="2"/>
    <n v="3"/>
    <n v="48"/>
    <n v="52"/>
    <s v="Burseraceae"/>
    <x v="43"/>
    <s v="Chacah"/>
    <n v="32"/>
    <n v="10.185916357881302"/>
    <n v="6"/>
    <n v="9"/>
    <m/>
    <s v="C"/>
    <s v="S"/>
    <x v="0"/>
    <n v="0.88357293382212931"/>
    <s v="árbol"/>
    <n v="12"/>
    <s v="Vol = Exp(-9.63573531+1.90246451*LN(DIAMETRO)+0.97875991*LN(ALTURATOTAL))"/>
    <n v="4.6442123120946172E-2"/>
  </r>
  <r>
    <n v="8"/>
    <x v="2"/>
    <n v="4"/>
    <n v="49"/>
    <n v="54"/>
    <s v="Burseraceae"/>
    <x v="43"/>
    <s v="Chacah"/>
    <n v="33"/>
    <n v="10.504226244065093"/>
    <n v="8"/>
    <n v="12"/>
    <m/>
    <s v="C"/>
    <s v="S"/>
    <x v="0"/>
    <n v="1.1423973285781066"/>
    <s v="árbol"/>
    <n v="12"/>
    <s v="Vol = Exp(-9.63573531+1.90246451*LN(DIAMETRO)+0.97875991*LN(ALTURATOTAL))"/>
    <n v="6.5256166087208245E-2"/>
  </r>
  <r>
    <n v="4"/>
    <x v="2"/>
    <n v="4"/>
    <n v="54"/>
    <n v="56"/>
    <s v="Burseraceae"/>
    <x v="43"/>
    <s v="Chacah"/>
    <n v="49"/>
    <n v="15.597184423005743"/>
    <n v="4"/>
    <n v="13"/>
    <m/>
    <s v="C"/>
    <s v="S"/>
    <x v="0"/>
    <n v="0.83348376523810841"/>
    <s v="árbol"/>
    <n v="12"/>
    <s v="Vol = Exp(-9.63573531+1.90246451*LN(DIAMETRO)+0.97875991*LN(ALTURATOTAL))"/>
    <n v="0.14971471547100634"/>
  </r>
  <r>
    <n v="2"/>
    <x v="2"/>
    <n v="4"/>
    <n v="52"/>
    <n v="57"/>
    <s v="Burseraceae"/>
    <x v="43"/>
    <s v="Chacah"/>
    <n v="36"/>
    <n v="11.459155902616464"/>
    <n v="4"/>
    <n v="10"/>
    <m/>
    <s v="C"/>
    <s v="S"/>
    <x v="0"/>
    <n v="0.87266462599716477"/>
    <s v="árbol"/>
    <n v="12"/>
    <s v="Vol = Exp(-9.63573531+1.90246451*LN(DIAMETRO)+0.97875991*LN(ALTURATOTAL))"/>
    <n v="6.4418932145957952E-2"/>
  </r>
  <r>
    <n v="8"/>
    <x v="2"/>
    <n v="4"/>
    <n v="54"/>
    <n v="59"/>
    <s v="Burseraceae"/>
    <x v="43"/>
    <s v="Chacah"/>
    <n v="34.5"/>
    <n v="10.981691073340778"/>
    <n v="8"/>
    <n v="12"/>
    <m/>
    <s v="C"/>
    <s v="S"/>
    <x v="0"/>
    <n v="1.0927278795094932"/>
    <s v="árbol"/>
    <n v="12"/>
    <s v="Vol = Exp(-9.63573531+1.90246451*LN(DIAMETRO)+0.97875991*LN(ALTURATOTAL))"/>
    <n v="7.1014809646230373E-2"/>
  </r>
  <r>
    <n v="8"/>
    <x v="2"/>
    <n v="4"/>
    <n v="55"/>
    <n v="60"/>
    <s v="Burseraceae"/>
    <x v="43"/>
    <s v="Chacah"/>
    <n v="47.5"/>
    <n v="15.119719593730057"/>
    <n v="3"/>
    <n v="10"/>
    <m/>
    <s v="C"/>
    <s v="S"/>
    <x v="0"/>
    <n v="0.66138792707153538"/>
    <s v="árbol"/>
    <n v="12"/>
    <s v="Vol = Exp(-9.63573531+1.90246451*LN(DIAMETRO)+0.97875991*LN(ALTURATOTAL))"/>
    <n v="0.10915743783971928"/>
  </r>
  <r>
    <n v="2"/>
    <x v="2"/>
    <n v="4"/>
    <n v="55"/>
    <n v="61"/>
    <s v="Burseraceae"/>
    <x v="43"/>
    <s v="Chacah"/>
    <n v="38"/>
    <n v="12.095775674984045"/>
    <n v="4"/>
    <n v="9"/>
    <m/>
    <s v="C"/>
    <s v="S"/>
    <x v="0"/>
    <n v="0.74406141795547731"/>
    <s v="árbol"/>
    <n v="12"/>
    <s v="Vol = Exp(-9.63573531+1.90246451*LN(DIAMETRO)+0.97875991*LN(ALTURATOTAL))"/>
    <n v="6.4402077256596954E-2"/>
  </r>
  <r>
    <n v="8"/>
    <x v="2"/>
    <n v="4"/>
    <n v="58"/>
    <n v="65"/>
    <s v="Burseraceae"/>
    <x v="43"/>
    <s v="Chacah"/>
    <n v="35.5"/>
    <n v="11.300000959524569"/>
    <n v="7"/>
    <n v="13"/>
    <m/>
    <s v="C"/>
    <s v="S"/>
    <x v="0"/>
    <n v="1.1504423801878116"/>
    <s v="árbol"/>
    <n v="12"/>
    <s v="Vol = Exp(-9.63573531+1.90246451*LN(DIAMETRO)+0.97875991*LN(ALTURATOTAL))"/>
    <n v="8.1092531123149361E-2"/>
  </r>
  <r>
    <n v="2"/>
    <x v="0"/>
    <n v="1"/>
    <n v="1"/>
    <n v="1"/>
    <s v="Anacardiaceae"/>
    <x v="25"/>
    <s v="Chechem"/>
    <n v="21.5"/>
    <n v="6.8436625529514998"/>
    <n v="5"/>
    <n v="8"/>
    <m/>
    <s v="C"/>
    <s v="S"/>
    <x v="0"/>
    <n v="1.1689647083124812"/>
    <s v="arbusto"/>
    <m/>
    <m/>
    <m/>
  </r>
  <r>
    <n v="8"/>
    <x v="0"/>
    <n v="1"/>
    <n v="1"/>
    <n v="1"/>
    <s v="Anacardiaceae"/>
    <x v="25"/>
    <s v="Chechem"/>
    <n v="30"/>
    <n v="9.5492965855137211"/>
    <n v="5.5"/>
    <n v="10"/>
    <m/>
    <s v="C"/>
    <s v="S"/>
    <x v="0"/>
    <n v="1.0471975511965976"/>
    <s v="arbusto"/>
    <m/>
    <m/>
    <m/>
  </r>
  <r>
    <n v="1"/>
    <x v="2"/>
    <n v="1"/>
    <n v="2"/>
    <n v="2"/>
    <s v="Anacardiaceae"/>
    <x v="25"/>
    <s v="Chechem"/>
    <n v="70"/>
    <n v="22.281692032865347"/>
    <n v="3.5"/>
    <n v="12"/>
    <m/>
    <s v="C"/>
    <s v="S"/>
    <x v="0"/>
    <n v="0.53855874061539311"/>
    <s v="árbol"/>
    <n v="15"/>
    <s v="Vol = Exp(-9.45441486+1.86841300*LN(DIAMETRO)+0.93163520*LN(ALTURATOTAL))"/>
    <n v="0.26177424267000488"/>
  </r>
  <r>
    <n v="3"/>
    <x v="2"/>
    <n v="1"/>
    <n v="2"/>
    <n v="2"/>
    <s v="Anacardiaceae"/>
    <x v="25"/>
    <s v="Chechem"/>
    <n v="44"/>
    <n v="14.00563499208679"/>
    <n v="6"/>
    <n v="10"/>
    <m/>
    <s v="C"/>
    <s v="S"/>
    <x v="0"/>
    <n v="0.71399833036131666"/>
    <s v="árbol"/>
    <n v="15"/>
    <s v="Vol = Exp(-9.45441486+1.86841300*LN(DIAMETRO)+0.93163520*LN(ALTURATOTAL))"/>
    <n v="9.2768825280786782E-2"/>
  </r>
  <r>
    <n v="1"/>
    <x v="2"/>
    <n v="1"/>
    <n v="3"/>
    <n v="3"/>
    <s v="Anacardiaceae"/>
    <x v="25"/>
    <s v="Chechem"/>
    <n v="60"/>
    <n v="19.098593171027442"/>
    <n v="6"/>
    <n v="13"/>
    <m/>
    <s v="CB"/>
    <s v="S"/>
    <x v="0"/>
    <n v="0.68067840827778847"/>
    <s v="árbol"/>
    <n v="15"/>
    <s v="Vol = Exp(-9.45441486+1.86841300*LN(DIAMETRO)+0.93163520*LN(ALTURATOTAL))"/>
    <n v="0.21146001641603238"/>
  </r>
  <r>
    <n v="1"/>
    <x v="2"/>
    <n v="1"/>
    <s v="3A"/>
    <n v="4"/>
    <s v="Anacardiaceae"/>
    <x v="25"/>
    <s v="Chechem"/>
    <n v="71"/>
    <n v="22.600001919049138"/>
    <n v="7.5"/>
    <n v="14"/>
    <m/>
    <s v="C"/>
    <s v="S"/>
    <x v="1"/>
    <n v="0.61946897394728317"/>
    <s v="árbol"/>
    <n v="15"/>
    <s v="Vol = Exp(-9.45441486+1.86841300*LN(DIAMETRO)+0.93163520*LN(ALTURATOTAL))"/>
    <n v="0.31031795060100054"/>
  </r>
  <r>
    <n v="7"/>
    <x v="1"/>
    <m/>
    <n v="22"/>
    <n v="22"/>
    <s v="Rubiaceae"/>
    <x v="14"/>
    <s v="ka’an chak che"/>
    <m/>
    <m/>
    <m/>
    <n v="0.7"/>
    <e v="#REF!"/>
    <m/>
    <s v="S"/>
    <x v="0"/>
    <e v="#DIV/0!"/>
    <s v="herbácea"/>
    <m/>
    <m/>
    <m/>
  </r>
  <r>
    <n v="3"/>
    <x v="2"/>
    <n v="1"/>
    <n v="5"/>
    <n v="5"/>
    <s v="Anacardiaceae"/>
    <x v="25"/>
    <s v="Chechem"/>
    <n v="35.5"/>
    <n v="11.300000959524569"/>
    <n v="6"/>
    <n v="10"/>
    <m/>
    <s v="C"/>
    <s v="S"/>
    <x v="0"/>
    <n v="0.88495567706754741"/>
    <s v="árbol"/>
    <n v="15"/>
    <s v="Vol = Exp(-9.45441486+1.86841300*LN(DIAMETRO)+0.93163520*LN(ALTURATOTAL))"/>
    <n v="6.2118436965634988E-2"/>
  </r>
  <r>
    <n v="1"/>
    <x v="2"/>
    <n v="2"/>
    <n v="5"/>
    <n v="6"/>
    <s v="Anacardiaceae"/>
    <x v="25"/>
    <s v="Chechem"/>
    <n v="54"/>
    <n v="17.188733853924695"/>
    <n v="6"/>
    <n v="13"/>
    <m/>
    <s v="C"/>
    <s v="S"/>
    <x v="0"/>
    <n v="0.75630934253087623"/>
    <s v="árbol"/>
    <n v="15"/>
    <s v="Vol = Exp(-9.45441486+1.86841300*LN(DIAMETRO)+0.93163520*LN(ALTURATOTAL))"/>
    <n v="0.17367382582472168"/>
  </r>
  <r>
    <n v="7"/>
    <x v="0"/>
    <n v="3"/>
    <n v="6"/>
    <n v="6"/>
    <s v="Anacardiaceae"/>
    <x v="25"/>
    <s v="Chechem"/>
    <n v="24"/>
    <n v="7.6394372684109761"/>
    <n v="8"/>
    <n v="12"/>
    <m/>
    <s v="C"/>
    <s v="S"/>
    <x v="0"/>
    <n v="1.5707963267948966"/>
    <s v="arbusto"/>
    <m/>
    <m/>
    <m/>
  </r>
  <r>
    <n v="1"/>
    <x v="2"/>
    <n v="2"/>
    <n v="6"/>
    <n v="7"/>
    <s v="Anacardiaceae"/>
    <x v="25"/>
    <s v="Chechem"/>
    <n v="32"/>
    <n v="10.185916357881302"/>
    <n v="4"/>
    <n v="7.5"/>
    <m/>
    <s v="C"/>
    <s v="S"/>
    <x v="0"/>
    <n v="0.73631077818510771"/>
    <s v="árbol"/>
    <n v="15"/>
    <s v="Vol = Exp(-9.45441486+1.86841300*LN(DIAMETRO)+0.93163520*LN(ALTURATOTAL))"/>
    <n v="3.9137958929067379E-2"/>
  </r>
  <r>
    <n v="6"/>
    <x v="2"/>
    <n v="2"/>
    <n v="6"/>
    <n v="7"/>
    <s v="Anacardiaceae"/>
    <x v="25"/>
    <s v="Chechem"/>
    <n v="32.5"/>
    <n v="10.345071300973197"/>
    <n v="8"/>
    <n v="11"/>
    <m/>
    <s v="C"/>
    <s v="S"/>
    <x v="0"/>
    <n v="1.0633082827534683"/>
    <s v="árbol"/>
    <n v="15"/>
    <s v="Vol = Exp(-9.45441486+1.86841300*LN(DIAMETRO)+0.93163520*LN(ALTURATOTAL))"/>
    <n v="5.7562430110280276E-2"/>
  </r>
  <r>
    <n v="7"/>
    <x v="1"/>
    <m/>
    <n v="23"/>
    <n v="23"/>
    <s v="Moraceae"/>
    <x v="45"/>
    <s v="Ramón"/>
    <m/>
    <m/>
    <m/>
    <n v="0.3"/>
    <e v="#REF!"/>
    <m/>
    <s v="S"/>
    <x v="0"/>
    <e v="#DIV/0!"/>
    <s v="herbácea"/>
    <m/>
    <m/>
    <m/>
  </r>
  <r>
    <n v="1"/>
    <x v="2"/>
    <n v="2"/>
    <n v="9"/>
    <n v="10"/>
    <s v="Anacardiaceae"/>
    <x v="25"/>
    <s v="Chechem"/>
    <n v="33"/>
    <n v="10.504226244065093"/>
    <n v="5.5"/>
    <n v="8"/>
    <m/>
    <s v="C"/>
    <s v="S"/>
    <x v="0"/>
    <n v="0.76159821905207103"/>
    <s v="árbol"/>
    <n v="15"/>
    <s v="Vol = Exp(-9.45441486+1.86841300*LN(DIAMETRO)+0.93163520*LN(ALTURATOTAL))"/>
    <n v="4.4023049005083581E-2"/>
  </r>
  <r>
    <n v="2"/>
    <x v="2"/>
    <n v="1"/>
    <n v="10"/>
    <n v="10"/>
    <s v="Anacardiaceae"/>
    <x v="25"/>
    <s v="Chechem"/>
    <n v="40"/>
    <n v="12.732395447351628"/>
    <n v="5"/>
    <n v="12"/>
    <m/>
    <s v="C"/>
    <s v="S"/>
    <x v="0"/>
    <n v="0.94247779607693793"/>
    <s v="árbol"/>
    <n v="15"/>
    <s v="Vol = Exp(-9.45441486+1.86841300*LN(DIAMETRO)+0.93163520*LN(ALTURATOTAL))"/>
    <n v="9.2009243969291984E-2"/>
  </r>
  <r>
    <n v="6"/>
    <x v="2"/>
    <n v="3"/>
    <n v="9"/>
    <n v="10"/>
    <s v="Anacardiaceae"/>
    <x v="25"/>
    <s v="Chechem"/>
    <n v="33.5"/>
    <n v="10.663381187156988"/>
    <n v="4.5"/>
    <n v="9"/>
    <m/>
    <s v="C"/>
    <s v="S"/>
    <x v="0"/>
    <n v="0.84400996663606387"/>
    <s v="árbol"/>
    <n v="15"/>
    <s v="Vol = Exp(-9.45441486+1.86841300*LN(DIAMETRO)+0.93163520*LN(ALTURATOTAL))"/>
    <n v="5.0528681488540506E-2"/>
  </r>
  <r>
    <n v="8"/>
    <x v="0"/>
    <n v="1"/>
    <n v="10"/>
    <n v="10"/>
    <s v="Anacardiaceae"/>
    <x v="25"/>
    <s v="Chechem"/>
    <n v="20"/>
    <n v="6.366197723675814"/>
    <n v="8"/>
    <n v="11"/>
    <m/>
    <s v="C"/>
    <s v="S"/>
    <x v="0"/>
    <n v="1.7278759594743862"/>
    <s v="arbusto"/>
    <m/>
    <m/>
    <m/>
  </r>
  <r>
    <n v="2"/>
    <x v="2"/>
    <n v="1"/>
    <n v="11"/>
    <n v="11"/>
    <s v="Anacardiaceae"/>
    <x v="25"/>
    <s v="Chechem"/>
    <n v="41"/>
    <n v="13.050705333535419"/>
    <n v="8"/>
    <n v="12"/>
    <m/>
    <s v="C"/>
    <s v="S"/>
    <x v="0"/>
    <n v="0.9194905327579882"/>
    <s v="árbol"/>
    <n v="15"/>
    <s v="Vol = Exp(-9.45441486+1.86841300*LN(DIAMETRO)+0.93163520*LN(ALTURATOTAL))"/>
    <n v="9.6353627976860701E-2"/>
  </r>
  <r>
    <n v="3"/>
    <x v="2"/>
    <n v="1"/>
    <n v="12"/>
    <n v="12"/>
    <s v="Anacardiaceae"/>
    <x v="25"/>
    <s v="Chechem"/>
    <n v="42"/>
    <n v="13.369015219719209"/>
    <n v="7"/>
    <n v="11"/>
    <m/>
    <s v="C"/>
    <s v="S"/>
    <x v="0"/>
    <n v="0.82279807594018384"/>
    <s v="árbol"/>
    <n v="15"/>
    <s v="Vol = Exp(-9.45441486+1.86841300*LN(DIAMETRO)+0.93163520*LN(ALTURATOTAL))"/>
    <n v="9.2942996589490443E-2"/>
  </r>
  <r>
    <n v="2"/>
    <x v="2"/>
    <n v="1"/>
    <n v="13"/>
    <n v="13"/>
    <s v="Anacardiaceae"/>
    <x v="25"/>
    <s v="Chechem"/>
    <n v="42.5"/>
    <n v="13.528170162811104"/>
    <n v="4"/>
    <n v="12"/>
    <m/>
    <s v="C"/>
    <s v="S"/>
    <x v="0"/>
    <n v="0.88703792571947093"/>
    <s v="árbol"/>
    <n v="15"/>
    <s v="Vol = Exp(-9.45441486+1.86841300*LN(DIAMETRO)+0.93163520*LN(ALTURATOTAL))"/>
    <n v="0.10304449460951418"/>
  </r>
  <r>
    <n v="3"/>
    <x v="2"/>
    <n v="1"/>
    <n v="14"/>
    <n v="14"/>
    <s v="Anacardiaceae"/>
    <x v="25"/>
    <s v="Chechem"/>
    <n v="37.54"/>
    <n v="11.949353127339503"/>
    <n v="3"/>
    <n v="9"/>
    <m/>
    <s v="C"/>
    <s v="S"/>
    <x v="0"/>
    <n v="0.75317884609238506"/>
    <s v="árbol"/>
    <n v="15"/>
    <s v="Vol = Exp(-9.45441486+1.86841300*LN(DIAMETRO)+0.93163520*LN(ALTURATOTAL))"/>
    <n v="6.2507190906733928E-2"/>
  </r>
  <r>
    <n v="5"/>
    <x v="0"/>
    <n v="2"/>
    <n v="13"/>
    <n v="14"/>
    <s v="Anacardiaceae"/>
    <x v="25"/>
    <s v="Chechem"/>
    <n v="21"/>
    <n v="6.6845076098596046"/>
    <n v="3"/>
    <n v="8"/>
    <m/>
    <s v="C"/>
    <s v="S"/>
    <x v="0"/>
    <n v="1.1967972013675401"/>
    <s v="arbusto"/>
    <m/>
    <m/>
    <m/>
  </r>
  <r>
    <n v="1"/>
    <x v="2"/>
    <n v="2"/>
    <n v="12"/>
    <n v="15"/>
    <s v="Anacardiaceae"/>
    <x v="25"/>
    <s v="Chechem"/>
    <n v="32"/>
    <n v="10.185916357881302"/>
    <n v="3"/>
    <n v="9"/>
    <m/>
    <s v="C"/>
    <s v="S"/>
    <x v="0"/>
    <n v="0.88357293382212931"/>
    <s v="árbol"/>
    <n v="15"/>
    <s v="Vol = Exp(-9.45441486+1.86841300*LN(DIAMETRO)+0.93163520*LN(ALTURATOTAL))"/>
    <n v="4.6383787585078627E-2"/>
  </r>
  <r>
    <n v="8"/>
    <x v="2"/>
    <n v="1"/>
    <n v="14"/>
    <n v="15"/>
    <s v="Anacardiaceae"/>
    <x v="25"/>
    <s v="Chechem"/>
    <n v="41"/>
    <n v="13.050705333535419"/>
    <n v="5"/>
    <n v="12"/>
    <m/>
    <s v="C"/>
    <s v="S"/>
    <x v="0"/>
    <n v="0.9194905327579882"/>
    <s v="árbol"/>
    <n v="15"/>
    <s v="Vol = Exp(-9.45441486+1.86841300*LN(DIAMETRO)+0.93163520*LN(ALTURATOTAL))"/>
    <n v="9.6353627976860701E-2"/>
  </r>
  <r>
    <n v="6"/>
    <x v="0"/>
    <n v="3"/>
    <n v="15"/>
    <n v="15"/>
    <s v="Anacardiaceae"/>
    <x v="25"/>
    <s v="Chechem"/>
    <n v="26"/>
    <n v="8.2760570407785572"/>
    <n v="5"/>
    <n v="10"/>
    <m/>
    <s v="CB"/>
    <s v="S"/>
    <x v="0"/>
    <n v="1.2083048667653051"/>
    <s v="arbusto"/>
    <m/>
    <m/>
    <m/>
  </r>
  <r>
    <n v="4"/>
    <x v="2"/>
    <n v="2"/>
    <n v="16"/>
    <n v="16"/>
    <s v="Anacardiaceae"/>
    <x v="25"/>
    <s v="Chechem"/>
    <n v="38.5"/>
    <n v="12.254930618075941"/>
    <n v="7"/>
    <n v="12"/>
    <m/>
    <s v="C"/>
    <s v="S"/>
    <x v="0"/>
    <n v="0.97919771020980573"/>
    <s v="árbol"/>
    <n v="15"/>
    <s v="Vol = Exp(-9.45441486+1.86841300*LN(DIAMETRO)+0.93163520*LN(ALTURATOTAL))"/>
    <n v="8.5667715472304437E-2"/>
  </r>
  <r>
    <n v="5"/>
    <x v="2"/>
    <n v="2"/>
    <n v="15"/>
    <n v="16"/>
    <s v="Anacardiaceae"/>
    <x v="25"/>
    <s v="Chechem"/>
    <n v="35"/>
    <n v="11.140846016432674"/>
    <n v="4.5"/>
    <n v="11"/>
    <m/>
    <s v="C"/>
    <s v="S"/>
    <x v="0"/>
    <n v="0.98735769112822069"/>
    <s v="árbol"/>
    <n v="15"/>
    <s v="Vol = Exp(-9.45441486+1.86841300*LN(DIAMETRO)+0.93163520*LN(ALTURATOTAL))"/>
    <n v="6.6110950476338373E-2"/>
  </r>
  <r>
    <n v="1"/>
    <x v="0"/>
    <n v="3"/>
    <n v="16"/>
    <n v="16"/>
    <s v="Anacardiaceae"/>
    <x v="25"/>
    <s v="Chechem"/>
    <n v="22"/>
    <n v="7.0028174960433951"/>
    <n v="6"/>
    <n v="11"/>
    <m/>
    <s v="C"/>
    <s v="S"/>
    <x v="0"/>
    <n v="1.5707963267948966"/>
    <s v="arbusto"/>
    <m/>
    <m/>
    <m/>
  </r>
  <r>
    <n v="6"/>
    <x v="0"/>
    <n v="3"/>
    <s v="15A"/>
    <n v="16"/>
    <s v="Anacardiaceae"/>
    <x v="25"/>
    <s v="Chechem"/>
    <n v="24.5"/>
    <n v="7.7985922115028714"/>
    <n v="7"/>
    <n v="10"/>
    <m/>
    <s v="C"/>
    <s v="S"/>
    <x v="1"/>
    <n v="1.282282715750936"/>
    <s v="arbusto"/>
    <m/>
    <m/>
    <m/>
  </r>
  <r>
    <n v="2"/>
    <x v="2"/>
    <n v="1"/>
    <n v="17"/>
    <n v="17"/>
    <s v="Anacardiaceae"/>
    <x v="25"/>
    <s v="Chechem"/>
    <n v="37"/>
    <n v="11.777465788800255"/>
    <n v="5"/>
    <n v="10"/>
    <m/>
    <s v="C"/>
    <s v="S"/>
    <x v="0"/>
    <n v="0.84907909556480898"/>
    <s v="árbol"/>
    <n v="15"/>
    <s v="Vol = Exp(-9.45441486+1.86841300*LN(DIAMETRO)+0.93163520*LN(ALTURATOTAL))"/>
    <n v="6.7112311855052717E-2"/>
  </r>
  <r>
    <n v="5"/>
    <x v="2"/>
    <n v="2"/>
    <n v="16"/>
    <n v="17"/>
    <s v="Anacardiaceae"/>
    <x v="25"/>
    <s v="Chechem"/>
    <n v="34"/>
    <n v="10.822536130248883"/>
    <n v="5.5"/>
    <n v="11"/>
    <m/>
    <s v="C"/>
    <s v="S"/>
    <x v="0"/>
    <n v="1.0163976232202272"/>
    <s v="árbol"/>
    <n v="15"/>
    <s v="Vol = Exp(-9.45441486+1.86841300*LN(DIAMETRO)+0.93163520*LN(ALTURATOTAL))"/>
    <n v="6.2625572914895164E-2"/>
  </r>
  <r>
    <n v="1"/>
    <x v="0"/>
    <n v="3"/>
    <n v="17"/>
    <n v="17"/>
    <s v="Anacardiaceae"/>
    <x v="25"/>
    <s v="Chechem"/>
    <n v="25"/>
    <n v="7.9577471545947667"/>
    <n v="6"/>
    <n v="9"/>
    <m/>
    <s v="C"/>
    <s v="S"/>
    <x v="0"/>
    <n v="1.1309733552923256"/>
    <s v="arbusto"/>
    <m/>
    <m/>
    <m/>
  </r>
  <r>
    <n v="6"/>
    <x v="0"/>
    <n v="3"/>
    <s v="15B"/>
    <n v="17"/>
    <s v="Anacardiaceae"/>
    <x v="25"/>
    <s v="Chechem"/>
    <n v="22"/>
    <n v="7.0028174960433951"/>
    <n v="4"/>
    <n v="9"/>
    <m/>
    <s v="C"/>
    <s v="S"/>
    <x v="1"/>
    <n v="1.2851969946503699"/>
    <s v="arbusto"/>
    <m/>
    <m/>
    <m/>
  </r>
  <r>
    <n v="2"/>
    <x v="2"/>
    <n v="1"/>
    <n v="18"/>
    <n v="18"/>
    <s v="Anacardiaceae"/>
    <x v="25"/>
    <s v="Chechem"/>
    <n v="36"/>
    <n v="11.459155902616464"/>
    <n v="8"/>
    <n v="12"/>
    <m/>
    <s v="C"/>
    <s v="S"/>
    <x v="0"/>
    <n v="1.0471975511965976"/>
    <s v="árbol"/>
    <n v="15"/>
    <s v="Vol = Exp(-9.45441486+1.86841300*LN(DIAMETRO)+0.93163520*LN(ALTURATOTAL))"/>
    <n v="7.5567938006532748E-2"/>
  </r>
  <r>
    <n v="3"/>
    <x v="2"/>
    <n v="2"/>
    <n v="18"/>
    <n v="18"/>
    <s v="Anacardiaceae"/>
    <x v="25"/>
    <s v="Chechem"/>
    <n v="51"/>
    <n v="16.233804195373324"/>
    <n v="7.5"/>
    <n v="11"/>
    <m/>
    <s v="C"/>
    <s v="S"/>
    <x v="0"/>
    <n v="0.67759841548015154"/>
    <s v="árbol"/>
    <n v="15"/>
    <s v="Vol = Exp(-9.45441486+1.86841300*LN(DIAMETRO)+0.93163520*LN(ALTURATOTAL))"/>
    <n v="0.13358660401688185"/>
  </r>
  <r>
    <n v="5"/>
    <x v="2"/>
    <n v="2"/>
    <n v="17"/>
    <n v="18"/>
    <s v="Anacardiaceae"/>
    <x v="25"/>
    <s v="Chechem"/>
    <n v="44"/>
    <n v="14.00563499208679"/>
    <n v="7"/>
    <n v="10"/>
    <m/>
    <s v="C"/>
    <s v="S"/>
    <x v="0"/>
    <n v="0.71399833036131666"/>
    <s v="árbol"/>
    <n v="15"/>
    <s v="Vol = Exp(-9.45441486+1.86841300*LN(DIAMETRO)+0.93163520*LN(ALTURATOTAL))"/>
    <n v="9.2768825280786782E-2"/>
  </r>
  <r>
    <n v="6"/>
    <x v="0"/>
    <n v="3"/>
    <s v="15C"/>
    <n v="18"/>
    <s v="Anacardiaceae"/>
    <x v="25"/>
    <s v="Chechem"/>
    <n v="19.5"/>
    <n v="6.2070427805839179"/>
    <n v="3.5"/>
    <n v="8"/>
    <m/>
    <s v="C"/>
    <s v="S"/>
    <x v="1"/>
    <n v="1.2888585245496589"/>
    <s v="arbusto"/>
    <m/>
    <m/>
    <m/>
  </r>
  <r>
    <n v="1"/>
    <x v="2"/>
    <n v="3"/>
    <n v="16"/>
    <n v="19"/>
    <s v="Anacardiaceae"/>
    <x v="25"/>
    <s v="Chechem"/>
    <n v="34"/>
    <n v="10.822536130248883"/>
    <n v="5"/>
    <n v="10"/>
    <m/>
    <s v="C"/>
    <s v="S"/>
    <x v="0"/>
    <n v="0.92399783929111567"/>
    <s v="árbol"/>
    <n v="15"/>
    <s v="Vol = Exp(-9.45441486+1.86841300*LN(DIAMETRO)+0.93163520*LN(ALTURATOTAL))"/>
    <n v="5.7304513444342842E-2"/>
  </r>
  <r>
    <n v="5"/>
    <x v="2"/>
    <n v="2"/>
    <n v="18"/>
    <n v="19"/>
    <s v="Anacardiaceae"/>
    <x v="25"/>
    <s v="Chechem"/>
    <n v="41.5"/>
    <n v="13.209860276627314"/>
    <n v="3"/>
    <n v="10"/>
    <m/>
    <s v="CB"/>
    <s v="S"/>
    <x v="0"/>
    <n v="0.75701027797344411"/>
    <s v="árbol"/>
    <n v="15"/>
    <s v="Vol = Exp(-9.45441486+1.86841300*LN(DIAMETRO)+0.93163520*LN(ALTURATOTAL))"/>
    <n v="8.3164084326966745E-2"/>
  </r>
  <r>
    <n v="4"/>
    <x v="0"/>
    <n v="3"/>
    <n v="18"/>
    <n v="19"/>
    <s v="Anacardiaceae"/>
    <x v="25"/>
    <s v="Chechem"/>
    <n v="19"/>
    <n v="6.0478878374920226"/>
    <n v="7"/>
    <n v="11"/>
    <m/>
    <s v="C"/>
    <s v="S"/>
    <x v="0"/>
    <n v="1.8188167994467224"/>
    <s v="arbusto"/>
    <m/>
    <m/>
    <m/>
  </r>
  <r>
    <n v="12"/>
    <x v="0"/>
    <n v="2"/>
    <n v="14"/>
    <n v="19"/>
    <s v="Anacardiaceae"/>
    <x v="25"/>
    <s v="Chechem"/>
    <n v="16"/>
    <n v="5.0929581789406511"/>
    <n v="5"/>
    <n v="8"/>
    <m/>
    <s v="C"/>
    <s v="S"/>
    <x v="0"/>
    <n v="1.5707963267948966"/>
    <s v="arbusto"/>
    <m/>
    <m/>
    <m/>
  </r>
  <r>
    <n v="3"/>
    <x v="2"/>
    <n v="2"/>
    <n v="20"/>
    <n v="20"/>
    <s v="Anacardiaceae"/>
    <x v="25"/>
    <s v="Chechem"/>
    <n v="44"/>
    <n v="14.00563499208679"/>
    <n v="6"/>
    <n v="12"/>
    <m/>
    <s v="C"/>
    <s v="S"/>
    <x v="0"/>
    <n v="0.8567979964335799"/>
    <s v="árbol"/>
    <n v="15"/>
    <s v="Vol = Exp(-9.45441486+1.86841300*LN(DIAMETRO)+0.93163520*LN(ALTURATOTAL))"/>
    <n v="0.1099436353883419"/>
  </r>
  <r>
    <n v="5"/>
    <x v="2"/>
    <n v="2"/>
    <s v="18A"/>
    <n v="20"/>
    <s v="Anacardiaceae"/>
    <x v="25"/>
    <s v="Chechem"/>
    <n v="34.5"/>
    <n v="10.981691073340778"/>
    <n v="6"/>
    <n v="9"/>
    <m/>
    <s v="C"/>
    <s v="S"/>
    <x v="1"/>
    <n v="0.81954590963211993"/>
    <s v="árbol"/>
    <n v="15"/>
    <s v="Vol = Exp(-9.45441486+1.86841300*LN(DIAMETRO)+0.93163520*LN(ALTURATOTAL))"/>
    <n v="5.3383323907952501E-2"/>
  </r>
  <r>
    <n v="8"/>
    <x v="1"/>
    <m/>
    <n v="1"/>
    <n v="1"/>
    <s v="Sapotaceae"/>
    <x v="18"/>
    <s v="Chicozapote"/>
    <m/>
    <m/>
    <m/>
    <n v="2.5"/>
    <e v="#REF!"/>
    <m/>
    <m/>
    <x v="0"/>
    <e v="#DIV/0!"/>
    <s v="herbácea"/>
    <m/>
    <m/>
    <m/>
  </r>
  <r>
    <n v="2"/>
    <x v="2"/>
    <n v="2"/>
    <n v="21"/>
    <n v="21"/>
    <s v="Anacardiaceae"/>
    <x v="25"/>
    <s v="Chechem"/>
    <n v="46"/>
    <n v="14.642254764454371"/>
    <n v="5"/>
    <n v="11"/>
    <m/>
    <s v="CB"/>
    <s v="S"/>
    <x v="0"/>
    <n v="0.75125041716277663"/>
    <s v="árbol"/>
    <n v="15"/>
    <s v="Vol = Exp(-9.45441486+1.86841300*LN(DIAMETRO)+0.93163520*LN(ALTURATOTAL))"/>
    <n v="0.11016279412741189"/>
  </r>
  <r>
    <n v="5"/>
    <x v="2"/>
    <n v="2"/>
    <n v="19"/>
    <n v="21"/>
    <s v="Anacardiaceae"/>
    <x v="25"/>
    <s v="Chechem"/>
    <n v="42"/>
    <n v="13.369015219719209"/>
    <n v="4.5"/>
    <n v="11"/>
    <m/>
    <s v="C"/>
    <s v="S"/>
    <x v="0"/>
    <n v="0.82279807594018384"/>
    <s v="árbol"/>
    <n v="15"/>
    <s v="Vol = Exp(-9.45441486+1.86841300*LN(DIAMETRO)+0.93163520*LN(ALTURATOTAL))"/>
    <n v="9.2942996589490443E-2"/>
  </r>
  <r>
    <n v="9"/>
    <x v="2"/>
    <n v="4"/>
    <n v="20"/>
    <n v="21"/>
    <s v="Anacardiaceae"/>
    <x v="25"/>
    <s v="Chechem"/>
    <n v="37.5"/>
    <n v="11.93662073189215"/>
    <n v="6"/>
    <n v="10"/>
    <m/>
    <s v="CB"/>
    <s v="S"/>
    <x v="0"/>
    <n v="0.83775804095727824"/>
    <s v="árbol"/>
    <n v="15"/>
    <s v="Vol = Exp(-9.45441486+1.86841300*LN(DIAMETRO)+0.93163520*LN(ALTURATOTAL))"/>
    <n v="6.8816755739047483E-2"/>
  </r>
  <r>
    <n v="2"/>
    <x v="2"/>
    <n v="2"/>
    <s v="21A"/>
    <n v="22"/>
    <s v="Anacardiaceae"/>
    <x v="25"/>
    <s v="Chechem"/>
    <n v="40"/>
    <n v="12.732395447351628"/>
    <n v="6"/>
    <n v="11"/>
    <m/>
    <s v="C"/>
    <s v="S"/>
    <x v="1"/>
    <n v="0.86393797973719311"/>
    <s v="árbol"/>
    <n v="15"/>
    <s v="Vol = Exp(-9.45441486+1.86841300*LN(DIAMETRO)+0.93163520*LN(ALTURATOTAL))"/>
    <n v="8.4845010681965774E-2"/>
  </r>
  <r>
    <n v="3"/>
    <x v="2"/>
    <n v="2"/>
    <n v="22"/>
    <n v="22"/>
    <s v="Anacardiaceae"/>
    <x v="25"/>
    <s v="Chechem"/>
    <n v="42"/>
    <n v="13.369015219719209"/>
    <n v="6"/>
    <n v="12"/>
    <m/>
    <s v="C"/>
    <s v="S"/>
    <x v="0"/>
    <n v="0.89759790102565518"/>
    <s v="árbol"/>
    <n v="15"/>
    <s v="Vol = Exp(-9.45441486+1.86841300*LN(DIAMETRO)+0.93163520*LN(ALTURATOTAL))"/>
    <n v="0.10079101622715905"/>
  </r>
  <r>
    <n v="1"/>
    <x v="0"/>
    <n v="4"/>
    <n v="22"/>
    <n v="22"/>
    <s v="Anacardiaceae"/>
    <x v="25"/>
    <s v="Chechem"/>
    <n v="19.5"/>
    <n v="6.2070427805839179"/>
    <n v="7"/>
    <n v="9"/>
    <m/>
    <s v="C"/>
    <s v="S"/>
    <x v="0"/>
    <n v="1.4499658401183662"/>
    <s v="arbusto"/>
    <m/>
    <m/>
    <m/>
  </r>
  <r>
    <n v="3"/>
    <x v="2"/>
    <n v="2"/>
    <n v="24"/>
    <n v="24"/>
    <s v="Anacardiaceae"/>
    <x v="25"/>
    <s v="Chechem"/>
    <n v="31.5"/>
    <n v="10.026761414789407"/>
    <n v="4"/>
    <n v="9"/>
    <m/>
    <s v="C"/>
    <s v="S"/>
    <x v="0"/>
    <n v="0.89759790102565518"/>
    <s v="árbol"/>
    <n v="15"/>
    <s v="Vol = Exp(-9.45441486+1.86841300*LN(DIAMETRO)+0.93163520*LN(ALTURATOTAL))"/>
    <n v="4.5038854825831719E-2"/>
  </r>
  <r>
    <n v="3"/>
    <x v="2"/>
    <n v="2"/>
    <n v="26"/>
    <n v="26"/>
    <s v="Anacardiaceae"/>
    <x v="25"/>
    <s v="Chechem"/>
    <n v="34"/>
    <n v="10.822536130248883"/>
    <n v="7"/>
    <n v="11"/>
    <m/>
    <s v="C"/>
    <s v="S"/>
    <x v="0"/>
    <n v="1.0163976232202272"/>
    <s v="árbol"/>
    <n v="15"/>
    <s v="Vol = Exp(-9.45441486+1.86841300*LN(DIAMETRO)+0.93163520*LN(ALTURATOTAL))"/>
    <n v="6.2625572914895164E-2"/>
  </r>
  <r>
    <n v="4"/>
    <x v="2"/>
    <n v="2"/>
    <n v="25"/>
    <n v="26"/>
    <s v="Anacardiaceae"/>
    <x v="25"/>
    <s v="Chechem"/>
    <n v="44"/>
    <n v="14.00563499208679"/>
    <n v="6"/>
    <n v="10"/>
    <m/>
    <s v="C"/>
    <s v="S"/>
    <x v="0"/>
    <n v="0.71399833036131666"/>
    <s v="árbol"/>
    <n v="15"/>
    <s v="Vol = Exp(-9.45441486+1.86841300*LN(DIAMETRO)+0.93163520*LN(ALTURATOTAL))"/>
    <n v="9.2768825280786782E-2"/>
  </r>
  <r>
    <n v="4"/>
    <x v="2"/>
    <n v="2"/>
    <n v="26"/>
    <n v="27"/>
    <s v="Anacardiaceae"/>
    <x v="25"/>
    <s v="Chechem"/>
    <n v="31.5"/>
    <n v="10.026761414789407"/>
    <n v="5.5"/>
    <n v="11"/>
    <m/>
    <s v="C"/>
    <s v="S"/>
    <x v="0"/>
    <n v="1.0970641012535784"/>
    <s v="árbol"/>
    <n v="15"/>
    <s v="Vol = Exp(-9.45441486+1.86841300*LN(DIAMETRO)+0.93163520*LN(ALTURATOTAL))"/>
    <n v="5.4297459598910108E-2"/>
  </r>
  <r>
    <n v="1"/>
    <x v="0"/>
    <n v="4"/>
    <n v="27"/>
    <n v="27"/>
    <s v="Anacardiaceae"/>
    <x v="25"/>
    <s v="Chechem"/>
    <n v="27"/>
    <n v="8.5943669269623477"/>
    <n v="7"/>
    <n v="10"/>
    <m/>
    <s v="C"/>
    <s v="S"/>
    <x v="0"/>
    <n v="1.1635528346628865"/>
    <s v="arbusto"/>
    <m/>
    <m/>
    <m/>
  </r>
  <r>
    <n v="1"/>
    <x v="2"/>
    <n v="4"/>
    <n v="25"/>
    <n v="28"/>
    <s v="Anacardiaceae"/>
    <x v="25"/>
    <s v="Chechem"/>
    <n v="34"/>
    <n v="10.822536130248883"/>
    <n v="9"/>
    <n v="12"/>
    <m/>
    <s v="C"/>
    <s v="S"/>
    <x v="0"/>
    <n v="1.1087974071493387"/>
    <s v="árbol"/>
    <n v="15"/>
    <s v="Vol = Exp(-9.45441486+1.86841300*LN(DIAMETRO)+0.93163520*LN(ALTURATOTAL))"/>
    <n v="6.7913617674492693E-2"/>
  </r>
  <r>
    <n v="2"/>
    <x v="2"/>
    <n v="2"/>
    <n v="27"/>
    <n v="28"/>
    <s v="Anacardiaceae"/>
    <x v="25"/>
    <s v="Chechem"/>
    <n v="38"/>
    <n v="12.095775674984045"/>
    <n v="8"/>
    <n v="10"/>
    <m/>
    <s v="C"/>
    <s v="S"/>
    <x v="0"/>
    <n v="0.82673490883941925"/>
    <s v="árbol"/>
    <n v="15"/>
    <s v="Vol = Exp(-9.45441486+1.86841300*LN(DIAMETRO)+0.93163520*LN(ALTURATOTAL))"/>
    <n v="7.0541050140047107E-2"/>
  </r>
  <r>
    <n v="5"/>
    <x v="2"/>
    <n v="3"/>
    <n v="26"/>
    <n v="28"/>
    <s v="Anacardiaceae"/>
    <x v="25"/>
    <s v="Chechem"/>
    <n v="44"/>
    <n v="14.00563499208679"/>
    <n v="6"/>
    <n v="9"/>
    <m/>
    <s v="C"/>
    <s v="S"/>
    <x v="0"/>
    <n v="0.64259849732518493"/>
    <s v="árbol"/>
    <n v="15"/>
    <s v="Vol = Exp(-9.45441486+1.86841300*LN(DIAMETRO)+0.93163520*LN(ALTURATOTAL))"/>
    <n v="8.4095502185124724E-2"/>
  </r>
  <r>
    <n v="2"/>
    <x v="2"/>
    <n v="2"/>
    <n v="28"/>
    <n v="29"/>
    <s v="Anacardiaceae"/>
    <x v="25"/>
    <s v="Chechem"/>
    <n v="46.5"/>
    <n v="14.801409707546267"/>
    <n v="5"/>
    <n v="10"/>
    <m/>
    <s v="C"/>
    <s v="S"/>
    <x v="0"/>
    <n v="0.67561132335264373"/>
    <s v="árbol"/>
    <n v="15"/>
    <s v="Vol = Exp(-9.45441486+1.86841300*LN(DIAMETRO)+0.93163520*LN(ALTURATOTAL))"/>
    <n v="0.10285951818264641"/>
  </r>
  <r>
    <n v="3"/>
    <x v="2"/>
    <n v="3"/>
    <n v="29"/>
    <n v="29"/>
    <s v="Anacardiaceae"/>
    <x v="25"/>
    <s v="Chechem"/>
    <n v="32.5"/>
    <n v="10.345071300973197"/>
    <n v="4"/>
    <n v="9"/>
    <m/>
    <s v="C"/>
    <s v="S"/>
    <x v="0"/>
    <n v="0.86997950407101965"/>
    <s v="árbol"/>
    <n v="15"/>
    <s v="Vol = Exp(-9.45441486+1.86841300*LN(DIAMETRO)+0.93163520*LN(ALTURATOTAL))"/>
    <n v="4.7747094473845987E-2"/>
  </r>
  <r>
    <n v="9"/>
    <x v="0"/>
    <n v="3"/>
    <n v="32"/>
    <n v="32"/>
    <s v="Anacardiaceae"/>
    <x v="25"/>
    <s v="Chechem"/>
    <n v="17"/>
    <n v="5.4112680651244416"/>
    <n v="7.5"/>
    <n v="10"/>
    <m/>
    <s v="C"/>
    <s v="S"/>
    <x v="0"/>
    <n v="1.8479956785822313"/>
    <s v="arbusto"/>
    <m/>
    <m/>
    <m/>
  </r>
  <r>
    <n v="1"/>
    <x v="2"/>
    <n v="4"/>
    <n v="30"/>
    <n v="33"/>
    <s v="Anacardiaceae"/>
    <x v="25"/>
    <s v="Chechem"/>
    <n v="36"/>
    <n v="11.459155902616464"/>
    <n v="4.5"/>
    <n v="9"/>
    <m/>
    <s v="C"/>
    <s v="S"/>
    <x v="0"/>
    <n v="0.78539816339744828"/>
    <s v="árbol"/>
    <n v="15"/>
    <s v="Vol = Exp(-9.45441486+1.86841300*LN(DIAMETRO)+0.93163520*LN(ALTURATOTAL))"/>
    <n v="5.7801651485390147E-2"/>
  </r>
  <r>
    <n v="4"/>
    <x v="2"/>
    <n v="3"/>
    <n v="36"/>
    <n v="37"/>
    <s v="Anacardiaceae"/>
    <x v="25"/>
    <s v="Chechem"/>
    <n v="31.5"/>
    <n v="10.026761414789407"/>
    <n v="4"/>
    <n v="9"/>
    <m/>
    <s v="C"/>
    <s v="S"/>
    <x v="0"/>
    <n v="0.89759790102565518"/>
    <s v="árbol"/>
    <n v="15"/>
    <s v="Vol = Exp(-9.45441486+1.86841300*LN(DIAMETRO)+0.93163520*LN(ALTURATOTAL))"/>
    <n v="4.5038854825831719E-2"/>
  </r>
  <r>
    <n v="7"/>
    <x v="2"/>
    <n v="3"/>
    <n v="35"/>
    <n v="38"/>
    <s v="Anacardiaceae"/>
    <x v="25"/>
    <s v="Chechem"/>
    <n v="33"/>
    <n v="10.504226244065093"/>
    <n v="6"/>
    <n v="11"/>
    <m/>
    <s v="C"/>
    <s v="S"/>
    <x v="0"/>
    <n v="1.0471975511965976"/>
    <s v="árbol"/>
    <n v="15"/>
    <s v="Vol = Exp(-9.45441486+1.86841300*LN(DIAMETRO)+0.93163520*LN(ALTURATOTAL))"/>
    <n v="5.9228097147087003E-2"/>
  </r>
  <r>
    <n v="8"/>
    <x v="2"/>
    <n v="3"/>
    <n v="33"/>
    <n v="38"/>
    <s v="Anacardiaceae"/>
    <x v="25"/>
    <s v="Chechem"/>
    <n v="33"/>
    <n v="10.504226244065093"/>
    <n v="6"/>
    <n v="12"/>
    <m/>
    <s v="C"/>
    <s v="S"/>
    <x v="0"/>
    <n v="1.1423973285781066"/>
    <s v="árbol"/>
    <n v="15"/>
    <s v="Vol = Exp(-9.45441486+1.86841300*LN(DIAMETRO)+0.93163520*LN(ALTURATOTAL))"/>
    <n v="6.4229262232877282E-2"/>
  </r>
  <r>
    <n v="4"/>
    <x v="2"/>
    <n v="3"/>
    <n v="39"/>
    <n v="40"/>
    <s v="Anacardiaceae"/>
    <x v="25"/>
    <s v="Chechem"/>
    <n v="32"/>
    <n v="10.185916357881302"/>
    <n v="4"/>
    <n v="8"/>
    <m/>
    <s v="C"/>
    <s v="S"/>
    <x v="0"/>
    <n v="0.78539816339744828"/>
    <s v="árbol"/>
    <n v="15"/>
    <s v="Vol = Exp(-9.45441486+1.86841300*LN(DIAMETRO)+0.93163520*LN(ALTURATOTAL))"/>
    <n v="4.1563366682151257E-2"/>
  </r>
  <r>
    <n v="4"/>
    <x v="2"/>
    <n v="3"/>
    <n v="40"/>
    <n v="41"/>
    <s v="Anacardiaceae"/>
    <x v="25"/>
    <s v="Chechem"/>
    <n v="65.5"/>
    <n v="20.84929754503829"/>
    <n v="6"/>
    <n v="13"/>
    <m/>
    <s v="CB"/>
    <s v="S"/>
    <x v="0"/>
    <n v="0.62352220605598951"/>
    <s v="árbol"/>
    <n v="15"/>
    <s v="Vol = Exp(-9.45441486+1.86841300*LN(DIAMETRO)+0.93163520*LN(ALTURATOTAL))"/>
    <n v="0.24911289307601189"/>
  </r>
  <r>
    <n v="7"/>
    <x v="2"/>
    <n v="4"/>
    <n v="38"/>
    <n v="41"/>
    <s v="Anacardiaceae"/>
    <x v="25"/>
    <s v="Chechem"/>
    <n v="33"/>
    <n v="10.504226244065093"/>
    <n v="8"/>
    <n v="13"/>
    <m/>
    <s v="C"/>
    <s v="S"/>
    <x v="0"/>
    <n v="1.2375971059596154"/>
    <s v="árbol"/>
    <n v="15"/>
    <s v="Vol = Exp(-9.45441486+1.86841300*LN(DIAMETRO)+0.93163520*LN(ALTURATOTAL))"/>
    <n v="6.9201982346803359E-2"/>
  </r>
  <r>
    <n v="3"/>
    <x v="2"/>
    <n v="3"/>
    <n v="40"/>
    <n v="42"/>
    <s v="Anacardiaceae"/>
    <x v="25"/>
    <s v="Chechem"/>
    <n v="56"/>
    <n v="17.82535362629228"/>
    <n v="5.5"/>
    <n v="11"/>
    <m/>
    <s v="C"/>
    <s v="S"/>
    <x v="0"/>
    <n v="0.61709855695513782"/>
    <s v="árbol"/>
    <n v="15"/>
    <s v="Vol = Exp(-9.45441486+1.86841300*LN(DIAMETRO)+0.93163520*LN(ALTURATOTAL))"/>
    <n v="0.15909401063779105"/>
  </r>
  <r>
    <n v="4"/>
    <x v="2"/>
    <n v="3"/>
    <s v="40A"/>
    <n v="42"/>
    <s v="Anacardiaceae"/>
    <x v="25"/>
    <s v="Chechem"/>
    <n v="56.5"/>
    <n v="17.984508569384175"/>
    <n v="6"/>
    <n v="12"/>
    <m/>
    <s v="C"/>
    <s v="S"/>
    <x v="1"/>
    <n v="0.66724091757659321"/>
    <s v="árbol"/>
    <n v="15"/>
    <s v="Vol = Exp(-9.45441486+1.86841300*LN(DIAMETRO)+0.93163520*LN(ALTURATOTAL))"/>
    <n v="0.1754170665386981"/>
  </r>
  <r>
    <n v="3"/>
    <x v="2"/>
    <n v="3"/>
    <n v="42"/>
    <n v="44"/>
    <s v="Anacardiaceae"/>
    <x v="25"/>
    <s v="Chechem"/>
    <n v="52"/>
    <n v="16.552114081557114"/>
    <n v="3.5"/>
    <n v="12"/>
    <m/>
    <s v="C"/>
    <s v="S"/>
    <x v="0"/>
    <n v="0.72498292005918308"/>
    <s v="árbol"/>
    <n v="15"/>
    <s v="Vol = Exp(-9.45441486+1.86841300*LN(DIAMETRO)+0.93163520*LN(ALTURATOTAL))"/>
    <n v="0.1502189433768448"/>
  </r>
  <r>
    <n v="2"/>
    <x v="2"/>
    <n v="3"/>
    <n v="43"/>
    <n v="45"/>
    <s v="Anacardiaceae"/>
    <x v="25"/>
    <s v="Chechem"/>
    <n v="85"/>
    <n v="27.056340325622209"/>
    <n v="8"/>
    <n v="14"/>
    <m/>
    <s v="C"/>
    <s v="S"/>
    <x v="0"/>
    <n v="0.51743879000302473"/>
    <s v="árbol"/>
    <n v="15"/>
    <s v="Vol = Exp(-9.45441486+1.86841300*LN(DIAMETRO)+0.93163520*LN(ALTURATOTAL))"/>
    <n v="0.43435331116999504"/>
  </r>
  <r>
    <n v="4"/>
    <x v="2"/>
    <n v="4"/>
    <n v="45"/>
    <n v="47"/>
    <s v="Anacardiaceae"/>
    <x v="25"/>
    <s v="Chechem"/>
    <n v="34.5"/>
    <n v="10.981691073340778"/>
    <n v="7.5"/>
    <n v="11"/>
    <m/>
    <s v="C"/>
    <s v="S"/>
    <x v="0"/>
    <n v="1.0016672228837022"/>
    <s v="árbol"/>
    <n v="15"/>
    <s v="Vol = Exp(-9.45441486+1.86841300*LN(DIAMETRO)+0.93163520*LN(ALTURATOTAL))"/>
    <n v="6.4357295147858054E-2"/>
  </r>
  <r>
    <n v="4"/>
    <x v="2"/>
    <n v="4"/>
    <n v="48"/>
    <n v="50"/>
    <s v="Anacardiaceae"/>
    <x v="25"/>
    <s v="Chechem"/>
    <n v="36"/>
    <n v="11.459155902616464"/>
    <n v="5"/>
    <n v="11"/>
    <m/>
    <s v="C"/>
    <s v="S"/>
    <x v="0"/>
    <n v="0.95993108859688125"/>
    <s v="árbol"/>
    <n v="15"/>
    <s v="Vol = Exp(-9.45441486+1.86841300*LN(DIAMETRO)+0.93163520*LN(ALTURATOTAL))"/>
    <n v="6.9683895125996861E-2"/>
  </r>
  <r>
    <n v="4"/>
    <x v="2"/>
    <n v="4"/>
    <n v="51"/>
    <n v="53"/>
    <s v="Anacardiaceae"/>
    <x v="25"/>
    <s v="Chechem"/>
    <n v="33.5"/>
    <n v="10.663381187156988"/>
    <n v="6"/>
    <n v="13"/>
    <m/>
    <s v="C"/>
    <s v="S"/>
    <x v="0"/>
    <n v="1.2191255073632032"/>
    <s v="árbol"/>
    <n v="15"/>
    <s v="Vol = Exp(-9.45441486+1.86841300*LN(DIAMETRO)+0.93163520*LN(ALTURATOTAL))"/>
    <n v="7.1173921083408573E-2"/>
  </r>
  <r>
    <n v="2"/>
    <x v="2"/>
    <n v="4"/>
    <n v="50"/>
    <n v="55"/>
    <s v="Anacardiaceae"/>
    <x v="25"/>
    <s v="Chechem"/>
    <n v="34.5"/>
    <n v="10.981691073340778"/>
    <n v="6"/>
    <n v="12"/>
    <m/>
    <s v="C"/>
    <s v="S"/>
    <x v="0"/>
    <n v="1.0927278795094932"/>
    <s v="árbol"/>
    <n v="15"/>
    <s v="Vol = Exp(-9.45441486+1.86841300*LN(DIAMETRO)+0.93163520*LN(ALTURATOTAL))"/>
    <n v="6.9791564911920512E-2"/>
  </r>
  <r>
    <n v="4"/>
    <x v="2"/>
    <n v="4"/>
    <n v="53"/>
    <n v="55"/>
    <s v="Anacardiaceae"/>
    <x v="25"/>
    <s v="Chechem"/>
    <n v="50.5"/>
    <n v="16.074649252281429"/>
    <n v="8"/>
    <n v="13"/>
    <m/>
    <s v="C"/>
    <s v="S"/>
    <x v="0"/>
    <n v="0.80872682171618437"/>
    <s v="árbol"/>
    <n v="15"/>
    <s v="Vol = Exp(-9.45441486+1.86841300*LN(DIAMETRO)+0.93163520*LN(ALTURATOTAL))"/>
    <n v="0.15323539884347603"/>
  </r>
  <r>
    <n v="3"/>
    <x v="2"/>
    <n v="4"/>
    <n v="48"/>
    <n v="57"/>
    <s v="Anacardiaceae"/>
    <x v="25"/>
    <s v="Chechem"/>
    <n v="46"/>
    <n v="14.642254764454371"/>
    <n v="5.5"/>
    <n v="12"/>
    <m/>
    <s v="C"/>
    <s v="S"/>
    <x v="0"/>
    <n v="0.81954590963211993"/>
    <s v="árbol"/>
    <n v="15"/>
    <s v="Vol = Exp(-9.45441486+1.86841300*LN(DIAMETRO)+0.93163520*LN(ALTURATOTAL))"/>
    <n v="0.11946483735150713"/>
  </r>
  <r>
    <n v="2"/>
    <x v="2"/>
    <n v="4"/>
    <n v="53"/>
    <n v="58"/>
    <s v="Anacardiaceae"/>
    <x v="25"/>
    <s v="Chechem"/>
    <n v="45.5"/>
    <n v="14.483099821362476"/>
    <n v="7"/>
    <n v="13"/>
    <m/>
    <s v="C"/>
    <s v="S"/>
    <x v="0"/>
    <n v="0.89759790102565518"/>
    <s v="árbol"/>
    <n v="15"/>
    <s v="Vol = Exp(-9.45441486+1.86841300*LN(DIAMETRO)+0.93163520*LN(ALTURATOTAL))"/>
    <n v="0.12611228570285718"/>
  </r>
  <r>
    <n v="3"/>
    <x v="2"/>
    <n v="4"/>
    <n v="49"/>
    <n v="58"/>
    <s v="Anacardiaceae"/>
    <x v="25"/>
    <s v="Chechem"/>
    <n v="48.5"/>
    <n v="15.438029479913848"/>
    <n v="6"/>
    <n v="10"/>
    <m/>
    <s v="C"/>
    <s v="S"/>
    <x v="0"/>
    <n v="0.6477510625958337"/>
    <s v="árbol"/>
    <n v="15"/>
    <s v="Vol = Exp(-9.45441486+1.86841300*LN(DIAMETRO)+0.93163520*LN(ALTURATOTAL))"/>
    <n v="0.11127958327863874"/>
  </r>
  <r>
    <n v="2"/>
    <x v="2"/>
    <n v="4"/>
    <n v="54"/>
    <n v="59"/>
    <s v="Anacardiaceae"/>
    <x v="25"/>
    <s v="Chechem"/>
    <n v="40"/>
    <n v="12.732395447351628"/>
    <n v="4"/>
    <n v="8"/>
    <m/>
    <s v="CB"/>
    <s v="S"/>
    <x v="0"/>
    <n v="0.62831853071795862"/>
    <s v="árbol"/>
    <n v="15"/>
    <s v="Vol = Exp(-9.45441486+1.86841300*LN(DIAMETRO)+0.93163520*LN(ALTURATOTAL))"/>
    <n v="6.3063583721306896E-2"/>
  </r>
  <r>
    <n v="2"/>
    <x v="2"/>
    <n v="4"/>
    <s v="54A"/>
    <n v="60"/>
    <s v="Anacardiaceae"/>
    <x v="25"/>
    <s v="Chechem"/>
    <n v="32.5"/>
    <n v="10.345071300973197"/>
    <n v="5"/>
    <n v="8"/>
    <m/>
    <s v="C"/>
    <s v="S"/>
    <x v="1"/>
    <n v="0.77331511472979519"/>
    <s v="árbol"/>
    <n v="15"/>
    <s v="Vol = Exp(-9.45441486+1.86841300*LN(DIAMETRO)+0.93163520*LN(ALTURATOTAL))"/>
    <n v="4.2784992320510501E-2"/>
  </r>
  <r>
    <n v="8"/>
    <x v="1"/>
    <m/>
    <n v="2"/>
    <n v="2"/>
    <s v="Lauraceae"/>
    <x v="0"/>
    <s v="Aguacatillo"/>
    <m/>
    <m/>
    <m/>
    <n v="4"/>
    <e v="#REF!"/>
    <m/>
    <m/>
    <x v="0"/>
    <e v="#DIV/0!"/>
    <s v="herbácea"/>
    <m/>
    <m/>
    <m/>
  </r>
  <r>
    <n v="8"/>
    <x v="1"/>
    <m/>
    <n v="3"/>
    <n v="3"/>
    <s v="Putranjivaceae"/>
    <x v="46"/>
    <s v="Ekulub"/>
    <m/>
    <m/>
    <m/>
    <n v="3"/>
    <e v="#REF!"/>
    <m/>
    <m/>
    <x v="0"/>
    <e v="#DIV/0!"/>
    <s v="herbácea"/>
    <m/>
    <m/>
    <m/>
  </r>
  <r>
    <n v="9"/>
    <x v="0"/>
    <n v="1"/>
    <n v="10"/>
    <n v="10"/>
    <s v="Leguminosae"/>
    <x v="47"/>
    <s v="Choluul"/>
    <n v="22"/>
    <n v="7.0028174960433951"/>
    <n v="7"/>
    <n v="9"/>
    <m/>
    <s v="C"/>
    <s v="S"/>
    <x v="0"/>
    <n v="1.2851969946503699"/>
    <s v="arbusto"/>
    <m/>
    <m/>
    <m/>
  </r>
  <r>
    <n v="8"/>
    <x v="2"/>
    <n v="3"/>
    <n v="38"/>
    <n v="43"/>
    <s v="Leguminosae"/>
    <x v="47"/>
    <s v="Choluul"/>
    <n v="32"/>
    <n v="10.185916357881302"/>
    <n v="4.5"/>
    <n v="7"/>
    <m/>
    <s v="C"/>
    <s v="SD"/>
    <x v="0"/>
    <n v="0.68722339297276724"/>
    <s v="árbol"/>
    <n v="17"/>
    <s v="Vol = Exp(-9.52375084+1.81551953*LN(DIAMETRO)+1.03039019*LN(ALTURATOTAL))"/>
    <n v="3.6703896467853298E-2"/>
  </r>
  <r>
    <n v="8"/>
    <x v="2"/>
    <n v="4"/>
    <n v="46"/>
    <n v="51"/>
    <s v="Leguminosae"/>
    <x v="47"/>
    <s v="Choluul"/>
    <n v="31.5"/>
    <n v="10.026761414789407"/>
    <n v="5"/>
    <n v="9"/>
    <m/>
    <s v="C"/>
    <s v="S"/>
    <x v="0"/>
    <n v="0.89759790102565518"/>
    <s v="árbol"/>
    <n v="17"/>
    <s v="Vol = Exp(-9.52375084+1.81551953*LN(DIAMETRO)+1.03039019*LN(ALTURATOTAL))"/>
    <n v="4.6212179647431767E-2"/>
  </r>
  <r>
    <n v="8"/>
    <x v="1"/>
    <m/>
    <n v="4"/>
    <n v="4"/>
    <s v="Anacardiaceae"/>
    <x v="25"/>
    <s v="Chechem"/>
    <m/>
    <m/>
    <m/>
    <n v="3"/>
    <e v="#REF!"/>
    <m/>
    <m/>
    <x v="0"/>
    <e v="#DIV/0!"/>
    <s v="herbácea"/>
    <m/>
    <m/>
    <m/>
  </r>
  <r>
    <n v="8"/>
    <x v="1"/>
    <m/>
    <n v="5"/>
    <n v="5"/>
    <s v="Araliaceae"/>
    <x v="28"/>
    <s v="Sak chacaj"/>
    <m/>
    <m/>
    <m/>
    <n v="3"/>
    <e v="#REF!"/>
    <m/>
    <m/>
    <x v="0"/>
    <e v="#DIV/0!"/>
    <s v="herbácea"/>
    <m/>
    <m/>
    <m/>
  </r>
  <r>
    <n v="7"/>
    <x v="0"/>
    <n v="1"/>
    <n v="2"/>
    <n v="2"/>
    <s v="Burseraceae"/>
    <x v="48"/>
    <s v="Copal "/>
    <n v="22"/>
    <n v="7.0028174960433951"/>
    <n v="4.5"/>
    <n v="8"/>
    <m/>
    <s v="C"/>
    <s v="S"/>
    <x v="0"/>
    <n v="1.1423973285781066"/>
    <s v="arbusto"/>
    <m/>
    <m/>
    <m/>
  </r>
  <r>
    <n v="8"/>
    <x v="1"/>
    <m/>
    <n v="6"/>
    <n v="6"/>
    <s v="Malvaceae"/>
    <x v="27"/>
    <s v="Ho'ol"/>
    <m/>
    <m/>
    <m/>
    <n v="5"/>
    <e v="#REF!"/>
    <m/>
    <m/>
    <x v="0"/>
    <e v="#DIV/0!"/>
    <s v="herbácea"/>
    <m/>
    <m/>
    <m/>
  </r>
  <r>
    <n v="8"/>
    <x v="1"/>
    <m/>
    <n v="7"/>
    <n v="7"/>
    <s v="Burseraceae"/>
    <x v="48"/>
    <s v="Copal "/>
    <m/>
    <m/>
    <m/>
    <n v="1.5"/>
    <e v="#REF!"/>
    <m/>
    <m/>
    <x v="0"/>
    <e v="#DIV/0!"/>
    <s v="herbácea"/>
    <m/>
    <m/>
    <m/>
  </r>
  <r>
    <n v="2"/>
    <x v="2"/>
    <n v="4"/>
    <n v="51"/>
    <n v="56"/>
    <s v="Burseraceae"/>
    <x v="48"/>
    <s v="Copal "/>
    <n v="60.5"/>
    <n v="19.257748114119337"/>
    <n v="4"/>
    <n v="14"/>
    <m/>
    <s v="C"/>
    <s v="S"/>
    <x v="0"/>
    <n v="0.72698011818606778"/>
    <s v="árbol"/>
    <n v="17"/>
    <s v="Vol = Exp(-9.52375084+1.81551953*LN(DIAMETRO)+1.03039019*LN(ALTURATOTAL))"/>
    <n v="0.23827200798926257"/>
  </r>
  <r>
    <n v="8"/>
    <x v="1"/>
    <m/>
    <n v="8"/>
    <n v="8"/>
    <s v="Rubiaceae"/>
    <x v="35"/>
    <s v="Café de Monte"/>
    <m/>
    <m/>
    <m/>
    <n v="1.6"/>
    <e v="#REF!"/>
    <m/>
    <m/>
    <x v="0"/>
    <e v="#DIV/0!"/>
    <s v="herbácea"/>
    <m/>
    <m/>
    <m/>
  </r>
  <r>
    <n v="8"/>
    <x v="1"/>
    <m/>
    <n v="9"/>
    <n v="9"/>
    <s v="Lauraceae"/>
    <x v="0"/>
    <s v="Aguacatillo"/>
    <m/>
    <m/>
    <m/>
    <n v="1"/>
    <e v="#REF!"/>
    <m/>
    <m/>
    <x v="0"/>
    <e v="#DIV/0!"/>
    <s v="herbácea"/>
    <m/>
    <m/>
    <m/>
  </r>
  <r>
    <n v="8"/>
    <x v="1"/>
    <m/>
    <n v="10"/>
    <n v="10"/>
    <s v="Lauraceae"/>
    <x v="0"/>
    <s v="Aguacatillo"/>
    <m/>
    <m/>
    <m/>
    <n v="1"/>
    <e v="#REF!"/>
    <m/>
    <m/>
    <x v="0"/>
    <e v="#DIV/0!"/>
    <s v="herbácea"/>
    <m/>
    <m/>
    <m/>
  </r>
  <r>
    <n v="8"/>
    <x v="1"/>
    <m/>
    <n v="11"/>
    <n v="11"/>
    <s v="Lauraceae"/>
    <x v="0"/>
    <s v="Aguacatillo"/>
    <m/>
    <m/>
    <m/>
    <n v="0.4"/>
    <e v="#REF!"/>
    <m/>
    <m/>
    <x v="0"/>
    <e v="#DIV/0!"/>
    <s v="herbácea"/>
    <m/>
    <m/>
    <m/>
  </r>
  <r>
    <n v="8"/>
    <x v="1"/>
    <m/>
    <n v="12"/>
    <n v="12"/>
    <s v="Putranjivaceae"/>
    <x v="46"/>
    <s v="Ekulub"/>
    <m/>
    <m/>
    <m/>
    <n v="0.9"/>
    <e v="#REF!"/>
    <m/>
    <m/>
    <x v="0"/>
    <e v="#DIV/0!"/>
    <s v="herbácea"/>
    <m/>
    <m/>
    <m/>
  </r>
  <r>
    <n v="8"/>
    <x v="1"/>
    <m/>
    <n v="13"/>
    <n v="13"/>
    <s v="Rubiaceae"/>
    <x v="35"/>
    <s v="Café de Monte"/>
    <m/>
    <m/>
    <m/>
    <n v="1"/>
    <e v="#REF!"/>
    <m/>
    <m/>
    <x v="0"/>
    <e v="#DIV/0!"/>
    <s v="herbácea"/>
    <m/>
    <m/>
    <m/>
  </r>
  <r>
    <n v="8"/>
    <x v="1"/>
    <m/>
    <n v="14"/>
    <n v="14"/>
    <s v="Malvaceae "/>
    <x v="49"/>
    <s v="Tulipancillo"/>
    <m/>
    <m/>
    <m/>
    <n v="1.2"/>
    <e v="#REF!"/>
    <m/>
    <m/>
    <x v="0"/>
    <e v="#DIV/0!"/>
    <s v="herbácea"/>
    <m/>
    <m/>
    <m/>
  </r>
  <r>
    <n v="8"/>
    <x v="1"/>
    <m/>
    <n v="15"/>
    <n v="15"/>
    <s v="Meliaceae"/>
    <x v="37"/>
    <s v="Choobem che'"/>
    <m/>
    <m/>
    <m/>
    <n v="1.7"/>
    <e v="#REF!"/>
    <m/>
    <m/>
    <x v="0"/>
    <e v="#DIV/0!"/>
    <s v="herbácea"/>
    <m/>
    <m/>
    <m/>
  </r>
  <r>
    <n v="8"/>
    <x v="1"/>
    <m/>
    <n v="16"/>
    <n v="16"/>
    <s v="Rubiaceae"/>
    <x v="14"/>
    <s v="ka’an chak che"/>
    <m/>
    <m/>
    <m/>
    <n v="2"/>
    <e v="#REF!"/>
    <m/>
    <m/>
    <x v="0"/>
    <e v="#DIV/0!"/>
    <s v="herbácea"/>
    <m/>
    <m/>
    <m/>
  </r>
  <r>
    <n v="9"/>
    <x v="1"/>
    <m/>
    <n v="1"/>
    <n v="1"/>
    <s v="Smilacaceae"/>
    <x v="50"/>
    <s v="Bejuco diente de perro"/>
    <m/>
    <m/>
    <m/>
    <n v="6"/>
    <e v="#REF!"/>
    <m/>
    <s v="S"/>
    <x v="0"/>
    <e v="#DIV/0!"/>
    <s v="herbácea"/>
    <m/>
    <m/>
    <m/>
  </r>
  <r>
    <n v="9"/>
    <x v="1"/>
    <m/>
    <n v="2"/>
    <n v="2"/>
    <s v="Moraceae"/>
    <x v="23"/>
    <s v="Amatillo"/>
    <m/>
    <m/>
    <m/>
    <n v="1.5"/>
    <e v="#REF!"/>
    <m/>
    <s v="S"/>
    <x v="0"/>
    <e v="#DIV/0!"/>
    <s v="herbácea"/>
    <m/>
    <m/>
    <m/>
  </r>
  <r>
    <n v="3"/>
    <x v="2"/>
    <n v="1"/>
    <n v="4"/>
    <n v="4"/>
    <s v="Ebenaceae"/>
    <x v="51"/>
    <s v="Diospyros"/>
    <n v="38"/>
    <n v="12.095775674984045"/>
    <n v="7"/>
    <n v="9"/>
    <m/>
    <s v="C"/>
    <s v="S"/>
    <x v="0"/>
    <n v="0.74406141795547731"/>
    <s v="árbol"/>
    <n v="9"/>
    <s v="Vol = Exp(-9.45811109+1.82568462*LN(DIAMETRO)+1.00281859*LN(ALTURATOTAL))"/>
    <n v="6.6969092074145434E-2"/>
  </r>
  <r>
    <n v="2"/>
    <x v="0"/>
    <n v="1"/>
    <n v="4"/>
    <n v="4"/>
    <s v="Ebenaceae"/>
    <x v="51"/>
    <s v="Diospyros"/>
    <n v="16"/>
    <n v="5.0929581789406511"/>
    <n v="6"/>
    <n v="11"/>
    <m/>
    <s v="C"/>
    <s v="S"/>
    <x v="0"/>
    <n v="2.1598449493429825"/>
    <s v="arbusto"/>
    <m/>
    <m/>
    <m/>
  </r>
  <r>
    <n v="9"/>
    <x v="1"/>
    <m/>
    <n v="3"/>
    <n v="3"/>
    <s v="Annonaceae"/>
    <x v="7"/>
    <s v="Ek elemuy"/>
    <m/>
    <m/>
    <m/>
    <n v="3"/>
    <e v="#REF!"/>
    <m/>
    <s v="S"/>
    <x v="0"/>
    <e v="#DIV/0!"/>
    <s v="herbácea"/>
    <m/>
    <m/>
    <m/>
  </r>
  <r>
    <n v="2"/>
    <x v="0"/>
    <n v="2"/>
    <n v="9"/>
    <n v="9"/>
    <s v="Ebenaceae"/>
    <x v="51"/>
    <s v="Diospyros"/>
    <n v="17"/>
    <n v="5.4112680651244416"/>
    <n v="8"/>
    <n v="9"/>
    <m/>
    <s v="C"/>
    <s v="S"/>
    <x v="0"/>
    <n v="1.6631961107240081"/>
    <s v="arbusto"/>
    <m/>
    <m/>
    <m/>
  </r>
  <r>
    <n v="9"/>
    <x v="1"/>
    <m/>
    <n v="4"/>
    <n v="4"/>
    <s v="Annonaceae"/>
    <x v="7"/>
    <s v="Ek elemuy"/>
    <m/>
    <m/>
    <m/>
    <n v="1.9"/>
    <e v="#REF!"/>
    <m/>
    <s v="S"/>
    <x v="0"/>
    <e v="#DIV/0!"/>
    <s v="herbácea"/>
    <m/>
    <m/>
    <m/>
  </r>
  <r>
    <n v="9"/>
    <x v="1"/>
    <m/>
    <n v="5"/>
    <n v="5"/>
    <s v="Annonaceae"/>
    <x v="7"/>
    <s v="Ek elemuy"/>
    <m/>
    <m/>
    <m/>
    <n v="1.6"/>
    <e v="#REF!"/>
    <m/>
    <s v="S"/>
    <x v="0"/>
    <e v="#DIV/0!"/>
    <s v="herbácea"/>
    <m/>
    <m/>
    <m/>
  </r>
  <r>
    <n v="9"/>
    <x v="1"/>
    <m/>
    <n v="6"/>
    <n v="6"/>
    <s v="Leguminosae"/>
    <x v="52"/>
    <s v="Xul"/>
    <m/>
    <m/>
    <m/>
    <n v="2.5"/>
    <e v="#REF!"/>
    <m/>
    <s v="S"/>
    <x v="0"/>
    <e v="#DIV/0!"/>
    <s v="herbácea"/>
    <m/>
    <m/>
    <m/>
  </r>
  <r>
    <n v="9"/>
    <x v="1"/>
    <m/>
    <n v="7"/>
    <n v="7"/>
    <s v="Leguminosae"/>
    <x v="52"/>
    <s v="Xul"/>
    <m/>
    <m/>
    <m/>
    <n v="0.9"/>
    <e v="#REF!"/>
    <m/>
    <s v="S"/>
    <x v="0"/>
    <e v="#DIV/0!"/>
    <s v="herbácea"/>
    <m/>
    <m/>
    <m/>
  </r>
  <r>
    <n v="8"/>
    <x v="0"/>
    <n v="3"/>
    <n v="18"/>
    <n v="18"/>
    <s v="Ebenaceae"/>
    <x v="51"/>
    <s v="Diospyros"/>
    <n v="19"/>
    <n v="6.0478878374920226"/>
    <n v="9"/>
    <n v="10"/>
    <m/>
    <s v="C"/>
    <s v="S"/>
    <x v="0"/>
    <n v="1.6534698176788385"/>
    <s v="arbusto"/>
    <m/>
    <m/>
    <m/>
  </r>
  <r>
    <n v="8"/>
    <x v="0"/>
    <n v="3"/>
    <n v="19"/>
    <n v="19"/>
    <s v="Ebenaceae"/>
    <x v="51"/>
    <s v="Diospyros"/>
    <n v="29"/>
    <n v="9.2309866993299305"/>
    <n v="9"/>
    <n v="9"/>
    <m/>
    <s v="C"/>
    <s v="SD"/>
    <x v="0"/>
    <n v="0.97497703042441852"/>
    <s v="arbusto"/>
    <m/>
    <m/>
    <m/>
  </r>
  <r>
    <n v="8"/>
    <x v="0"/>
    <n v="3"/>
    <n v="20"/>
    <n v="20"/>
    <s v="Ebenaceae"/>
    <x v="51"/>
    <s v="Diospyros"/>
    <n v="20"/>
    <n v="6.366197723675814"/>
    <n v="9"/>
    <n v="11"/>
    <m/>
    <s v="C"/>
    <s v="S"/>
    <x v="0"/>
    <n v="1.7278759594743862"/>
    <s v="arbusto"/>
    <m/>
    <m/>
    <m/>
  </r>
  <r>
    <n v="4"/>
    <x v="0"/>
    <n v="4"/>
    <n v="24"/>
    <n v="25"/>
    <s v="Ebenaceae"/>
    <x v="51"/>
    <s v="Diospyros"/>
    <n v="24"/>
    <n v="7.6394372684109761"/>
    <n v="6"/>
    <n v="9"/>
    <m/>
    <s v="C"/>
    <s v="S"/>
    <x v="0"/>
    <n v="1.1780972450961724"/>
    <s v="arbusto"/>
    <m/>
    <m/>
    <m/>
  </r>
  <r>
    <n v="4"/>
    <x v="0"/>
    <n v="4"/>
    <n v="25"/>
    <n v="26"/>
    <s v="Ebenaceae"/>
    <x v="51"/>
    <s v="Diospyros"/>
    <n v="16"/>
    <n v="5.0929581789406511"/>
    <n v="7"/>
    <n v="9"/>
    <m/>
    <s v="C"/>
    <s v="S"/>
    <x v="0"/>
    <n v="1.7671458676442586"/>
    <s v="arbusto"/>
    <m/>
    <m/>
    <m/>
  </r>
  <r>
    <n v="11"/>
    <x v="0"/>
    <n v="3"/>
    <n v="26"/>
    <n v="26"/>
    <s v="Ebenaceae"/>
    <x v="51"/>
    <s v="Diospyros"/>
    <n v="16"/>
    <n v="5.0929581789406511"/>
    <n v="4.5"/>
    <n v="8"/>
    <m/>
    <s v="C"/>
    <s v="S"/>
    <x v="0"/>
    <n v="1.5707963267948966"/>
    <s v="arbusto"/>
    <m/>
    <m/>
    <m/>
  </r>
  <r>
    <n v="11"/>
    <x v="0"/>
    <n v="3"/>
    <n v="31"/>
    <n v="31"/>
    <s v="Ebenaceae"/>
    <x v="51"/>
    <s v="Diospyros"/>
    <n v="23"/>
    <n v="7.3211273822271856"/>
    <n v="6"/>
    <n v="10"/>
    <m/>
    <s v="C"/>
    <s v="S"/>
    <x v="0"/>
    <n v="1.3659098493868667"/>
    <s v="arbusto"/>
    <m/>
    <m/>
    <m/>
  </r>
  <r>
    <n v="11"/>
    <x v="0"/>
    <n v="3"/>
    <n v="32"/>
    <n v="32"/>
    <s v="Ebenaceae"/>
    <x v="51"/>
    <s v="Diospyros"/>
    <n v="24"/>
    <n v="7.6394372684109761"/>
    <n v="4"/>
    <n v="10"/>
    <m/>
    <s v="C"/>
    <s v="S"/>
    <x v="0"/>
    <n v="1.3089969389957472"/>
    <s v="arbusto"/>
    <m/>
    <m/>
    <m/>
  </r>
  <r>
    <n v="9"/>
    <x v="1"/>
    <m/>
    <n v="8"/>
    <n v="8"/>
    <s v="Leguminosae"/>
    <x v="52"/>
    <s v="Xul"/>
    <m/>
    <m/>
    <m/>
    <n v="2.2000000000000002"/>
    <e v="#REF!"/>
    <m/>
    <s v="S"/>
    <x v="0"/>
    <e v="#DIV/0!"/>
    <s v="herbácea"/>
    <m/>
    <m/>
    <m/>
  </r>
  <r>
    <n v="9"/>
    <x v="1"/>
    <m/>
    <n v="9"/>
    <n v="9"/>
    <s v="Leguminosae"/>
    <x v="52"/>
    <s v="Xul"/>
    <m/>
    <m/>
    <m/>
    <n v="2"/>
    <e v="#REF!"/>
    <m/>
    <s v="S"/>
    <x v="0"/>
    <e v="#DIV/0!"/>
    <s v="herbácea"/>
    <m/>
    <m/>
    <m/>
  </r>
  <r>
    <n v="9"/>
    <x v="1"/>
    <m/>
    <n v="10"/>
    <n v="10"/>
    <s v="Leguminosae"/>
    <x v="5"/>
    <s v="Cacao che"/>
    <m/>
    <m/>
    <m/>
    <n v="0.8"/>
    <e v="#REF!"/>
    <m/>
    <s v="S"/>
    <x v="0"/>
    <e v="#DIV/0!"/>
    <s v="herbácea"/>
    <m/>
    <m/>
    <m/>
  </r>
  <r>
    <n v="9"/>
    <x v="1"/>
    <m/>
    <n v="11"/>
    <n v="11"/>
    <s v="Leguminosae"/>
    <x v="5"/>
    <s v="Cacao che"/>
    <m/>
    <m/>
    <m/>
    <n v="1.2"/>
    <e v="#REF!"/>
    <m/>
    <s v="S"/>
    <x v="0"/>
    <e v="#DIV/0!"/>
    <s v="herbácea"/>
    <m/>
    <m/>
    <m/>
  </r>
  <r>
    <n v="9"/>
    <x v="1"/>
    <m/>
    <n v="12"/>
    <n v="12"/>
    <s v="Leguminosae"/>
    <x v="52"/>
    <s v="Xul"/>
    <m/>
    <m/>
    <m/>
    <n v="0.5"/>
    <e v="#REF!"/>
    <m/>
    <s v="S"/>
    <x v="0"/>
    <e v="#DIV/0!"/>
    <s v="herbácea"/>
    <m/>
    <m/>
    <m/>
  </r>
  <r>
    <n v="8"/>
    <x v="0"/>
    <n v="2"/>
    <n v="13"/>
    <n v="13"/>
    <s v="Annonaceae"/>
    <x v="7"/>
    <s v="Ek elemuy"/>
    <n v="26"/>
    <n v="8.2760570407785572"/>
    <n v="5"/>
    <n v="9"/>
    <m/>
    <s v="C"/>
    <s v="S"/>
    <x v="0"/>
    <n v="1.0874743800887747"/>
    <s v="arbusto"/>
    <m/>
    <m/>
    <m/>
  </r>
  <r>
    <n v="9"/>
    <x v="1"/>
    <m/>
    <n v="13"/>
    <n v="13"/>
    <s v="Sapindaceae"/>
    <x v="33"/>
    <s v="Sak poom"/>
    <m/>
    <m/>
    <m/>
    <n v="4"/>
    <e v="#REF!"/>
    <m/>
    <s v="S"/>
    <x v="0"/>
    <e v="#DIV/0!"/>
    <s v="herbácea"/>
    <m/>
    <m/>
    <m/>
  </r>
  <r>
    <n v="9"/>
    <x v="1"/>
    <m/>
    <n v="14"/>
    <n v="14"/>
    <s v="Malvaceae"/>
    <x v="27"/>
    <s v="Ho'ol"/>
    <m/>
    <m/>
    <m/>
    <n v="6"/>
    <e v="#REF!"/>
    <m/>
    <s v="S"/>
    <x v="0"/>
    <e v="#DIV/0!"/>
    <s v="herbácea"/>
    <m/>
    <m/>
    <m/>
  </r>
  <r>
    <n v="9"/>
    <x v="1"/>
    <m/>
    <n v="15"/>
    <n v="15"/>
    <s v="Moraceae"/>
    <x v="21"/>
    <s v="Álamo"/>
    <m/>
    <m/>
    <m/>
    <n v="6"/>
    <e v="#REF!"/>
    <m/>
    <s v="S"/>
    <x v="0"/>
    <e v="#DIV/0!"/>
    <s v="herbácea"/>
    <m/>
    <m/>
    <m/>
  </r>
  <r>
    <n v="9"/>
    <x v="1"/>
    <m/>
    <n v="16"/>
    <n v="16"/>
    <s v="Moraceae"/>
    <x v="21"/>
    <s v="Álamo"/>
    <m/>
    <m/>
    <m/>
    <n v="3.5"/>
    <e v="#REF!"/>
    <m/>
    <s v="S"/>
    <x v="0"/>
    <e v="#DIV/0!"/>
    <s v="herbácea"/>
    <m/>
    <m/>
    <m/>
  </r>
  <r>
    <n v="9"/>
    <x v="1"/>
    <m/>
    <n v="17"/>
    <n v="17"/>
    <s v="Rubiaceae"/>
    <x v="14"/>
    <s v="ka’an chak che"/>
    <m/>
    <m/>
    <m/>
    <n v="4"/>
    <e v="#REF!"/>
    <m/>
    <s v="S"/>
    <x v="0"/>
    <e v="#DIV/0!"/>
    <s v="herbácea"/>
    <m/>
    <m/>
    <m/>
  </r>
  <r>
    <n v="9"/>
    <x v="1"/>
    <m/>
    <n v="18"/>
    <n v="18"/>
    <s v="Rubiaceae"/>
    <x v="15"/>
    <s v="Tasta'ab"/>
    <m/>
    <m/>
    <m/>
    <n v="5"/>
    <e v="#REF!"/>
    <m/>
    <s v="S"/>
    <x v="0"/>
    <e v="#DIV/0!"/>
    <s v="herbácea"/>
    <m/>
    <m/>
    <m/>
  </r>
  <r>
    <n v="9"/>
    <x v="1"/>
    <m/>
    <n v="19"/>
    <n v="19"/>
    <s v="Sapindaceae"/>
    <x v="24"/>
    <s v="Bejuco alado"/>
    <m/>
    <m/>
    <m/>
    <n v="8"/>
    <e v="#REF!"/>
    <m/>
    <s v="S"/>
    <x v="0"/>
    <e v="#DIV/0!"/>
    <s v="herbácea"/>
    <m/>
    <m/>
    <m/>
  </r>
  <r>
    <n v="9"/>
    <x v="1"/>
    <m/>
    <n v="20"/>
    <n v="20"/>
    <s v="Leguminosae"/>
    <x v="52"/>
    <s v="Xul"/>
    <m/>
    <m/>
    <m/>
    <n v="5"/>
    <e v="#REF!"/>
    <m/>
    <s v="S"/>
    <x v="0"/>
    <e v="#DIV/0!"/>
    <s v="herbácea"/>
    <m/>
    <m/>
    <m/>
  </r>
  <r>
    <n v="9"/>
    <x v="1"/>
    <m/>
    <n v="21"/>
    <n v="21"/>
    <s v="Sapindaceae"/>
    <x v="3"/>
    <s v="Bejuco tres lomos"/>
    <m/>
    <m/>
    <m/>
    <n v="0.4"/>
    <e v="#REF!"/>
    <m/>
    <s v="S"/>
    <x v="0"/>
    <e v="#DIV/0!"/>
    <s v="herbácea"/>
    <m/>
    <m/>
    <m/>
  </r>
  <r>
    <n v="4"/>
    <x v="2"/>
    <n v="2"/>
    <n v="31"/>
    <n v="32"/>
    <s v="Malvaceae"/>
    <x v="53"/>
    <s v="Guasimo blanco"/>
    <n v="32"/>
    <n v="10.185916357881302"/>
    <n v="4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4"/>
    <x v="2"/>
    <n v="3"/>
    <n v="41"/>
    <n v="43"/>
    <s v="Malvaceae"/>
    <x v="53"/>
    <s v="Guasimo blanco"/>
    <n v="32"/>
    <n v="10.185916357881302"/>
    <n v="4.5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9"/>
    <x v="1"/>
    <m/>
    <n v="22"/>
    <n v="22"/>
    <s v="Leguminosae"/>
    <x v="52"/>
    <s v="Xul"/>
    <m/>
    <m/>
    <m/>
    <n v="4"/>
    <e v="#REF!"/>
    <m/>
    <s v="S"/>
    <x v="0"/>
    <e v="#DIV/0!"/>
    <s v="herbácea"/>
    <m/>
    <m/>
    <m/>
  </r>
  <r>
    <n v="9"/>
    <x v="1"/>
    <m/>
    <n v="23"/>
    <n v="23"/>
    <s v="Leguminosae"/>
    <x v="52"/>
    <s v="Xul"/>
    <m/>
    <m/>
    <m/>
    <n v="3"/>
    <e v="#REF!"/>
    <m/>
    <s v="S"/>
    <x v="0"/>
    <e v="#DIV/0!"/>
    <s v="herbácea"/>
    <m/>
    <m/>
    <m/>
  </r>
  <r>
    <n v="9"/>
    <x v="1"/>
    <m/>
    <n v="24"/>
    <n v="24"/>
    <s v="Leguminosae"/>
    <x v="52"/>
    <s v="Xul"/>
    <m/>
    <m/>
    <m/>
    <n v="4"/>
    <e v="#REF!"/>
    <m/>
    <s v="S"/>
    <x v="0"/>
    <e v="#DIV/0!"/>
    <s v="herbácea"/>
    <m/>
    <m/>
    <m/>
  </r>
  <r>
    <n v="9"/>
    <x v="1"/>
    <m/>
    <n v="25"/>
    <n v="25"/>
    <s v="Malvaceae"/>
    <x v="27"/>
    <s v="Ho'ol"/>
    <m/>
    <m/>
    <m/>
    <n v="4"/>
    <e v="#REF!"/>
    <m/>
    <s v="S"/>
    <x v="0"/>
    <e v="#DIV/0!"/>
    <s v="herbácea"/>
    <m/>
    <m/>
    <m/>
  </r>
  <r>
    <n v="9"/>
    <x v="1"/>
    <m/>
    <n v="26"/>
    <n v="26"/>
    <s v="Malvaceae"/>
    <x v="27"/>
    <s v="Ho'ol"/>
    <m/>
    <m/>
    <m/>
    <n v="7"/>
    <e v="#REF!"/>
    <m/>
    <s v="S"/>
    <x v="0"/>
    <e v="#DIV/0!"/>
    <s v="herbácea"/>
    <m/>
    <m/>
    <m/>
  </r>
  <r>
    <n v="9"/>
    <x v="1"/>
    <m/>
    <n v="27"/>
    <n v="27"/>
    <s v="Leguminosae"/>
    <x v="5"/>
    <s v="Cacao che"/>
    <m/>
    <m/>
    <m/>
    <n v="1.3"/>
    <e v="#REF!"/>
    <m/>
    <s v="S"/>
    <x v="0"/>
    <e v="#DIV/0!"/>
    <s v="herbácea"/>
    <m/>
    <m/>
    <m/>
  </r>
  <r>
    <n v="9"/>
    <x v="1"/>
    <m/>
    <n v="28"/>
    <n v="28"/>
    <s v="Leguminosae"/>
    <x v="5"/>
    <s v="Cacao che"/>
    <m/>
    <m/>
    <m/>
    <n v="1"/>
    <e v="#REF!"/>
    <m/>
    <s v="S"/>
    <x v="0"/>
    <e v="#DIV/0!"/>
    <s v="herbácea"/>
    <m/>
    <m/>
    <m/>
  </r>
  <r>
    <n v="4"/>
    <x v="0"/>
    <n v="1"/>
    <n v="2"/>
    <n v="2"/>
    <s v="Malvaceae"/>
    <x v="27"/>
    <s v="Ho'ol"/>
    <n v="18.5"/>
    <n v="5.8887328944001274"/>
    <n v="6"/>
    <n v="7"/>
    <m/>
    <s v="C"/>
    <s v="S"/>
    <x v="0"/>
    <n v="1.1887107337907326"/>
    <s v="arbusto"/>
    <m/>
    <m/>
    <m/>
  </r>
  <r>
    <n v="9"/>
    <x v="1"/>
    <m/>
    <n v="29"/>
    <n v="29"/>
    <s v="Rubiaceae"/>
    <x v="14"/>
    <s v="ka’an chak che"/>
    <m/>
    <m/>
    <m/>
    <n v="7"/>
    <e v="#REF!"/>
    <m/>
    <s v="S"/>
    <x v="0"/>
    <e v="#DIV/0!"/>
    <s v="herbácea"/>
    <m/>
    <m/>
    <m/>
  </r>
  <r>
    <n v="9"/>
    <x v="1"/>
    <m/>
    <n v="30"/>
    <n v="30"/>
    <s v="Leguminosae"/>
    <x v="5"/>
    <s v="Cacao che"/>
    <m/>
    <m/>
    <m/>
    <n v="2"/>
    <e v="#REF!"/>
    <m/>
    <s v="S"/>
    <x v="0"/>
    <e v="#DIV/0!"/>
    <s v="herbácea"/>
    <m/>
    <m/>
    <m/>
  </r>
  <r>
    <n v="3"/>
    <x v="0"/>
    <n v="2"/>
    <n v="6"/>
    <n v="6"/>
    <s v="Malvaceae"/>
    <x v="27"/>
    <s v="Ho'ol"/>
    <n v="18.5"/>
    <n v="5.8887328944001274"/>
    <n v="3.5"/>
    <n v="8"/>
    <m/>
    <s v="C"/>
    <s v="S"/>
    <x v="0"/>
    <n v="1.3585265529036943"/>
    <s v="arbusto"/>
    <m/>
    <m/>
    <m/>
  </r>
  <r>
    <n v="9"/>
    <x v="1"/>
    <m/>
    <n v="31"/>
    <n v="31"/>
    <s v="Annonaceae"/>
    <x v="7"/>
    <s v="Ek elemuy"/>
    <m/>
    <m/>
    <m/>
    <n v="3"/>
    <e v="#REF!"/>
    <m/>
    <s v="S"/>
    <x v="0"/>
    <e v="#DIV/0!"/>
    <s v="herbácea"/>
    <m/>
    <m/>
    <m/>
  </r>
  <r>
    <n v="1"/>
    <x v="0"/>
    <n v="2"/>
    <n v="7"/>
    <n v="7"/>
    <s v="Malvaceae"/>
    <x v="27"/>
    <s v="Ho'ol"/>
    <n v="17"/>
    <n v="5.4112680651244416"/>
    <n v="2"/>
    <n v="6"/>
    <m/>
    <s v="C"/>
    <s v="S"/>
    <x v="0"/>
    <n v="1.1087974071493387"/>
    <s v="arbusto"/>
    <m/>
    <m/>
    <m/>
  </r>
  <r>
    <n v="6"/>
    <x v="0"/>
    <n v="1"/>
    <n v="7"/>
    <n v="7"/>
    <s v="Malvaceae"/>
    <x v="27"/>
    <s v="Ho'ol"/>
    <n v="16.5"/>
    <n v="5.2521131220325463"/>
    <n v="4"/>
    <n v="9"/>
    <m/>
    <s v="C"/>
    <s v="S"/>
    <x v="0"/>
    <n v="1.7135959928671598"/>
    <s v="arbusto"/>
    <m/>
    <m/>
    <m/>
  </r>
  <r>
    <n v="3"/>
    <x v="0"/>
    <n v="3"/>
    <n v="11"/>
    <n v="11"/>
    <s v="Malvaceae"/>
    <x v="27"/>
    <s v="Ho'ol"/>
    <n v="19.5"/>
    <n v="6.2070427805839179"/>
    <n v="3.5"/>
    <n v="8"/>
    <m/>
    <s v="C"/>
    <s v="S"/>
    <x v="0"/>
    <n v="1.2888585245496589"/>
    <s v="arbusto"/>
    <m/>
    <m/>
    <m/>
  </r>
  <r>
    <n v="6"/>
    <x v="0"/>
    <n v="2"/>
    <n v="12"/>
    <n v="12"/>
    <s v="Malvaceae"/>
    <x v="27"/>
    <s v="Ho'ol"/>
    <n v="26"/>
    <n v="8.2760570407785572"/>
    <n v="7"/>
    <n v="9"/>
    <m/>
    <s v="C"/>
    <s v="S"/>
    <x v="0"/>
    <n v="1.0874743800887747"/>
    <s v="arbusto"/>
    <m/>
    <m/>
    <m/>
  </r>
  <r>
    <n v="9"/>
    <x v="0"/>
    <n v="1"/>
    <n v="12"/>
    <n v="12"/>
    <s v="Malvaceae"/>
    <x v="27"/>
    <s v="Ho'ol"/>
    <n v="18"/>
    <n v="5.7295779513082321"/>
    <n v="6"/>
    <n v="9"/>
    <m/>
    <s v="C"/>
    <s v="S"/>
    <x v="0"/>
    <n v="1.5707963267948966"/>
    <s v="arbusto"/>
    <m/>
    <m/>
    <m/>
  </r>
  <r>
    <n v="10"/>
    <x v="0"/>
    <n v="1"/>
    <n v="12"/>
    <n v="12"/>
    <s v="Malvaceae"/>
    <x v="27"/>
    <s v="Ho'ol"/>
    <n v="17.5"/>
    <n v="5.5704230082163368"/>
    <n v="8"/>
    <n v="10"/>
    <m/>
    <s v="C"/>
    <s v="S"/>
    <x v="0"/>
    <n v="1.7951958020513104"/>
    <s v="arbusto"/>
    <m/>
    <m/>
    <m/>
  </r>
  <r>
    <n v="9"/>
    <x v="1"/>
    <m/>
    <n v="32"/>
    <n v="32"/>
    <s v="Rubiaceae"/>
    <x v="14"/>
    <s v="ka’an chak che"/>
    <m/>
    <m/>
    <m/>
    <n v="5"/>
    <e v="#REF!"/>
    <m/>
    <s v="S"/>
    <x v="0"/>
    <e v="#DIV/0!"/>
    <s v="herbácea"/>
    <m/>
    <m/>
    <m/>
  </r>
  <r>
    <n v="6"/>
    <x v="0"/>
    <n v="2"/>
    <n v="14"/>
    <n v="14"/>
    <s v="Malvaceae"/>
    <x v="27"/>
    <s v="Ho'ol"/>
    <n v="16.5"/>
    <n v="5.2521131220325463"/>
    <n v="5"/>
    <n v="8"/>
    <m/>
    <s v="C"/>
    <s v="S"/>
    <x v="0"/>
    <n v="1.5231964381041421"/>
    <s v="arbusto"/>
    <m/>
    <m/>
    <m/>
  </r>
  <r>
    <n v="9"/>
    <x v="1"/>
    <m/>
    <n v="33"/>
    <n v="33"/>
    <s v="Moraceae"/>
    <x v="23"/>
    <s v="Amatillo"/>
    <m/>
    <m/>
    <m/>
    <n v="1.6"/>
    <e v="#REF!"/>
    <m/>
    <s v="S"/>
    <x v="0"/>
    <e v="#DIV/0!"/>
    <s v="herbácea"/>
    <m/>
    <m/>
    <m/>
  </r>
  <r>
    <n v="10"/>
    <x v="0"/>
    <n v="2"/>
    <n v="17"/>
    <n v="17"/>
    <s v="Malvaceae"/>
    <x v="27"/>
    <s v="Ho'ol"/>
    <n v="21"/>
    <n v="6.6845076098596046"/>
    <n v="6"/>
    <n v="10"/>
    <m/>
    <s v="C"/>
    <s v="S"/>
    <x v="0"/>
    <n v="1.4959965017094252"/>
    <s v="arbusto"/>
    <m/>
    <m/>
    <m/>
  </r>
  <r>
    <n v="9"/>
    <x v="0"/>
    <n v="2"/>
    <n v="23"/>
    <n v="23"/>
    <s v="Malvaceae"/>
    <x v="27"/>
    <s v="Ho'ol"/>
    <n v="17.5"/>
    <n v="5.5704230082163368"/>
    <n v="5"/>
    <n v="9"/>
    <m/>
    <s v="C"/>
    <s v="S"/>
    <x v="0"/>
    <n v="1.6156762218461793"/>
    <s v="arbusto"/>
    <m/>
    <m/>
    <m/>
  </r>
  <r>
    <n v="9"/>
    <x v="1"/>
    <m/>
    <n v="34"/>
    <n v="34"/>
    <s v="Moraceae"/>
    <x v="23"/>
    <s v="Amatillo"/>
    <m/>
    <m/>
    <m/>
    <n v="1"/>
    <e v="#REF!"/>
    <m/>
    <s v="S"/>
    <x v="0"/>
    <e v="#DIV/0!"/>
    <s v="herbácea"/>
    <m/>
    <m/>
    <m/>
  </r>
  <r>
    <n v="9"/>
    <x v="1"/>
    <m/>
    <n v="35"/>
    <n v="35"/>
    <s v="Euphorbiaceae"/>
    <x v="54"/>
    <s v="P'e'es k'uuch"/>
    <m/>
    <m/>
    <m/>
    <n v="1"/>
    <e v="#REF!"/>
    <m/>
    <s v="S"/>
    <x v="0"/>
    <e v="#DIV/0!"/>
    <s v="herbácea"/>
    <m/>
    <m/>
    <m/>
  </r>
  <r>
    <n v="11"/>
    <x v="0"/>
    <n v="3"/>
    <n v="29"/>
    <n v="29"/>
    <s v="Malvaceae"/>
    <x v="27"/>
    <s v="Ho'ol"/>
    <n v="17.5"/>
    <n v="5.5704230082163368"/>
    <n v="6"/>
    <n v="9"/>
    <m/>
    <s v="C"/>
    <s v="S"/>
    <x v="0"/>
    <n v="1.6156762218461793"/>
    <s v="arbusto"/>
    <m/>
    <m/>
    <m/>
  </r>
  <r>
    <n v="9"/>
    <x v="0"/>
    <n v="3"/>
    <n v="36"/>
    <n v="36"/>
    <s v="Malvaceae"/>
    <x v="27"/>
    <s v="Ho'ol"/>
    <n v="16.5"/>
    <n v="5.2521131220325463"/>
    <n v="5"/>
    <n v="9"/>
    <m/>
    <s v="C"/>
    <s v="S"/>
    <x v="0"/>
    <n v="1.7135959928671598"/>
    <s v="arbusto"/>
    <m/>
    <m/>
    <m/>
  </r>
  <r>
    <n v="9"/>
    <x v="0"/>
    <n v="3"/>
    <n v="38"/>
    <n v="38"/>
    <s v="Malvaceae"/>
    <x v="27"/>
    <s v="Ho'ol"/>
    <n v="17"/>
    <n v="5.4112680651244416"/>
    <n v="5"/>
    <n v="10"/>
    <m/>
    <s v="C"/>
    <s v="S"/>
    <x v="0"/>
    <n v="1.8479956785822313"/>
    <s v="arbusto"/>
    <m/>
    <m/>
    <m/>
  </r>
  <r>
    <n v="10"/>
    <x v="0"/>
    <n v="4"/>
    <n v="40"/>
    <n v="40"/>
    <s v="Malvaceae"/>
    <x v="27"/>
    <s v="Ho'ol"/>
    <n v="17"/>
    <n v="5.4112680651244416"/>
    <n v="6"/>
    <n v="11"/>
    <m/>
    <s v="C"/>
    <s v="S"/>
    <x v="0"/>
    <n v="2.0327952464404544"/>
    <s v="arbusto"/>
    <m/>
    <m/>
    <m/>
  </r>
  <r>
    <n v="10"/>
    <x v="0"/>
    <n v="4"/>
    <n v="41"/>
    <n v="41"/>
    <s v="Malvaceae"/>
    <x v="27"/>
    <s v="Ho'ol"/>
    <n v="17.5"/>
    <n v="5.5704230082163368"/>
    <n v="4"/>
    <n v="10"/>
    <m/>
    <s v="C"/>
    <s v="S"/>
    <x v="0"/>
    <n v="1.7951958020513104"/>
    <s v="arbusto"/>
    <m/>
    <m/>
    <m/>
  </r>
  <r>
    <n v="10"/>
    <x v="0"/>
    <n v="4"/>
    <n v="42"/>
    <n v="42"/>
    <s v="Malvaceae"/>
    <x v="27"/>
    <s v="Ho'ol"/>
    <n v="18"/>
    <n v="5.7295779513082321"/>
    <n v="8"/>
    <n v="10"/>
    <m/>
    <s v="C"/>
    <s v="S"/>
    <x v="0"/>
    <n v="1.7453292519943295"/>
    <s v="arbusto"/>
    <m/>
    <m/>
    <m/>
  </r>
  <r>
    <n v="1"/>
    <x v="2"/>
    <n v="1"/>
    <n v="1"/>
    <n v="1"/>
    <s v="Leguminosae"/>
    <x v="41"/>
    <s v="Jabín"/>
    <n v="44"/>
    <n v="14.00563499208679"/>
    <n v="6"/>
    <n v="12"/>
    <m/>
    <s v="C"/>
    <s v="S"/>
    <x v="0"/>
    <n v="0.8567979964335799"/>
    <s v="árbol"/>
    <n v="5"/>
    <s v="Vol = Exp(-9.5208709+1.85580925*LN(DIAMETRO)+0.96207943*LN(ALTURATOTAL))"/>
    <n v="0.10732866559467072"/>
  </r>
  <r>
    <n v="11"/>
    <x v="2"/>
    <n v="2"/>
    <n v="8"/>
    <n v="9"/>
    <s v="Leguminosae"/>
    <x v="41"/>
    <s v="Jabín"/>
    <n v="33.5"/>
    <n v="10.663381187156988"/>
    <n v="6"/>
    <n v="11"/>
    <m/>
    <s v="C"/>
    <s v="S"/>
    <x v="0"/>
    <n v="1.0315677369996337"/>
    <s v="árbol"/>
    <n v="5"/>
    <s v="Vol = Exp(-9.5208709+1.85580925*LN(DIAMETRO)+0.96207943*LN(ALTURATOTAL))"/>
    <n v="5.9513804408211086E-2"/>
  </r>
  <r>
    <n v="1"/>
    <x v="0"/>
    <n v="3"/>
    <n v="15"/>
    <n v="15"/>
    <s v="Leguminosae"/>
    <x v="41"/>
    <s v="Jabín"/>
    <n v="28"/>
    <n v="8.91267681314614"/>
    <n v="2.5"/>
    <n v="4"/>
    <m/>
    <s v="C"/>
    <s v="S"/>
    <x v="0"/>
    <n v="0.44879895051282753"/>
    <s v="arbusto"/>
    <m/>
    <m/>
    <m/>
  </r>
  <r>
    <n v="10"/>
    <x v="1"/>
    <m/>
    <n v="1"/>
    <n v="1"/>
    <s v="Lauraceae"/>
    <x v="0"/>
    <s v="Aguacatillo"/>
    <m/>
    <m/>
    <m/>
    <n v="6"/>
    <e v="#REF!"/>
    <m/>
    <s v="S"/>
    <x v="0"/>
    <e v="#DIV/0!"/>
    <s v="herbácea"/>
    <m/>
    <m/>
    <m/>
  </r>
  <r>
    <n v="1"/>
    <x v="2"/>
    <n v="3"/>
    <n v="17"/>
    <n v="20"/>
    <s v="Leguminosae"/>
    <x v="41"/>
    <s v="Jabín"/>
    <n v="38.5"/>
    <n v="12.254930618075941"/>
    <n v="7"/>
    <n v="13"/>
    <m/>
    <s v="C"/>
    <s v="S"/>
    <x v="0"/>
    <n v="1.0607975193939563"/>
    <s v="árbol"/>
    <n v="5"/>
    <s v="Vol = Exp(-9.5208709+1.85580925*LN(DIAMETRO)+0.96207943*LN(ALTURATOTAL))"/>
    <n v="9.0476886170866258E-2"/>
  </r>
  <r>
    <n v="1"/>
    <x v="2"/>
    <n v="4"/>
    <n v="20"/>
    <n v="23"/>
    <s v="Leguminosae"/>
    <x v="41"/>
    <s v="Jabín"/>
    <n v="43.5"/>
    <n v="13.846480048994895"/>
    <n v="8"/>
    <n v="12"/>
    <m/>
    <s v="C"/>
    <s v="S"/>
    <x v="0"/>
    <n v="0.86664624926614986"/>
    <s v="árbol"/>
    <n v="5"/>
    <s v="Vol = Exp(-9.5208709+1.85580925*LN(DIAMETRO)+0.96207943*LN(ALTURATOTAL))"/>
    <n v="0.10507625117394749"/>
  </r>
  <r>
    <n v="1"/>
    <x v="0"/>
    <n v="4"/>
    <n v="23"/>
    <n v="23"/>
    <s v="Leguminosae"/>
    <x v="41"/>
    <s v="Jabín"/>
    <n v="18"/>
    <n v="5.7295779513082321"/>
    <n v="6"/>
    <n v="9"/>
    <m/>
    <s v="C"/>
    <s v="S"/>
    <x v="0"/>
    <n v="1.5707963267948966"/>
    <s v="arbusto"/>
    <m/>
    <m/>
    <m/>
  </r>
  <r>
    <n v="1"/>
    <x v="0"/>
    <n v="4"/>
    <n v="24"/>
    <n v="24"/>
    <s v="Leguminosae"/>
    <x v="41"/>
    <s v="Jabín"/>
    <n v="17"/>
    <n v="5.4112680651244416"/>
    <n v="6"/>
    <n v="9"/>
    <m/>
    <s v="C"/>
    <s v="S"/>
    <x v="0"/>
    <n v="1.6631961107240081"/>
    <s v="arbusto"/>
    <m/>
    <m/>
    <m/>
  </r>
  <r>
    <n v="1"/>
    <x v="2"/>
    <n v="4"/>
    <n v="23"/>
    <n v="26"/>
    <s v="Leguminosae"/>
    <x v="41"/>
    <s v="Jabín"/>
    <n v="53.5"/>
    <n v="17.0295789108328"/>
    <n v="5"/>
    <n v="13"/>
    <m/>
    <s v="C"/>
    <s v="S"/>
    <x v="0"/>
    <n v="0.76337765414331427"/>
    <s v="árbol"/>
    <n v="5"/>
    <s v="Vol = Exp(-9.5208709+1.85580925*LN(DIAMETRO)+0.96207943*LN(ALTURATOTAL))"/>
    <n v="0.16661722391675937"/>
  </r>
  <r>
    <n v="1"/>
    <x v="0"/>
    <n v="4"/>
    <n v="28"/>
    <n v="28"/>
    <s v="Leguminosae"/>
    <x v="41"/>
    <s v="Jabín"/>
    <n v="30"/>
    <n v="9.5492965855137211"/>
    <n v="9"/>
    <n v="14"/>
    <m/>
    <s v="C"/>
    <s v="S"/>
    <x v="0"/>
    <n v="1.4660765716752366"/>
    <s v="arbusto"/>
    <m/>
    <m/>
    <m/>
  </r>
  <r>
    <n v="1"/>
    <x v="2"/>
    <n v="4"/>
    <n v="26"/>
    <n v="29"/>
    <s v="Leguminosae"/>
    <x v="41"/>
    <s v="Jabín"/>
    <n v="50.5"/>
    <n v="16.074649252281429"/>
    <n v="9"/>
    <n v="14"/>
    <m/>
    <s v="C"/>
    <s v="S"/>
    <x v="0"/>
    <n v="0.87093657723281404"/>
    <s v="árbol"/>
    <n v="5"/>
    <s v="Vol = Exp(-9.5208709+1.85580925*LN(DIAMETRO)+0.96207943*LN(ALTURATOTAL))"/>
    <n v="0.16075817789671062"/>
  </r>
  <r>
    <n v="1"/>
    <x v="2"/>
    <n v="4"/>
    <n v="29"/>
    <n v="32"/>
    <s v="Leguminosae"/>
    <x v="41"/>
    <s v="Jabín"/>
    <n v="41"/>
    <n v="13.050705333535419"/>
    <n v="6"/>
    <n v="12"/>
    <m/>
    <s v="C"/>
    <s v="S"/>
    <x v="0"/>
    <n v="0.9194905327579882"/>
    <s v="árbol"/>
    <n v="5"/>
    <s v="Vol = Exp(-9.5208709+1.85580925*LN(DIAMETRO)+0.96207943*LN(ALTURATOTAL))"/>
    <n v="9.4145648311599883E-2"/>
  </r>
  <r>
    <n v="11"/>
    <x v="0"/>
    <n v="4"/>
    <n v="40"/>
    <n v="40"/>
    <s v="Leguminosae"/>
    <x v="41"/>
    <s v="Jabín"/>
    <n v="20"/>
    <n v="6.366197723675814"/>
    <n v="5.5"/>
    <n v="8"/>
    <m/>
    <s v="C"/>
    <s v="S"/>
    <x v="0"/>
    <n v="1.2566370614359172"/>
    <s v="arbusto"/>
    <m/>
    <m/>
    <m/>
  </r>
  <r>
    <n v="3"/>
    <x v="2"/>
    <n v="1"/>
    <n v="15"/>
    <n v="15"/>
    <s v="Anacardiaceae"/>
    <x v="55"/>
    <s v="Jobo"/>
    <n v="46"/>
    <n v="14.642254764454371"/>
    <n v="6"/>
    <n v="11"/>
    <m/>
    <s v="C"/>
    <s v="S"/>
    <x v="0"/>
    <n v="0.75125041716277663"/>
    <s v="árbol"/>
    <n v="14"/>
    <s v="Vol = Exp(-9.52375084+1.81551953*LN(DIAMETRO)+1.03039019*LN(ALTURATOTAL))"/>
    <n v="0.11300883133652777"/>
  </r>
  <r>
    <n v="1"/>
    <x v="2"/>
    <n v="3"/>
    <n v="15"/>
    <n v="18"/>
    <s v="Anacardiaceae"/>
    <x v="55"/>
    <s v="Jobo"/>
    <n v="35"/>
    <n v="11.140846016432674"/>
    <n v="5"/>
    <n v="11"/>
    <m/>
    <s v="C"/>
    <s v="S"/>
    <x v="0"/>
    <n v="0.98735769112822069"/>
    <s v="árbol"/>
    <n v="14"/>
    <s v="Vol = Exp(-9.52375084+1.81551953*LN(DIAMETRO)+1.03039019*LN(ALTURATOTAL))"/>
    <n v="6.8806387484092887E-2"/>
  </r>
  <r>
    <n v="8"/>
    <x v="2"/>
    <n v="2"/>
    <n v="24"/>
    <n v="26"/>
    <s v="Anacardiaceae"/>
    <x v="55"/>
    <s v="Jobo"/>
    <n v="37"/>
    <n v="11.777465788800255"/>
    <n v="5"/>
    <n v="10"/>
    <m/>
    <s v="C"/>
    <s v="S"/>
    <x v="0"/>
    <n v="0.84907909556480898"/>
    <s v="árbol"/>
    <n v="14"/>
    <s v="Vol = Exp(-9.52375084+1.81551953*LN(DIAMETRO)+1.03039019*LN(ALTURATOTAL))"/>
    <n v="6.8991137736137118E-2"/>
  </r>
  <r>
    <n v="3"/>
    <x v="2"/>
    <n v="2"/>
    <n v="27"/>
    <n v="27"/>
    <s v="Anacardiaceae"/>
    <x v="55"/>
    <s v="Jobo"/>
    <n v="32"/>
    <n v="10.185916357881302"/>
    <n v="7"/>
    <n v="9"/>
    <m/>
    <s v="C"/>
    <s v="S"/>
    <x v="0"/>
    <n v="0.88357293382212931"/>
    <s v="árbol"/>
    <n v="14"/>
    <s v="Vol = Exp(-9.52375084+1.81551953*LN(DIAMETRO)+1.03039019*LN(ALTURATOTAL))"/>
    <n v="4.7552522724025326E-2"/>
  </r>
  <r>
    <n v="3"/>
    <x v="2"/>
    <n v="2"/>
    <n v="28"/>
    <n v="28"/>
    <s v="Anacardiaceae"/>
    <x v="55"/>
    <s v="Jobo"/>
    <n v="34"/>
    <n v="10.822536130248883"/>
    <n v="7"/>
    <n v="9"/>
    <m/>
    <s v="C"/>
    <s v="S"/>
    <x v="0"/>
    <n v="0.83159805536200404"/>
    <s v="árbol"/>
    <n v="14"/>
    <s v="Vol = Exp(-9.52375084+1.81551953*LN(DIAMETRO)+1.03039019*LN(ALTURATOTAL))"/>
    <n v="5.3085298559275906E-2"/>
  </r>
  <r>
    <n v="10"/>
    <x v="1"/>
    <m/>
    <n v="2"/>
    <n v="2"/>
    <s v="Leguminosae"/>
    <x v="31"/>
    <s v="Kanasin"/>
    <m/>
    <m/>
    <m/>
    <n v="3"/>
    <e v="#REF!"/>
    <m/>
    <s v="S"/>
    <x v="0"/>
    <e v="#DIV/0!"/>
    <s v="herbácea"/>
    <m/>
    <m/>
    <m/>
  </r>
  <r>
    <n v="10"/>
    <x v="1"/>
    <m/>
    <n v="3"/>
    <n v="3"/>
    <s v="Ebenaceae"/>
    <x v="51"/>
    <s v="Diospyros"/>
    <m/>
    <m/>
    <m/>
    <n v="3"/>
    <e v="#REF!"/>
    <m/>
    <s v="S"/>
    <x v="0"/>
    <e v="#DIV/0!"/>
    <s v="herbácea"/>
    <m/>
    <m/>
    <m/>
  </r>
  <r>
    <n v="10"/>
    <x v="1"/>
    <m/>
    <n v="4"/>
    <n v="4"/>
    <s v="Araliaceae"/>
    <x v="28"/>
    <s v="Sak chacaj"/>
    <m/>
    <m/>
    <m/>
    <n v="1.8"/>
    <e v="#REF!"/>
    <m/>
    <s v="S"/>
    <x v="0"/>
    <e v="#DIV/0!"/>
    <s v="herbácea"/>
    <m/>
    <m/>
    <m/>
  </r>
  <r>
    <n v="10"/>
    <x v="1"/>
    <m/>
    <n v="5"/>
    <n v="5"/>
    <s v="Burseraceae"/>
    <x v="48"/>
    <s v="Copal "/>
    <m/>
    <m/>
    <m/>
    <n v="2"/>
    <e v="#REF!"/>
    <m/>
    <s v="S"/>
    <x v="0"/>
    <e v="#DIV/0!"/>
    <s v="herbácea"/>
    <m/>
    <m/>
    <m/>
  </r>
  <r>
    <n v="10"/>
    <x v="1"/>
    <m/>
    <n v="6"/>
    <n v="6"/>
    <s v="Araliaceae"/>
    <x v="28"/>
    <s v="Sak chacaj"/>
    <m/>
    <m/>
    <m/>
    <n v="3"/>
    <e v="#REF!"/>
    <m/>
    <s v="S"/>
    <x v="0"/>
    <e v="#DIV/0!"/>
    <s v="herbácea"/>
    <m/>
    <m/>
    <m/>
  </r>
  <r>
    <n v="10"/>
    <x v="1"/>
    <m/>
    <n v="7"/>
    <n v="7"/>
    <s v="Leguminosae"/>
    <x v="17"/>
    <s v="Ahmuk "/>
    <m/>
    <m/>
    <m/>
    <n v="10"/>
    <e v="#REF!"/>
    <m/>
    <s v="S"/>
    <x v="0"/>
    <e v="#DIV/0!"/>
    <s v="herbácea"/>
    <m/>
    <m/>
    <m/>
  </r>
  <r>
    <n v="10"/>
    <x v="1"/>
    <m/>
    <n v="8"/>
    <n v="8"/>
    <s v="Leguminosae"/>
    <x v="17"/>
    <s v="Ahmuk "/>
    <m/>
    <m/>
    <m/>
    <n v="10"/>
    <e v="#REF!"/>
    <m/>
    <s v="S"/>
    <x v="0"/>
    <e v="#DIV/0!"/>
    <s v="herbácea"/>
    <m/>
    <m/>
    <m/>
  </r>
  <r>
    <n v="2"/>
    <x v="0"/>
    <n v="1"/>
    <n v="5"/>
    <n v="5"/>
    <s v="Leguminosae"/>
    <x v="31"/>
    <s v="Kanasin"/>
    <n v="25"/>
    <n v="7.9577471545947667"/>
    <n v="5"/>
    <n v="11"/>
    <m/>
    <s v="C"/>
    <s v="S"/>
    <x v="0"/>
    <n v="1.3823007675795091"/>
    <s v="arbusto"/>
    <m/>
    <m/>
    <m/>
  </r>
  <r>
    <n v="2"/>
    <x v="0"/>
    <n v="1"/>
    <n v="6"/>
    <n v="6"/>
    <s v="Leguminosae"/>
    <x v="31"/>
    <s v="Kanasin"/>
    <n v="26"/>
    <n v="8.2760570407785572"/>
    <n v="5"/>
    <n v="11"/>
    <m/>
    <s v="C"/>
    <s v="S"/>
    <x v="0"/>
    <n v="1.3291353534418358"/>
    <s v="arbusto"/>
    <m/>
    <m/>
    <m/>
  </r>
  <r>
    <n v="5"/>
    <x v="0"/>
    <n v="1"/>
    <n v="6"/>
    <n v="7"/>
    <s v="Leguminosae"/>
    <x v="31"/>
    <s v="Kanasin"/>
    <n v="30"/>
    <n v="9.5492965855137211"/>
    <n v="6"/>
    <n v="12"/>
    <m/>
    <s v="C"/>
    <s v="S"/>
    <x v="0"/>
    <n v="1.2566370614359172"/>
    <s v="arbusto"/>
    <m/>
    <m/>
    <m/>
  </r>
  <r>
    <n v="10"/>
    <x v="1"/>
    <m/>
    <n v="9"/>
    <n v="9"/>
    <s v="Lauraceae"/>
    <x v="0"/>
    <s v="Aguacatillo"/>
    <m/>
    <m/>
    <m/>
    <n v="0.8"/>
    <e v="#REF!"/>
    <m/>
    <s v="S"/>
    <x v="0"/>
    <e v="#DIV/0!"/>
    <s v="herbácea"/>
    <m/>
    <m/>
    <m/>
  </r>
  <r>
    <n v="5"/>
    <x v="2"/>
    <n v="1"/>
    <n v="8"/>
    <n v="8"/>
    <s v="Leguminosae"/>
    <x v="31"/>
    <s v="Kanasin"/>
    <n v="34.5"/>
    <n v="10.981691073340778"/>
    <n v="3.5"/>
    <n v="9"/>
    <m/>
    <s v="C"/>
    <s v="S"/>
    <x v="0"/>
    <n v="0.81954590963211993"/>
    <s v="árbol"/>
    <n v="5"/>
    <s v="Vol = Exp(-9.5208709+1.85580925*LN(DIAMETRO)+0.96207943*LN(ALTURATOTAL))"/>
    <n v="5.1817799215331653E-2"/>
  </r>
  <r>
    <n v="3"/>
    <x v="0"/>
    <n v="2"/>
    <n v="8"/>
    <n v="8"/>
    <s v="Leguminosae"/>
    <x v="31"/>
    <s v="Kanasin"/>
    <n v="27"/>
    <n v="8.5943669269623477"/>
    <n v="5"/>
    <n v="13"/>
    <m/>
    <s v="C"/>
    <s v="S"/>
    <x v="0"/>
    <n v="1.5126186850617525"/>
    <s v="arbusto"/>
    <m/>
    <m/>
    <m/>
  </r>
  <r>
    <n v="10"/>
    <x v="1"/>
    <m/>
    <n v="10"/>
    <n v="10"/>
    <s v="Lauraceae"/>
    <x v="0"/>
    <s v="Aguacatillo"/>
    <m/>
    <m/>
    <m/>
    <n v="0.3"/>
    <e v="#REF!"/>
    <m/>
    <s v="S"/>
    <x v="0"/>
    <e v="#DIV/0!"/>
    <s v="herbácea"/>
    <m/>
    <m/>
    <m/>
  </r>
  <r>
    <n v="5"/>
    <x v="2"/>
    <n v="1"/>
    <n v="9"/>
    <n v="9"/>
    <s v="Leguminosae"/>
    <x v="31"/>
    <s v="Kanasin"/>
    <n v="34.5"/>
    <n v="10.981691073340778"/>
    <n v="7"/>
    <n v="10"/>
    <m/>
    <s v="C"/>
    <s v="S"/>
    <x v="0"/>
    <n v="0.91060656625791103"/>
    <s v="árbol"/>
    <n v="5"/>
    <s v="Vol = Exp(-9.5208709+1.85580925*LN(DIAMETRO)+0.96207943*LN(ALTURATOTAL))"/>
    <n v="5.7345758878432622E-2"/>
  </r>
  <r>
    <n v="6"/>
    <x v="0"/>
    <n v="2"/>
    <n v="9"/>
    <n v="9"/>
    <s v="Leguminosae"/>
    <x v="31"/>
    <s v="Kanasin"/>
    <n v="23"/>
    <n v="7.3211273822271856"/>
    <n v="7"/>
    <n v="9"/>
    <m/>
    <s v="C"/>
    <s v="S"/>
    <x v="0"/>
    <n v="1.2293188644481798"/>
    <s v="arbusto"/>
    <m/>
    <m/>
    <m/>
  </r>
  <r>
    <n v="6"/>
    <x v="0"/>
    <n v="2"/>
    <n v="11"/>
    <n v="11"/>
    <s v="Leguminosae"/>
    <x v="31"/>
    <s v="Kanasin"/>
    <n v="17"/>
    <n v="5.4112680651244416"/>
    <n v="7"/>
    <n v="9"/>
    <m/>
    <s v="C"/>
    <s v="S"/>
    <x v="0"/>
    <n v="1.6631961107240081"/>
    <s v="arbusto"/>
    <m/>
    <m/>
    <m/>
  </r>
  <r>
    <n v="10"/>
    <x v="1"/>
    <m/>
    <n v="11"/>
    <n v="11"/>
    <s v="Lauraceae"/>
    <x v="0"/>
    <s v="Aguacatillo"/>
    <m/>
    <m/>
    <m/>
    <n v="0.1"/>
    <e v="#REF!"/>
    <m/>
    <s v="S"/>
    <x v="0"/>
    <e v="#DIV/0!"/>
    <s v="herbácea"/>
    <m/>
    <m/>
    <m/>
  </r>
  <r>
    <n v="1"/>
    <x v="0"/>
    <n v="3"/>
    <n v="13"/>
    <n v="13"/>
    <s v="Leguminosae"/>
    <x v="31"/>
    <s v="Kanasin"/>
    <n v="22"/>
    <n v="7.0028174960433951"/>
    <n v="9"/>
    <n v="12"/>
    <m/>
    <s v="C"/>
    <s v="S"/>
    <x v="0"/>
    <n v="1.7135959928671598"/>
    <s v="arbusto"/>
    <m/>
    <m/>
    <m/>
  </r>
  <r>
    <n v="6"/>
    <x v="0"/>
    <n v="2"/>
    <n v="13"/>
    <n v="13"/>
    <s v="Leguminosae"/>
    <x v="31"/>
    <s v="Kanasin"/>
    <n v="21"/>
    <n v="6.6845076098596046"/>
    <n v="7"/>
    <n v="10"/>
    <m/>
    <s v="C"/>
    <s v="S"/>
    <x v="0"/>
    <n v="1.4959965017094252"/>
    <s v="arbusto"/>
    <m/>
    <m/>
    <m/>
  </r>
  <r>
    <n v="5"/>
    <x v="2"/>
    <n v="1"/>
    <n v="14"/>
    <n v="15"/>
    <s v="Leguminosae"/>
    <x v="31"/>
    <s v="Kanasin"/>
    <n v="33.5"/>
    <n v="10.663381187156988"/>
    <n v="7"/>
    <n v="11"/>
    <m/>
    <s v="C"/>
    <s v="S"/>
    <x v="0"/>
    <n v="1.0315677369996337"/>
    <s v="árbol"/>
    <n v="5"/>
    <s v="Vol = Exp(-9.5208709+1.85580925*LN(DIAMETRO)+0.96207943*LN(ALTURATOTAL))"/>
    <n v="5.9513804408211086E-2"/>
  </r>
  <r>
    <n v="10"/>
    <x v="1"/>
    <m/>
    <n v="12"/>
    <n v="12"/>
    <s v="Lauraceae"/>
    <x v="0"/>
    <s v="Aguacatillo"/>
    <m/>
    <m/>
    <m/>
    <n v="0.1"/>
    <e v="#REF!"/>
    <m/>
    <s v="S"/>
    <x v="0"/>
    <e v="#DIV/0!"/>
    <s v="herbácea"/>
    <m/>
    <m/>
    <m/>
  </r>
  <r>
    <n v="3"/>
    <x v="2"/>
    <n v="2"/>
    <n v="17"/>
    <n v="17"/>
    <s v="Leguminosae"/>
    <x v="31"/>
    <s v="Kanasin"/>
    <n v="55.5"/>
    <n v="17.666198683200381"/>
    <n v="8"/>
    <n v="14"/>
    <m/>
    <s v="C"/>
    <s v="S"/>
    <x v="0"/>
    <n v="0.79247382252715515"/>
    <s v="árbol"/>
    <n v="5"/>
    <s v="Vol = Exp(-9.5208709+1.85580925*LN(DIAMETRO)+0.96207943*LN(ALTURATOTAL))"/>
    <n v="0.19154209485507201"/>
  </r>
  <r>
    <n v="10"/>
    <x v="1"/>
    <m/>
    <n v="13"/>
    <n v="13"/>
    <s v="Lauraceae"/>
    <x v="0"/>
    <s v="Aguacatillo"/>
    <m/>
    <m/>
    <m/>
    <n v="0.2"/>
    <e v="#REF!"/>
    <m/>
    <s v="S"/>
    <x v="0"/>
    <e v="#DIV/0!"/>
    <s v="herbácea"/>
    <m/>
    <m/>
    <m/>
  </r>
  <r>
    <n v="4"/>
    <x v="0"/>
    <n v="3"/>
    <n v="17"/>
    <n v="18"/>
    <s v="Leguminosae"/>
    <x v="31"/>
    <s v="Kanasin"/>
    <n v="19"/>
    <n v="6.0478878374920226"/>
    <n v="10"/>
    <n v="12"/>
    <m/>
    <s v="C"/>
    <s v="S"/>
    <x v="0"/>
    <n v="1.9841637812146062"/>
    <s v="arbusto"/>
    <m/>
    <m/>
    <m/>
  </r>
  <r>
    <n v="11"/>
    <x v="0"/>
    <n v="2"/>
    <n v="19"/>
    <n v="19"/>
    <s v="Leguminosae"/>
    <x v="31"/>
    <s v="Kanasin"/>
    <n v="21"/>
    <n v="6.6845076098596046"/>
    <n v="7"/>
    <n v="9"/>
    <m/>
    <s v="C"/>
    <s v="S"/>
    <x v="0"/>
    <n v="1.3463968515384828"/>
    <s v="arbusto"/>
    <m/>
    <m/>
    <m/>
  </r>
  <r>
    <n v="4"/>
    <x v="0"/>
    <n v="3"/>
    <n v="19"/>
    <n v="20"/>
    <s v="Leguminosae"/>
    <x v="31"/>
    <s v="Kanasin"/>
    <n v="19.5"/>
    <n v="6.2070427805839179"/>
    <n v="6"/>
    <n v="10"/>
    <m/>
    <s v="C"/>
    <s v="S"/>
    <x v="0"/>
    <n v="1.6110731556870734"/>
    <s v="arbusto"/>
    <m/>
    <m/>
    <m/>
  </r>
  <r>
    <n v="4"/>
    <x v="0"/>
    <n v="3"/>
    <n v="20"/>
    <n v="21"/>
    <s v="Leguminosae"/>
    <x v="31"/>
    <s v="Kanasin"/>
    <n v="19"/>
    <n v="6.0478878374920226"/>
    <n v="7"/>
    <n v="9"/>
    <m/>
    <s v="C"/>
    <s v="S"/>
    <x v="0"/>
    <n v="1.4881228359109546"/>
    <s v="arbusto"/>
    <m/>
    <m/>
    <m/>
  </r>
  <r>
    <n v="5"/>
    <x v="0"/>
    <n v="3"/>
    <n v="20"/>
    <n v="21"/>
    <s v="Leguminosae"/>
    <x v="31"/>
    <s v="Kanasin"/>
    <n v="16.5"/>
    <n v="5.2521131220325463"/>
    <n v="6"/>
    <n v="8"/>
    <m/>
    <s v="C"/>
    <s v="S"/>
    <x v="0"/>
    <n v="1.5231964381041421"/>
    <s v="arbusto"/>
    <m/>
    <m/>
    <m/>
  </r>
  <r>
    <n v="10"/>
    <x v="1"/>
    <m/>
    <n v="14"/>
    <n v="14"/>
    <s v="Lauraceae"/>
    <x v="0"/>
    <s v="Aguacatillo"/>
    <m/>
    <m/>
    <m/>
    <n v="0.12"/>
    <e v="#REF!"/>
    <m/>
    <s v="S"/>
    <x v="0"/>
    <e v="#DIV/0!"/>
    <s v="herbácea"/>
    <m/>
    <m/>
    <m/>
  </r>
  <r>
    <n v="10"/>
    <x v="1"/>
    <m/>
    <n v="15"/>
    <n v="15"/>
    <s v="Annonaceae"/>
    <x v="7"/>
    <s v="Ek elemuy"/>
    <m/>
    <m/>
    <m/>
    <n v="0.6"/>
    <e v="#REF!"/>
    <m/>
    <s v="S"/>
    <x v="0"/>
    <e v="#DIV/0!"/>
    <s v="herbácea"/>
    <m/>
    <m/>
    <m/>
  </r>
  <r>
    <n v="8"/>
    <x v="2"/>
    <n v="2"/>
    <n v="22"/>
    <n v="24"/>
    <s v="Leguminosae"/>
    <x v="31"/>
    <s v="Kanasin"/>
    <n v="39"/>
    <n v="12.414085561167836"/>
    <n v="10"/>
    <n v="14"/>
    <m/>
    <s v="C"/>
    <s v="S"/>
    <x v="0"/>
    <n v="1.1277512089809514"/>
    <s v="árbol"/>
    <n v="5"/>
    <s v="Vol = Exp(-9.5208709+1.85580925*LN(DIAMETRO)+0.96207943*LN(ALTURATOTAL))"/>
    <n v="9.951798984833457E-2"/>
  </r>
  <r>
    <n v="10"/>
    <x v="0"/>
    <n v="2"/>
    <n v="24"/>
    <n v="24"/>
    <s v="Leguminosae"/>
    <x v="31"/>
    <s v="Kanasin"/>
    <n v="17"/>
    <n v="5.4112680651244416"/>
    <n v="6"/>
    <n v="8"/>
    <m/>
    <s v="C"/>
    <s v="S"/>
    <x v="0"/>
    <n v="1.478396542865785"/>
    <s v="arbusto"/>
    <m/>
    <m/>
    <m/>
  </r>
  <r>
    <n v="10"/>
    <x v="0"/>
    <n v="3"/>
    <n v="28"/>
    <n v="28"/>
    <s v="Leguminosae"/>
    <x v="31"/>
    <s v="Kanasin"/>
    <n v="20.5"/>
    <n v="6.5253526667677093"/>
    <n v="7"/>
    <n v="9"/>
    <m/>
    <s v="C"/>
    <s v="S"/>
    <x v="0"/>
    <n v="1.3792357991369824"/>
    <s v="arbusto"/>
    <m/>
    <m/>
    <m/>
  </r>
  <r>
    <n v="10"/>
    <x v="0"/>
    <n v="3"/>
    <n v="30"/>
    <n v="30"/>
    <s v="Leguminosae"/>
    <x v="31"/>
    <s v="Kanasin"/>
    <n v="27.5"/>
    <n v="8.753521870054243"/>
    <n v="5"/>
    <n v="10"/>
    <m/>
    <s v="C"/>
    <s v="S"/>
    <x v="0"/>
    <n v="1.1423973285781066"/>
    <s v="arbusto"/>
    <m/>
    <m/>
    <m/>
  </r>
  <r>
    <n v="10"/>
    <x v="0"/>
    <n v="3"/>
    <n v="31"/>
    <n v="31"/>
    <s v="Leguminosae"/>
    <x v="31"/>
    <s v="Kanasin"/>
    <n v="20"/>
    <n v="6.366197723675814"/>
    <n v="6"/>
    <n v="10"/>
    <m/>
    <s v="C"/>
    <s v="S"/>
    <x v="0"/>
    <n v="1.5707963267948966"/>
    <s v="arbusto"/>
    <m/>
    <m/>
    <m/>
  </r>
  <r>
    <n v="10"/>
    <x v="0"/>
    <n v="3"/>
    <n v="34"/>
    <n v="34"/>
    <s v="Leguminosae"/>
    <x v="31"/>
    <s v="Kanasin"/>
    <n v="22.5"/>
    <n v="7.1619724391352904"/>
    <n v="7"/>
    <n v="11"/>
    <m/>
    <s v="C"/>
    <s v="S"/>
    <x v="0"/>
    <n v="1.5358897417550099"/>
    <s v="arbusto"/>
    <m/>
    <m/>
    <m/>
  </r>
  <r>
    <n v="3"/>
    <x v="2"/>
    <n v="3"/>
    <n v="33"/>
    <n v="35"/>
    <s v="Leguminosae"/>
    <x v="31"/>
    <s v="Kanasin"/>
    <n v="40.5"/>
    <n v="12.891550390443523"/>
    <n v="8"/>
    <n v="13"/>
    <m/>
    <s v="C"/>
    <s v="S"/>
    <x v="0"/>
    <n v="1.0084124567078347"/>
    <s v="árbol"/>
    <n v="5"/>
    <s v="Vol = Exp(-9.5208709+1.85580925*LN(DIAMETRO)+0.96207943*LN(ALTURATOTAL))"/>
    <n v="9.9392784896936592E-2"/>
  </r>
  <r>
    <n v="10"/>
    <x v="0"/>
    <n v="3"/>
    <n v="35"/>
    <n v="35"/>
    <s v="Leguminosae"/>
    <x v="31"/>
    <s v="Kanasin"/>
    <n v="24.5"/>
    <n v="7.7985922115028714"/>
    <n v="7"/>
    <n v="10"/>
    <m/>
    <s v="C"/>
    <s v="S"/>
    <x v="0"/>
    <n v="1.282282715750936"/>
    <s v="arbusto"/>
    <m/>
    <m/>
    <m/>
  </r>
  <r>
    <n v="4"/>
    <x v="2"/>
    <n v="4"/>
    <n v="49"/>
    <n v="51"/>
    <s v="Leguminosae"/>
    <x v="31"/>
    <s v="Kanasin"/>
    <n v="44.5"/>
    <n v="14.164789935178685"/>
    <n v="7"/>
    <n v="14"/>
    <m/>
    <s v="C"/>
    <s v="S"/>
    <x v="0"/>
    <n v="0.98836622809566521"/>
    <s v="árbol"/>
    <n v="5"/>
    <s v="Vol = Exp(-9.5208709+1.85580925*LN(DIAMETRO)+0.96207943*LN(ALTURATOTAL))"/>
    <n v="0.12712499118476892"/>
  </r>
  <r>
    <n v="8"/>
    <x v="2"/>
    <n v="4"/>
    <n v="59"/>
    <n v="66"/>
    <s v="Leguminosae"/>
    <x v="31"/>
    <s v="Kanasin"/>
    <n v="32"/>
    <n v="10.185916357881302"/>
    <n v="9"/>
    <n v="13"/>
    <m/>
    <s v="C"/>
    <s v="S"/>
    <x v="0"/>
    <n v="1.2762720155208533"/>
    <s v="árbol"/>
    <n v="5"/>
    <s v="Vol = Exp(-9.5208709+1.85580925*LN(DIAMETRO)+0.96207943*LN(ALTURATOTAL))"/>
    <n v="6.4194262038205441E-2"/>
  </r>
  <r>
    <n v="9"/>
    <x v="2"/>
    <n v="1"/>
    <n v="1"/>
    <n v="1"/>
    <s v="Sapotaceae"/>
    <x v="38"/>
    <s v="Kaniste"/>
    <n v="33"/>
    <n v="10.504226244065093"/>
    <n v="7"/>
    <n v="11"/>
    <m/>
    <s v="C"/>
    <s v="S"/>
    <x v="0"/>
    <n v="1.0471975511965976"/>
    <s v="árbol"/>
    <n v="11"/>
    <s v="Vol = Exp(-9.88332368+1.9131735*LN(DIAMETRO)+1.07391062*LN(ALTURATOTAL))"/>
    <n v="6.0274885532040856E-2"/>
  </r>
  <r>
    <n v="10"/>
    <x v="1"/>
    <m/>
    <n v="16"/>
    <n v="16"/>
    <s v="Vitaceae "/>
    <x v="32"/>
    <s v="Bejuco Cissus"/>
    <m/>
    <m/>
    <m/>
    <n v="1.8"/>
    <e v="#REF!"/>
    <m/>
    <s v="S"/>
    <x v="0"/>
    <e v="#DIV/0!"/>
    <s v="herbácea"/>
    <m/>
    <m/>
    <m/>
  </r>
  <r>
    <n v="3"/>
    <x v="2"/>
    <n v="1"/>
    <n v="3"/>
    <n v="3"/>
    <s v="Sapotaceae"/>
    <x v="38"/>
    <s v="Kaniste"/>
    <n v="36"/>
    <n v="11.459155902616464"/>
    <n v="3.5"/>
    <n v="8"/>
    <m/>
    <s v="C"/>
    <s v="S"/>
    <x v="0"/>
    <n v="0.69813170079773179"/>
    <s v="árbol"/>
    <n v="11"/>
    <s v="Vol = Exp(-9.88332368+1.9131735*LN(DIAMETRO)+1.07391062*LN(ALTURATOTAL))"/>
    <n v="5.0571720759831372E-2"/>
  </r>
  <r>
    <n v="7"/>
    <x v="2"/>
    <n v="4"/>
    <n v="45"/>
    <n v="48"/>
    <s v="Sapotaceae"/>
    <x v="38"/>
    <s v="Kaniste"/>
    <n v="40"/>
    <n v="12.732395447351628"/>
    <n v="3"/>
    <n v="9"/>
    <m/>
    <s v="C"/>
    <s v="S"/>
    <x v="0"/>
    <n v="0.70685834705770345"/>
    <s v="árbol"/>
    <n v="11"/>
    <s v="Vol = Exp(-9.88332368+1.9131735*LN(DIAMETRO)+1.07391062*LN(ALTURATOTAL))"/>
    <n v="7.0207415625856279E-2"/>
  </r>
  <r>
    <n v="2"/>
    <x v="2"/>
    <n v="3"/>
    <n v="47"/>
    <n v="51"/>
    <s v="Sapotaceae"/>
    <x v="38"/>
    <s v="Kaniste"/>
    <n v="72"/>
    <n v="22.918311805232928"/>
    <n v="5"/>
    <n v="12"/>
    <m/>
    <s v="C"/>
    <s v="S"/>
    <x v="0"/>
    <n v="0.52359877559829882"/>
    <s v="árbol"/>
    <n v="11"/>
    <s v="Vol = Exp(-9.88332368+1.9131735*LN(DIAMETRO)+1.07391062*LN(ALTURATOTAL))"/>
    <n v="0.2943991927644426"/>
  </r>
  <r>
    <n v="5"/>
    <x v="0"/>
    <n v="1"/>
    <n v="4"/>
    <n v="5"/>
    <s v="Leguminosae"/>
    <x v="30"/>
    <s v="Katalox"/>
    <n v="18"/>
    <n v="5.7295779513082321"/>
    <n v="6"/>
    <n v="9"/>
    <m/>
    <s v="C"/>
    <s v="S"/>
    <x v="0"/>
    <n v="1.5707963267948966"/>
    <s v="arbusto"/>
    <m/>
    <m/>
    <m/>
  </r>
  <r>
    <n v="10"/>
    <x v="1"/>
    <m/>
    <n v="17"/>
    <n v="17"/>
    <s v="Smilacaceae"/>
    <x v="50"/>
    <s v="Bejuco diente de perro"/>
    <m/>
    <m/>
    <m/>
    <n v="0.6"/>
    <e v="#REF!"/>
    <m/>
    <s v="S"/>
    <x v="0"/>
    <e v="#DIV/0!"/>
    <s v="herbácea"/>
    <m/>
    <m/>
    <m/>
  </r>
  <r>
    <n v="4"/>
    <x v="0"/>
    <n v="2"/>
    <n v="8"/>
    <n v="9"/>
    <s v="Leguminosae"/>
    <x v="30"/>
    <s v="Katalox"/>
    <n v="18.5"/>
    <n v="5.8887328944001274"/>
    <n v="5"/>
    <n v="8"/>
    <m/>
    <s v="C"/>
    <s v="S"/>
    <x v="0"/>
    <n v="1.3585265529036943"/>
    <s v="arbusto"/>
    <m/>
    <m/>
    <m/>
  </r>
  <r>
    <n v="5"/>
    <x v="0"/>
    <n v="1"/>
    <n v="9"/>
    <n v="10"/>
    <s v="Leguminosae"/>
    <x v="30"/>
    <s v="Katalox"/>
    <n v="16"/>
    <n v="5.0929581789406511"/>
    <n v="6"/>
    <n v="8"/>
    <m/>
    <s v="C"/>
    <s v="S"/>
    <x v="0"/>
    <n v="1.5707963267948966"/>
    <s v="arbusto"/>
    <m/>
    <m/>
    <m/>
  </r>
  <r>
    <n v="4"/>
    <x v="0"/>
    <n v="2"/>
    <n v="11"/>
    <n v="12"/>
    <s v="Leguminosae"/>
    <x v="30"/>
    <s v="Katalox"/>
    <n v="27.5"/>
    <n v="8.753521870054243"/>
    <n v="8"/>
    <n v="12"/>
    <m/>
    <s v="C"/>
    <s v="S"/>
    <x v="0"/>
    <n v="1.3708767942937281"/>
    <s v="arbusto"/>
    <m/>
    <m/>
    <m/>
  </r>
  <r>
    <n v="4"/>
    <x v="0"/>
    <n v="2"/>
    <n v="12"/>
    <n v="13"/>
    <s v="Leguminosae"/>
    <x v="30"/>
    <s v="Katalox"/>
    <n v="18.5"/>
    <n v="5.8887328944001274"/>
    <n v="8"/>
    <n v="10"/>
    <m/>
    <s v="C"/>
    <s v="S"/>
    <x v="0"/>
    <n v="1.698158191129618"/>
    <s v="arbusto"/>
    <m/>
    <m/>
    <m/>
  </r>
  <r>
    <n v="4"/>
    <x v="0"/>
    <n v="2"/>
    <n v="13"/>
    <n v="14"/>
    <s v="Leguminosae"/>
    <x v="30"/>
    <s v="Katalox"/>
    <n v="17"/>
    <n v="5.4112680651244416"/>
    <n v="1.3"/>
    <n v="6"/>
    <m/>
    <s v="C"/>
    <s v="S"/>
    <x v="0"/>
    <n v="1.1087974071493387"/>
    <s v="arbusto"/>
    <m/>
    <m/>
    <m/>
  </r>
  <r>
    <n v="5"/>
    <x v="0"/>
    <n v="2"/>
    <n v="14"/>
    <n v="15"/>
    <s v="Leguminosae"/>
    <x v="30"/>
    <s v="Katalox"/>
    <n v="27"/>
    <n v="8.5943669269623477"/>
    <n v="9"/>
    <n v="12"/>
    <m/>
    <s v="C"/>
    <s v="S"/>
    <x v="0"/>
    <n v="1.3962634015954638"/>
    <s v="arbusto"/>
    <m/>
    <m/>
    <m/>
  </r>
  <r>
    <n v="5"/>
    <x v="0"/>
    <n v="2"/>
    <n v="15"/>
    <n v="16"/>
    <s v="Leguminosae"/>
    <x v="30"/>
    <s v="Katalox"/>
    <n v="16.5"/>
    <n v="5.2521131220325463"/>
    <n v="6"/>
    <n v="8"/>
    <m/>
    <s v="C"/>
    <s v="S"/>
    <x v="0"/>
    <n v="1.5231964381041421"/>
    <s v="arbusto"/>
    <m/>
    <m/>
    <m/>
  </r>
  <r>
    <n v="4"/>
    <x v="0"/>
    <n v="2"/>
    <n v="16"/>
    <n v="17"/>
    <s v="Leguminosae"/>
    <x v="30"/>
    <s v="Katalox"/>
    <n v="17"/>
    <n v="5.4112680651244416"/>
    <n v="3"/>
    <n v="9"/>
    <m/>
    <s v="C"/>
    <s v="S"/>
    <x v="0"/>
    <n v="1.6631961107240081"/>
    <s v="arbusto"/>
    <m/>
    <m/>
    <m/>
  </r>
  <r>
    <n v="11"/>
    <x v="2"/>
    <n v="4"/>
    <n v="18"/>
    <n v="19"/>
    <s v="Leguminosae"/>
    <x v="30"/>
    <s v="Katalox"/>
    <n v="36.5"/>
    <n v="11.618310845708359"/>
    <n v="9"/>
    <n v="12"/>
    <m/>
    <s v="C"/>
    <s v="S"/>
    <x v="0"/>
    <n v="1.0328523792623978"/>
    <s v="árbol"/>
    <n v="4"/>
    <s v="Vol = Exp(-9.67348922+1.86887607*LN(DIAMETRO)+1.01858126*LN(ALTURATOTAL))."/>
    <n v="7.7394669998741117E-2"/>
  </r>
  <r>
    <n v="5"/>
    <x v="2"/>
    <n v="2"/>
    <n v="23"/>
    <n v="25"/>
    <s v="Leguminosae"/>
    <x v="30"/>
    <s v="Katalox"/>
    <n v="32.5"/>
    <n v="10.345071300973197"/>
    <n v="5.5"/>
    <n v="10"/>
    <m/>
    <s v="C"/>
    <s v="S"/>
    <x v="0"/>
    <n v="0.96664389341224399"/>
    <s v="árbol"/>
    <n v="4"/>
    <s v="Vol = Exp(-9.67348922+1.86887607*LN(DIAMETRO)+1.01858126*LN(ALTURATOTAL))."/>
    <n v="5.1742737848470985E-2"/>
  </r>
  <r>
    <n v="5"/>
    <x v="2"/>
    <n v="3"/>
    <n v="25"/>
    <n v="27"/>
    <s v="Leguminosae"/>
    <x v="30"/>
    <s v="Katalox"/>
    <n v="36"/>
    <n v="11.459155902616464"/>
    <n v="7"/>
    <n v="12"/>
    <m/>
    <s v="C"/>
    <s v="S"/>
    <x v="0"/>
    <n v="1.0471975511965976"/>
    <s v="árbol"/>
    <n v="4"/>
    <s v="Vol = Exp(-9.67348922+1.86887607*LN(DIAMETRO)+1.01858126*LN(ALTURATOTAL))."/>
    <n v="7.5425084510373483E-2"/>
  </r>
  <r>
    <n v="5"/>
    <x v="0"/>
    <n v="4"/>
    <n v="26"/>
    <n v="28"/>
    <s v="Leguminosae"/>
    <x v="30"/>
    <s v="Katalox"/>
    <n v="23.5"/>
    <n v="7.4802823253190809"/>
    <n v="10"/>
    <n v="12"/>
    <m/>
    <s v="C"/>
    <s v="S"/>
    <x v="0"/>
    <n v="1.6042175252373412"/>
    <s v="arbusto"/>
    <m/>
    <m/>
    <m/>
  </r>
  <r>
    <n v="4"/>
    <x v="2"/>
    <n v="2"/>
    <n v="30"/>
    <n v="31"/>
    <s v="Leguminosae"/>
    <x v="30"/>
    <s v="Katalox"/>
    <n v="40"/>
    <n v="12.732395447351628"/>
    <n v="5"/>
    <n v="13"/>
    <m/>
    <s v="C"/>
    <s v="S"/>
    <x v="0"/>
    <n v="1.0210176124166828"/>
    <s v="árbol"/>
    <n v="4"/>
    <s v="Vol = Exp(-9.67348922+1.86887607*LN(DIAMETRO)+1.01858126*LN(ALTURATOTAL))."/>
    <n v="9.9641192058036815E-2"/>
  </r>
  <r>
    <n v="5"/>
    <x v="0"/>
    <n v="4"/>
    <n v="32"/>
    <n v="34"/>
    <s v="Leguminosae"/>
    <x v="30"/>
    <s v="Katalox"/>
    <n v="23.5"/>
    <n v="7.4802823253190809"/>
    <n v="5"/>
    <n v="12"/>
    <m/>
    <s v="C"/>
    <s v="S"/>
    <x v="0"/>
    <n v="1.6042175252373412"/>
    <s v="arbusto"/>
    <m/>
    <m/>
    <m/>
  </r>
  <r>
    <n v="4"/>
    <x v="2"/>
    <n v="3"/>
    <n v="34"/>
    <n v="35"/>
    <s v="Leguminosae"/>
    <x v="30"/>
    <s v="Katalox"/>
    <n v="32"/>
    <n v="10.185916357881302"/>
    <n v="6"/>
    <n v="7"/>
    <m/>
    <s v="C"/>
    <s v="S"/>
    <x v="0"/>
    <n v="0.68722339297276724"/>
    <s v="árbol"/>
    <n v="4"/>
    <s v="Vol = Exp(-9.67348922+1.86887607*LN(DIAMETRO)+1.01858126*LN(ALTURATOTAL))."/>
    <n v="3.4953068925715002E-2"/>
  </r>
  <r>
    <n v="4"/>
    <x v="2"/>
    <n v="3"/>
    <n v="35"/>
    <n v="36"/>
    <s v="Leguminosae"/>
    <x v="30"/>
    <s v="Katalox"/>
    <n v="40"/>
    <n v="12.732395447351628"/>
    <n v="8.5"/>
    <n v="12"/>
    <m/>
    <s v="C"/>
    <s v="S"/>
    <x v="0"/>
    <n v="0.94247779607693793"/>
    <s v="árbol"/>
    <n v="4"/>
    <s v="Vol = Exp(-9.67348922+1.86887607*LN(DIAMETRO)+1.01858126*LN(ALTURATOTAL))."/>
    <n v="9.1839790546696887E-2"/>
  </r>
  <r>
    <n v="11"/>
    <x v="0"/>
    <n v="4"/>
    <n v="36"/>
    <n v="36"/>
    <s v="Leguminosae"/>
    <x v="30"/>
    <s v="Katalox"/>
    <n v="16.5"/>
    <n v="5.2521131220325463"/>
    <n v="7"/>
    <n v="9"/>
    <m/>
    <s v="C"/>
    <s v="S"/>
    <x v="0"/>
    <n v="1.7135959928671598"/>
    <s v="arbusto"/>
    <m/>
    <m/>
    <m/>
  </r>
  <r>
    <n v="8"/>
    <x v="2"/>
    <n v="3"/>
    <n v="39"/>
    <n v="44"/>
    <s v="Leguminosae"/>
    <x v="30"/>
    <s v="Katalox"/>
    <n v="37.5"/>
    <n v="11.93662073189215"/>
    <n v="7"/>
    <n v="14"/>
    <m/>
    <s v="C"/>
    <s v="SC"/>
    <x v="0"/>
    <n v="1.1728612573401895"/>
    <s v="árbol"/>
    <n v="4"/>
    <s v="Vol = Exp(-9.67348922+1.86887607*LN(DIAMETRO)+1.01858126*LN(ALTURATOTAL))."/>
    <n v="9.5244393166173807E-2"/>
  </r>
  <r>
    <n v="8"/>
    <x v="2"/>
    <n v="3"/>
    <n v="41"/>
    <n v="46"/>
    <s v="Leguminosae"/>
    <x v="30"/>
    <s v="Katalox"/>
    <n v="41"/>
    <n v="13.050705333535419"/>
    <n v="8"/>
    <n v="13"/>
    <m/>
    <s v="C"/>
    <s v="S"/>
    <x v="0"/>
    <n v="0.99611474382115384"/>
    <s v="árbol"/>
    <n v="4"/>
    <s v="Vol = Exp(-9.67348922+1.86887607*LN(DIAMETRO)+1.01858126*LN(ALTURATOTAL))."/>
    <n v="0.1043471255335823"/>
  </r>
  <r>
    <n v="1"/>
    <x v="0"/>
    <n v="2"/>
    <n v="10"/>
    <n v="10"/>
    <s v="Leguminosae"/>
    <x v="56"/>
    <s v="Kitamche"/>
    <n v="25"/>
    <n v="7.9577471545947667"/>
    <n v="6"/>
    <n v="9"/>
    <m/>
    <s v="C"/>
    <s v="S"/>
    <x v="0"/>
    <n v="1.1309733552923256"/>
    <s v="arbusto"/>
    <m/>
    <m/>
    <m/>
  </r>
  <r>
    <n v="1"/>
    <x v="2"/>
    <n v="2"/>
    <n v="10"/>
    <n v="11"/>
    <s v="Leguminosae"/>
    <x v="56"/>
    <s v="Kitamche"/>
    <n v="43"/>
    <n v="13.687325105903"/>
    <n v="1.6"/>
    <n v="6"/>
    <m/>
    <s v="C"/>
    <s v="SD"/>
    <x v="0"/>
    <n v="0.43836176561718043"/>
    <s v="árbol"/>
    <n v="5"/>
    <s v="Vol = Exp(-9.5208709+1.85580925*LN(DIAMETRO)+0.96207943*LN(ALTURATOTAL))"/>
    <n v="5.2792490896479499E-2"/>
  </r>
  <r>
    <n v="1"/>
    <x v="0"/>
    <n v="3"/>
    <n v="20"/>
    <n v="20"/>
    <s v="Leguminosae"/>
    <x v="56"/>
    <s v="Kitamche"/>
    <n v="18"/>
    <n v="5.7295779513082321"/>
    <n v="5"/>
    <n v="12"/>
    <m/>
    <s v="C"/>
    <s v="S"/>
    <x v="0"/>
    <n v="2.0943951023931953"/>
    <s v="arbusto"/>
    <m/>
    <m/>
    <m/>
  </r>
  <r>
    <n v="9"/>
    <x v="0"/>
    <n v="4"/>
    <n v="41"/>
    <n v="41"/>
    <s v="Leguminosae"/>
    <x v="56"/>
    <s v="Kitamche"/>
    <n v="17"/>
    <n v="5.4112680651244416"/>
    <n v="5"/>
    <n v="9"/>
    <m/>
    <s v="C"/>
    <s v="S"/>
    <x v="0"/>
    <n v="1.6631961107240081"/>
    <s v="arbusto"/>
    <m/>
    <m/>
    <m/>
  </r>
  <r>
    <n v="9"/>
    <x v="0"/>
    <n v="4"/>
    <n v="46"/>
    <n v="46"/>
    <s v="Leguminosae"/>
    <x v="56"/>
    <s v="Kitamche"/>
    <n v="17.5"/>
    <n v="5.5704230082163368"/>
    <n v="8"/>
    <n v="10"/>
    <m/>
    <s v="C"/>
    <s v="S"/>
    <x v="0"/>
    <n v="1.7951958020513104"/>
    <s v="arbusto"/>
    <m/>
    <m/>
    <m/>
  </r>
  <r>
    <n v="6"/>
    <x v="2"/>
    <n v="4"/>
    <n v="17"/>
    <n v="18"/>
    <s v="Boraginaceae"/>
    <x v="57"/>
    <s v="Bakal che'"/>
    <n v="33.5"/>
    <n v="10.663381187156988"/>
    <n v="3.5"/>
    <n v="10"/>
    <m/>
    <s v="C"/>
    <s v="S"/>
    <x v="0"/>
    <n v="0.93778885181784866"/>
    <s v="árbol"/>
    <n v="14"/>
    <s v="Vol = Exp(-9.52375084+1.81551953*LN(DIAMETRO)+1.03039019*LN(ALTURATOTAL))"/>
    <n v="5.760246666265334E-2"/>
  </r>
  <r>
    <n v="1"/>
    <x v="0"/>
    <n v="4"/>
    <n v="25"/>
    <n v="25"/>
    <s v="Leguminosae"/>
    <x v="58"/>
    <s v="Maay wakax"/>
    <n v="17"/>
    <n v="5.4112680651244416"/>
    <n v="3"/>
    <n v="9"/>
    <m/>
    <s v="C"/>
    <s v="S"/>
    <x v="0"/>
    <n v="1.6631961107240081"/>
    <s v="arbusto"/>
    <m/>
    <m/>
    <m/>
  </r>
  <r>
    <n v="8"/>
    <x v="2"/>
    <n v="1"/>
    <n v="8"/>
    <n v="9"/>
    <s v="Arecaceae"/>
    <x v="40"/>
    <s v="Palma chit"/>
    <n v="40"/>
    <n v="12.732395447351628"/>
    <n v="1.9"/>
    <n v="5"/>
    <m/>
    <s v="R"/>
    <s v="S"/>
    <x v="0"/>
    <n v="0.39269908169872414"/>
    <s v="árbol"/>
    <m/>
    <m/>
    <m/>
  </r>
  <r>
    <n v="10"/>
    <x v="1"/>
    <m/>
    <n v="18"/>
    <n v="18"/>
    <s v="Vitaceae "/>
    <x v="32"/>
    <s v="Bejuco Cissus"/>
    <m/>
    <m/>
    <m/>
    <n v="0.1"/>
    <e v="#REF!"/>
    <m/>
    <s v="S"/>
    <x v="0"/>
    <e v="#DIV/0!"/>
    <s v="herbácea"/>
    <m/>
    <m/>
    <m/>
  </r>
  <r>
    <n v="10"/>
    <x v="1"/>
    <m/>
    <n v="19"/>
    <n v="19"/>
    <s v="Vitaceae "/>
    <x v="32"/>
    <s v="Bejuco Cissus"/>
    <m/>
    <m/>
    <m/>
    <n v="0.6"/>
    <e v="#REF!"/>
    <m/>
    <s v="S"/>
    <x v="0"/>
    <e v="#DIV/0!"/>
    <s v="herbácea"/>
    <m/>
    <m/>
    <m/>
  </r>
  <r>
    <n v="8"/>
    <x v="2"/>
    <n v="1"/>
    <n v="3"/>
    <n v="3"/>
    <s v="Simaroubaceae"/>
    <x v="59"/>
    <s v="Pasak"/>
    <n v="49"/>
    <n v="15.597184423005743"/>
    <n v="8"/>
    <n v="10"/>
    <m/>
    <s v="C"/>
    <s v="S"/>
    <x v="0"/>
    <n v="0.641141357875468"/>
    <s v="árbol"/>
    <n v="13"/>
    <s v="Vol = Exp(-9.84052491+1.92716537*LN(DIAMETRO)+1.00282618*LN(ALTURATOTAL))."/>
    <n v="0.1067426174866082"/>
  </r>
  <r>
    <n v="4"/>
    <x v="2"/>
    <n v="2"/>
    <n v="27"/>
    <n v="28"/>
    <s v="Simaroubaceae"/>
    <x v="59"/>
    <s v="Pasak"/>
    <n v="32.5"/>
    <n v="10.345071300973197"/>
    <n v="3"/>
    <n v="8"/>
    <m/>
    <s v="C"/>
    <s v="SD"/>
    <x v="0"/>
    <n v="0.77331511472979519"/>
    <s v="árbol"/>
    <n v="13"/>
    <s v="Vol = Exp(-9.84052491+1.92716537*LN(DIAMETRO)+1.00282618*LN(ALTURATOTAL))."/>
    <n v="3.8682617447481221E-2"/>
  </r>
  <r>
    <n v="11"/>
    <x v="0"/>
    <n v="3"/>
    <n v="28"/>
    <n v="28"/>
    <s v="Simaroubaceae"/>
    <x v="59"/>
    <s v="Pasak"/>
    <n v="27"/>
    <n v="8.5943669269623477"/>
    <n v="7"/>
    <n v="12"/>
    <m/>
    <s v="C"/>
    <s v="S"/>
    <x v="0"/>
    <n v="1.3962634015954638"/>
    <s v="arbusto"/>
    <m/>
    <m/>
    <m/>
  </r>
  <r>
    <n v="2"/>
    <x v="2"/>
    <n v="2"/>
    <n v="30"/>
    <n v="31"/>
    <s v="Simaroubaceae"/>
    <x v="59"/>
    <s v="Pasak"/>
    <n v="52.5"/>
    <n v="16.71126902464901"/>
    <n v="7"/>
    <n v="13"/>
    <m/>
    <s v="C"/>
    <s v="S"/>
    <x v="0"/>
    <n v="0.77791818088890119"/>
    <s v="árbol"/>
    <n v="13"/>
    <s v="Vol = Exp(-9.84052491+1.92716537*LN(DIAMETRO)+1.00282618*LN(ALTURATOTAL))."/>
    <n v="0.15861611605268491"/>
  </r>
  <r>
    <n v="7"/>
    <x v="2"/>
    <n v="4"/>
    <n v="36"/>
    <n v="39"/>
    <s v="Simaroubaceae"/>
    <x v="59"/>
    <s v="Pasak"/>
    <n v="32"/>
    <n v="10.185916357881302"/>
    <n v="5"/>
    <n v="10"/>
    <m/>
    <s v="C"/>
    <s v="S"/>
    <x v="0"/>
    <n v="0.98174770424681035"/>
    <s v="árbol"/>
    <n v="13"/>
    <s v="Vol = Exp(-9.84052491+1.92716537*LN(DIAMETRO)+1.00282618*LN(ALTURATOTAL))."/>
    <n v="4.6959494047362563E-2"/>
  </r>
  <r>
    <n v="7"/>
    <x v="2"/>
    <n v="4"/>
    <n v="37"/>
    <n v="40"/>
    <s v="Simaroubaceae"/>
    <x v="59"/>
    <s v="Pasak"/>
    <n v="33"/>
    <n v="10.504226244065093"/>
    <n v="8"/>
    <n v="12"/>
    <m/>
    <s v="C"/>
    <s v="S"/>
    <x v="0"/>
    <n v="1.1423973285781066"/>
    <s v="árbol"/>
    <n v="13"/>
    <s v="Vol = Exp(-9.84052491+1.92716537*LN(DIAMETRO)+1.00282618*LN(ALTURATOTAL))."/>
    <n v="5.9825040252638385E-2"/>
  </r>
  <r>
    <n v="3"/>
    <x v="2"/>
    <n v="4"/>
    <n v="50"/>
    <n v="59"/>
    <s v="Simaroubaceae"/>
    <x v="59"/>
    <s v="Pasak"/>
    <n v="43"/>
    <n v="13.687325105903"/>
    <n v="6"/>
    <n v="12"/>
    <m/>
    <s v="C"/>
    <s v="S"/>
    <x v="0"/>
    <n v="0.87672353123436086"/>
    <s v="árbol"/>
    <n v="13"/>
    <s v="Vol = Exp(-9.84052491+1.92716537*LN(DIAMETRO)+1.00282618*LN(ALTURATOTAL))."/>
    <n v="9.9636706000216499E-2"/>
  </r>
  <r>
    <n v="10"/>
    <x v="1"/>
    <m/>
    <n v="20"/>
    <n v="20"/>
    <s v="Vitaceae "/>
    <x v="32"/>
    <s v="Bejuco Cissus"/>
    <m/>
    <m/>
    <m/>
    <n v="0.4"/>
    <e v="#REF!"/>
    <m/>
    <s v="S"/>
    <x v="0"/>
    <e v="#DIV/0!"/>
    <s v="herbácea"/>
    <m/>
    <m/>
    <m/>
  </r>
  <r>
    <n v="10"/>
    <x v="1"/>
    <m/>
    <n v="21"/>
    <n v="21"/>
    <s v="Vitaceae "/>
    <x v="32"/>
    <s v="Bejuco Cissus"/>
    <m/>
    <m/>
    <m/>
    <n v="3"/>
    <e v="#REF!"/>
    <m/>
    <s v="S"/>
    <x v="0"/>
    <e v="#DIV/0!"/>
    <s v="herbácea"/>
    <m/>
    <m/>
    <m/>
  </r>
  <r>
    <n v="10"/>
    <x v="1"/>
    <m/>
    <n v="22"/>
    <n v="22"/>
    <s v="Leguminosae"/>
    <x v="31"/>
    <s v="Kanasin"/>
    <m/>
    <m/>
    <m/>
    <n v="0.25"/>
    <e v="#REF!"/>
    <m/>
    <s v="S"/>
    <x v="0"/>
    <e v="#DIV/0!"/>
    <s v="herbácea"/>
    <m/>
    <m/>
    <m/>
  </r>
  <r>
    <n v="4"/>
    <x v="0"/>
    <n v="1"/>
    <s v="5A"/>
    <n v="6"/>
    <s v="Araliaceae"/>
    <x v="28"/>
    <s v="Sak chacaj"/>
    <n v="17.5"/>
    <n v="5.5704230082163368"/>
    <n v="5"/>
    <n v="8"/>
    <m/>
    <s v="C"/>
    <s v="S"/>
    <x v="1"/>
    <n v="1.4361566416410483"/>
    <s v="arbusto"/>
    <m/>
    <m/>
    <m/>
  </r>
  <r>
    <n v="10"/>
    <x v="0"/>
    <n v="1"/>
    <n v="6"/>
    <n v="6"/>
    <s v="Araliaceae"/>
    <x v="28"/>
    <s v="Sak chacaj"/>
    <n v="28"/>
    <n v="8.91267681314614"/>
    <n v="5.5"/>
    <n v="8"/>
    <m/>
    <s v="C"/>
    <s v="S"/>
    <x v="0"/>
    <n v="0.89759790102565506"/>
    <s v="arbusto"/>
    <m/>
    <m/>
    <m/>
  </r>
  <r>
    <n v="10"/>
    <x v="1"/>
    <m/>
    <n v="23"/>
    <n v="23"/>
    <s v="Polygonaceae"/>
    <x v="22"/>
    <s v="Toyub"/>
    <m/>
    <m/>
    <m/>
    <n v="0.8"/>
    <e v="#REF!"/>
    <m/>
    <s v="S"/>
    <x v="0"/>
    <e v="#DIV/0!"/>
    <s v="herbácea"/>
    <m/>
    <m/>
    <m/>
  </r>
  <r>
    <n v="10"/>
    <x v="1"/>
    <m/>
    <n v="24"/>
    <n v="24"/>
    <s v="Vitaceae "/>
    <x v="32"/>
    <s v="Bejuco Cissus"/>
    <m/>
    <m/>
    <m/>
    <n v="0.2"/>
    <e v="#REF!"/>
    <m/>
    <s v="S"/>
    <x v="0"/>
    <e v="#DIV/0!"/>
    <s v="herbácea"/>
    <m/>
    <m/>
    <m/>
  </r>
  <r>
    <n v="4"/>
    <x v="2"/>
    <n v="1"/>
    <n v="7"/>
    <n v="7"/>
    <s v="Araliaceae"/>
    <x v="28"/>
    <s v="Sak chacaj"/>
    <n v="36"/>
    <n v="11.459155902616464"/>
    <n v="7"/>
    <n v="11"/>
    <m/>
    <s v="C"/>
    <s v="S"/>
    <x v="0"/>
    <n v="0.95993108859688125"/>
    <s v="árbol"/>
    <n v="17"/>
    <s v="Vol = Exp(-9.52375084+1.81551953*LN(DIAMETRO)+1.03039019*LN(ALTURATOTAL))"/>
    <n v="7.2417020336136742E-2"/>
  </r>
  <r>
    <n v="10"/>
    <x v="1"/>
    <m/>
    <n v="25"/>
    <n v="25"/>
    <s v="Lauraceae"/>
    <x v="0"/>
    <s v="Aguacatillo"/>
    <m/>
    <m/>
    <m/>
    <n v="0.2"/>
    <e v="#REF!"/>
    <m/>
    <s v="S"/>
    <x v="0"/>
    <e v="#DIV/0!"/>
    <s v="herbácea"/>
    <m/>
    <m/>
    <m/>
  </r>
  <r>
    <n v="2"/>
    <x v="2"/>
    <n v="1"/>
    <n v="8"/>
    <n v="8"/>
    <s v="Araliaceae"/>
    <x v="28"/>
    <s v="Sak chacaj"/>
    <n v="56"/>
    <n v="17.82535362629228"/>
    <n v="7"/>
    <n v="12"/>
    <m/>
    <s v="C"/>
    <s v="S"/>
    <x v="0"/>
    <n v="0.67319842576924127"/>
    <s v="árbol"/>
    <n v="17"/>
    <s v="Vol = Exp(-9.52375084+1.81551953*LN(DIAMETRO)+1.03039019*LN(ALTURATOTAL))"/>
    <n v="0.17666459993056352"/>
  </r>
  <r>
    <n v="8"/>
    <x v="2"/>
    <n v="1"/>
    <n v="7"/>
    <n v="8"/>
    <s v="Araliaceae"/>
    <x v="28"/>
    <s v="Sak chacaj"/>
    <n v="38"/>
    <n v="12.095775674984045"/>
    <n v="8"/>
    <n v="14"/>
    <m/>
    <s v="C"/>
    <s v="S"/>
    <x v="0"/>
    <n v="1.1574288723751871"/>
    <s v="árbol"/>
    <n v="17"/>
    <s v="Vol = Exp(-9.52375084+1.81551953*LN(DIAMETRO)+1.03039019*LN(ALTURATOTAL))"/>
    <n v="0.10242107202935821"/>
  </r>
  <r>
    <n v="5"/>
    <x v="0"/>
    <n v="1"/>
    <n v="7"/>
    <n v="8"/>
    <s v="Araliaceae"/>
    <x v="28"/>
    <s v="Sak chacaj"/>
    <n v="21"/>
    <n v="6.6845076098596046"/>
    <n v="6"/>
    <n v="8"/>
    <m/>
    <s v="C"/>
    <s v="S"/>
    <x v="0"/>
    <n v="1.1967972013675401"/>
    <s v="arbusto"/>
    <m/>
    <m/>
    <m/>
  </r>
  <r>
    <n v="10"/>
    <x v="1"/>
    <m/>
    <n v="26"/>
    <n v="26"/>
    <s v="Lauraceae"/>
    <x v="0"/>
    <s v="Aguacatillo"/>
    <m/>
    <m/>
    <m/>
    <n v="0.1"/>
    <e v="#REF!"/>
    <m/>
    <s v="S"/>
    <x v="0"/>
    <e v="#DIV/0!"/>
    <s v="herbácea"/>
    <m/>
    <m/>
    <m/>
  </r>
  <r>
    <n v="5"/>
    <x v="0"/>
    <n v="1"/>
    <n v="8"/>
    <n v="9"/>
    <s v="Araliaceae"/>
    <x v="28"/>
    <s v="Sak chacaj"/>
    <n v="24"/>
    <n v="7.6394372684109761"/>
    <n v="5"/>
    <n v="8"/>
    <m/>
    <s v="C"/>
    <s v="S"/>
    <x v="0"/>
    <n v="1.0471975511965976"/>
    <s v="arbusto"/>
    <m/>
    <m/>
    <m/>
  </r>
  <r>
    <n v="11"/>
    <x v="1"/>
    <m/>
    <n v="1"/>
    <n v="1"/>
    <s v="Arecaceae"/>
    <x v="60"/>
    <s v="Xa'an"/>
    <m/>
    <m/>
    <m/>
    <n v="3.5"/>
    <e v="#REF!"/>
    <m/>
    <s v="S"/>
    <x v="0"/>
    <e v="#DIV/0!"/>
    <s v="herbácea"/>
    <m/>
    <m/>
    <m/>
  </r>
  <r>
    <n v="8"/>
    <x v="2"/>
    <n v="1"/>
    <n v="10"/>
    <n v="11"/>
    <s v="Araliaceae"/>
    <x v="28"/>
    <s v="Sak chacaj"/>
    <n v="46"/>
    <n v="14.642254764454371"/>
    <n v="5"/>
    <n v="13"/>
    <m/>
    <s v="C"/>
    <s v="S"/>
    <x v="0"/>
    <n v="0.88784140210146334"/>
    <s v="árbol"/>
    <n v="17"/>
    <s v="Vol = Exp(-9.52375084+1.81551953*LN(DIAMETRO)+1.03039019*LN(ALTURATOTAL))"/>
    <n v="0.1342356528954648"/>
  </r>
  <r>
    <n v="10"/>
    <x v="0"/>
    <n v="1"/>
    <n v="11"/>
    <n v="11"/>
    <s v="Araliaceae"/>
    <x v="28"/>
    <s v="Sak chacaj"/>
    <n v="18.5"/>
    <n v="5.8887328944001274"/>
    <n v="6"/>
    <n v="9"/>
    <m/>
    <s v="C"/>
    <s v="S"/>
    <x v="0"/>
    <n v="1.5283423720166562"/>
    <s v="arbusto"/>
    <m/>
    <m/>
    <m/>
  </r>
  <r>
    <n v="8"/>
    <x v="2"/>
    <n v="1"/>
    <n v="11"/>
    <n v="12"/>
    <s v="Araliaceae"/>
    <x v="28"/>
    <s v="Sak chacaj"/>
    <n v="42"/>
    <n v="13.369015219719209"/>
    <n v="6"/>
    <n v="10"/>
    <m/>
    <s v="C"/>
    <s v="S"/>
    <x v="0"/>
    <n v="0.74799825085471261"/>
    <s v="árbol"/>
    <n v="17"/>
    <s v="Vol = Exp(-9.52375084+1.81551953*LN(DIAMETRO)+1.03039019*LN(ALTURATOTAL))"/>
    <n v="8.6842684246796406E-2"/>
  </r>
  <r>
    <n v="1"/>
    <x v="0"/>
    <n v="2"/>
    <n v="12"/>
    <n v="12"/>
    <s v="Araliaceae"/>
    <x v="28"/>
    <s v="Sak chacaj"/>
    <n v="20"/>
    <n v="6.366197723675814"/>
    <n v="6"/>
    <n v="9"/>
    <m/>
    <s v="C"/>
    <s v="S"/>
    <x v="0"/>
    <n v="1.4137166941154069"/>
    <s v="arbusto"/>
    <m/>
    <m/>
    <m/>
  </r>
  <r>
    <n v="5"/>
    <x v="0"/>
    <n v="2"/>
    <n v="12"/>
    <n v="13"/>
    <s v="Araliaceae"/>
    <x v="28"/>
    <s v="Sak chacaj"/>
    <n v="17"/>
    <n v="5.4112680651244416"/>
    <n v="3"/>
    <n v="8"/>
    <m/>
    <s v="C"/>
    <s v="S"/>
    <x v="0"/>
    <n v="1.478396542865785"/>
    <s v="arbusto"/>
    <m/>
    <m/>
    <m/>
  </r>
  <r>
    <n v="11"/>
    <x v="1"/>
    <m/>
    <n v="2"/>
    <n v="2"/>
    <s v="Malvaceae"/>
    <x v="27"/>
    <s v="Ho'ol"/>
    <m/>
    <m/>
    <m/>
    <n v="3.5"/>
    <e v="#REF!"/>
    <m/>
    <s v="S"/>
    <x v="0"/>
    <e v="#DIV/0!"/>
    <s v="herbácea"/>
    <m/>
    <m/>
    <m/>
  </r>
  <r>
    <n v="8"/>
    <x v="2"/>
    <n v="1"/>
    <n v="13"/>
    <n v="14"/>
    <s v="Araliaceae"/>
    <x v="28"/>
    <s v="Sak chacaj"/>
    <n v="49.5"/>
    <n v="15.756339366097638"/>
    <n v="6"/>
    <n v="14"/>
    <m/>
    <s v="C"/>
    <s v="S"/>
    <x v="0"/>
    <n v="0.88853125556074963"/>
    <s v="árbol"/>
    <n v="17"/>
    <s v="Vol = Exp(-9.52375084+1.81551953*LN(DIAMETRO)+1.03039019*LN(ALTURATOTAL))"/>
    <n v="0.16551988606149298"/>
  </r>
  <r>
    <n v="8"/>
    <x v="0"/>
    <n v="2"/>
    <n v="14"/>
    <n v="14"/>
    <s v="Araliaceae"/>
    <x v="28"/>
    <s v="Sak chacaj"/>
    <n v="19"/>
    <n v="6.0478878374920226"/>
    <n v="6"/>
    <n v="9"/>
    <m/>
    <s v="C"/>
    <s v="S"/>
    <x v="0"/>
    <n v="1.4881228359109546"/>
    <s v="arbusto"/>
    <m/>
    <m/>
    <m/>
  </r>
  <r>
    <n v="4"/>
    <x v="2"/>
    <n v="1"/>
    <n v="15"/>
    <n v="15"/>
    <s v="Araliaceae"/>
    <x v="28"/>
    <s v="Sak chacaj"/>
    <n v="39"/>
    <n v="12.414085561167836"/>
    <n v="6"/>
    <n v="13"/>
    <m/>
    <s v="C"/>
    <s v="S"/>
    <x v="0"/>
    <n v="1.0471975511965979"/>
    <s v="árbol"/>
    <n v="17"/>
    <s v="Vol = Exp(-9.52375084+1.81551953*LN(DIAMETRO)+1.03039019*LN(ALTURATOTAL))"/>
    <n v="9.9473507092131805E-2"/>
  </r>
  <r>
    <n v="1"/>
    <x v="2"/>
    <n v="2"/>
    <n v="13"/>
    <n v="16"/>
    <s v="Araliaceae"/>
    <x v="28"/>
    <s v="Sak chacaj"/>
    <n v="40.5"/>
    <n v="12.891550390443523"/>
    <n v="7"/>
    <n v="14"/>
    <m/>
    <s v="C"/>
    <s v="S"/>
    <x v="0"/>
    <n v="1.0859826456853605"/>
    <s v="árbol"/>
    <n v="17"/>
    <s v="Vol = Exp(-9.52375084+1.81551953*LN(DIAMETRO)+1.03039019*LN(ALTURATOTAL))"/>
    <n v="0.11498133126508182"/>
  </r>
  <r>
    <n v="8"/>
    <x v="0"/>
    <n v="2"/>
    <n v="16"/>
    <n v="16"/>
    <s v="Araliaceae"/>
    <x v="28"/>
    <s v="Sak chacaj"/>
    <n v="22"/>
    <n v="7.0028174960433951"/>
    <n v="7"/>
    <n v="10"/>
    <m/>
    <s v="C"/>
    <s v="S"/>
    <x v="0"/>
    <n v="1.4279966607226333"/>
    <s v="arbusto"/>
    <m/>
    <m/>
    <m/>
  </r>
  <r>
    <n v="8"/>
    <x v="0"/>
    <n v="3"/>
    <n v="17"/>
    <n v="17"/>
    <s v="Araliaceae"/>
    <x v="28"/>
    <s v="Sak chacaj"/>
    <n v="27"/>
    <n v="8.5943669269623477"/>
    <n v="6"/>
    <n v="9"/>
    <m/>
    <s v="C"/>
    <s v="S"/>
    <x v="0"/>
    <n v="1.0471975511965979"/>
    <s v="arbusto"/>
    <m/>
    <m/>
    <m/>
  </r>
  <r>
    <n v="1"/>
    <x v="0"/>
    <n v="3"/>
    <n v="18"/>
    <n v="18"/>
    <s v="Araliaceae"/>
    <x v="28"/>
    <s v="Sak chacaj"/>
    <n v="16.5"/>
    <n v="5.2521131220325463"/>
    <n v="1.6"/>
    <n v="3.5"/>
    <m/>
    <s v="C"/>
    <s v="S"/>
    <x v="0"/>
    <n v="0.66639844167056217"/>
    <s v="arbusto"/>
    <m/>
    <m/>
    <m/>
  </r>
  <r>
    <n v="3"/>
    <x v="0"/>
    <n v="4"/>
    <n v="18"/>
    <n v="18"/>
    <s v="Araliaceae"/>
    <x v="28"/>
    <s v="Sak chacaj"/>
    <n v="16"/>
    <n v="5.0929581789406511"/>
    <n v="3"/>
    <n v="8"/>
    <m/>
    <s v="C"/>
    <s v="S"/>
    <x v="0"/>
    <n v="1.5707963267948966"/>
    <s v="arbusto"/>
    <m/>
    <m/>
    <m/>
  </r>
  <r>
    <n v="10"/>
    <x v="0"/>
    <n v="2"/>
    <n v="18"/>
    <n v="18"/>
    <s v="Araliaceae"/>
    <x v="28"/>
    <s v="Sak chacaj"/>
    <n v="16"/>
    <n v="5.0929581789406511"/>
    <n v="4"/>
    <n v="9"/>
    <m/>
    <s v="C"/>
    <s v="S"/>
    <x v="0"/>
    <n v="1.7671458676442586"/>
    <s v="arbusto"/>
    <m/>
    <m/>
    <m/>
  </r>
  <r>
    <n v="2"/>
    <x v="2"/>
    <n v="1"/>
    <n v="19"/>
    <n v="19"/>
    <s v="Araliaceae"/>
    <x v="28"/>
    <s v="Sak chacaj"/>
    <n v="38"/>
    <n v="12.095775674984045"/>
    <n v="7"/>
    <n v="13"/>
    <m/>
    <s v="C"/>
    <s v="S"/>
    <x v="0"/>
    <n v="1.0747553814912452"/>
    <s v="árbol"/>
    <n v="17"/>
    <s v="Vol = Exp(-9.52375084+1.81551953*LN(DIAMETRO)+1.03039019*LN(ALTURATOTAL))"/>
    <n v="9.4891330317624589E-2"/>
  </r>
  <r>
    <n v="8"/>
    <x v="2"/>
    <n v="2"/>
    <n v="17"/>
    <n v="19"/>
    <s v="Araliaceae"/>
    <x v="28"/>
    <s v="Sak chacaj"/>
    <n v="36"/>
    <n v="11.459155902616464"/>
    <n v="10"/>
    <n v="13"/>
    <m/>
    <s v="C"/>
    <s v="S"/>
    <x v="0"/>
    <n v="1.1344640137963142"/>
    <s v="árbol"/>
    <n v="17"/>
    <s v="Vol = Exp(-9.52375084+1.81551953*LN(DIAMETRO)+1.03039019*LN(ALTURATOTAL))"/>
    <n v="8.6019348139417251E-2"/>
  </r>
  <r>
    <n v="5"/>
    <x v="0"/>
    <n v="3"/>
    <n v="18"/>
    <n v="19"/>
    <s v="Araliaceae"/>
    <x v="28"/>
    <s v="Sak chacaj"/>
    <n v="23"/>
    <n v="7.3211273822271856"/>
    <n v="6"/>
    <n v="11"/>
    <m/>
    <s v="C"/>
    <s v="S"/>
    <x v="0"/>
    <n v="1.5025008343255533"/>
    <s v="arbusto"/>
    <m/>
    <m/>
    <m/>
  </r>
  <r>
    <n v="11"/>
    <x v="2"/>
    <n v="4"/>
    <n v="19"/>
    <n v="20"/>
    <s v="Araliaceae"/>
    <x v="28"/>
    <s v="Sak chacaj"/>
    <n v="32"/>
    <n v="10.185916357881302"/>
    <n v="6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10"/>
    <x v="0"/>
    <n v="2"/>
    <n v="20"/>
    <n v="20"/>
    <s v="Araliaceae"/>
    <x v="28"/>
    <s v="Sak chacaj"/>
    <n v="17"/>
    <n v="5.4112680651244416"/>
    <n v="2.2000000000000002"/>
    <n v="6.5"/>
    <m/>
    <s v="C"/>
    <s v="S"/>
    <x v="0"/>
    <n v="1.2011971910784502"/>
    <s v="arbusto"/>
    <m/>
    <m/>
    <m/>
  </r>
  <r>
    <n v="1"/>
    <x v="0"/>
    <n v="3"/>
    <n v="21"/>
    <n v="21"/>
    <s v="Araliaceae"/>
    <x v="28"/>
    <s v="Sak chacaj"/>
    <n v="25"/>
    <n v="7.9577471545947667"/>
    <n v="4"/>
    <n v="10"/>
    <m/>
    <s v="C"/>
    <s v="S"/>
    <x v="0"/>
    <n v="1.2566370614359172"/>
    <s v="arbusto"/>
    <m/>
    <m/>
    <m/>
  </r>
  <r>
    <n v="10"/>
    <x v="0"/>
    <n v="2"/>
    <n v="21"/>
    <n v="21"/>
    <s v="Araliaceae"/>
    <x v="28"/>
    <s v="Sak chacaj"/>
    <n v="30.5"/>
    <n v="9.7084515286056163"/>
    <n v="6.5"/>
    <n v="12"/>
    <m/>
    <s v="C"/>
    <s v="S"/>
    <x v="0"/>
    <n v="1.2360364538713939"/>
    <s v="arbusto"/>
    <m/>
    <m/>
    <m/>
  </r>
  <r>
    <n v="4"/>
    <x v="2"/>
    <n v="2"/>
    <n v="21"/>
    <n v="22"/>
    <s v="Araliaceae"/>
    <x v="28"/>
    <s v="Sak chacaj"/>
    <n v="44.5"/>
    <n v="14.164789935178685"/>
    <n v="5"/>
    <n v="12"/>
    <m/>
    <s v="C"/>
    <s v="S"/>
    <x v="0"/>
    <n v="0.8471710526534274"/>
    <s v="árbol"/>
    <n v="17"/>
    <s v="Vol = Exp(-9.52375084+1.81551953*LN(DIAMETRO)+1.03039019*LN(ALTURATOTAL))"/>
    <n v="0.11638843311567737"/>
  </r>
  <r>
    <n v="4"/>
    <x v="0"/>
    <n v="3"/>
    <n v="21"/>
    <n v="22"/>
    <s v="Araliaceae"/>
    <x v="28"/>
    <s v="Sak chacaj"/>
    <n v="27"/>
    <n v="8.5943669269623477"/>
    <n v="5"/>
    <n v="8"/>
    <m/>
    <s v="C"/>
    <s v="S"/>
    <x v="0"/>
    <n v="0.9308422677303092"/>
    <s v="arbusto"/>
    <m/>
    <m/>
    <m/>
  </r>
  <r>
    <n v="4"/>
    <x v="2"/>
    <n v="2"/>
    <n v="22"/>
    <n v="23"/>
    <s v="Araliaceae"/>
    <x v="28"/>
    <s v="Sak chacaj"/>
    <n v="34.5"/>
    <n v="10.981691073340778"/>
    <n v="6"/>
    <n v="9"/>
    <m/>
    <s v="C"/>
    <s v="S"/>
    <x v="0"/>
    <n v="0.81954590963211993"/>
    <s v="árbol"/>
    <n v="17"/>
    <s v="Vol = Exp(-9.52375084+1.81551953*LN(DIAMETRO)+1.03039019*LN(ALTURATOTAL))"/>
    <n v="5.4511104438907373E-2"/>
  </r>
  <r>
    <n v="4"/>
    <x v="0"/>
    <n v="4"/>
    <n v="22"/>
    <n v="23"/>
    <s v="Araliaceae"/>
    <x v="28"/>
    <s v="Sak chacaj"/>
    <n v="30"/>
    <n v="9.5492965855137211"/>
    <n v="4"/>
    <n v="8"/>
    <m/>
    <s v="C"/>
    <s v="S"/>
    <x v="0"/>
    <n v="0.83775804095727813"/>
    <s v="arbusto"/>
    <m/>
    <m/>
    <m/>
  </r>
  <r>
    <n v="4"/>
    <x v="0"/>
    <n v="4"/>
    <n v="23"/>
    <n v="24"/>
    <s v="Araliaceae"/>
    <x v="28"/>
    <s v="Sak chacaj"/>
    <n v="20.5"/>
    <n v="6.5253526667677093"/>
    <n v="5"/>
    <n v="7"/>
    <m/>
    <s v="C"/>
    <s v="S"/>
    <x v="0"/>
    <n v="1.0727389548843196"/>
    <s v="arbusto"/>
    <m/>
    <m/>
    <m/>
  </r>
  <r>
    <n v="5"/>
    <x v="0"/>
    <n v="4"/>
    <n v="23"/>
    <n v="24"/>
    <s v="Araliaceae"/>
    <x v="28"/>
    <s v="Sak chacaj"/>
    <n v="30"/>
    <n v="9.5492965855137211"/>
    <n v="5"/>
    <n v="10"/>
    <m/>
    <s v="CB"/>
    <s v="S"/>
    <x v="0"/>
    <n v="1.0471975511965976"/>
    <s v="arbusto"/>
    <m/>
    <m/>
    <m/>
  </r>
  <r>
    <n v="2"/>
    <x v="2"/>
    <n v="2"/>
    <n v="24"/>
    <n v="25"/>
    <s v="Araliaceae"/>
    <x v="28"/>
    <s v="Sak chacaj"/>
    <n v="34.5"/>
    <n v="10.981691073340778"/>
    <n v="5.5"/>
    <n v="12"/>
    <m/>
    <s v="C"/>
    <s v="S"/>
    <x v="0"/>
    <n v="1.0927278795094932"/>
    <s v="árbol"/>
    <n v="17"/>
    <s v="Vol = Exp(-9.52375084+1.81551953*LN(DIAMETRO)+1.03039019*LN(ALTURATOTAL))"/>
    <n v="7.3319691646719198E-2"/>
  </r>
  <r>
    <n v="3"/>
    <x v="2"/>
    <n v="2"/>
    <n v="25"/>
    <n v="25"/>
    <s v="Araliaceae"/>
    <x v="28"/>
    <s v="Sak chacaj"/>
    <n v="37.5"/>
    <n v="11.93662073189215"/>
    <n v="5"/>
    <n v="10"/>
    <m/>
    <s v="C"/>
    <s v="S"/>
    <x v="0"/>
    <n v="0.83775804095727824"/>
    <s v="árbol"/>
    <n v="17"/>
    <s v="Vol = Exp(-9.52375084+1.81551953*LN(DIAMETRO)+1.03039019*LN(ALTURATOTAL))"/>
    <n v="7.0693088734366083E-2"/>
  </r>
  <r>
    <n v="4"/>
    <x v="2"/>
    <n v="2"/>
    <n v="24"/>
    <n v="25"/>
    <s v="Araliaceae"/>
    <x v="28"/>
    <s v="Sak chacaj"/>
    <n v="38.5"/>
    <n v="12.254930618075941"/>
    <n v="5.5"/>
    <n v="12"/>
    <m/>
    <s v="C"/>
    <s v="S"/>
    <x v="0"/>
    <n v="0.97919771020980573"/>
    <s v="árbol"/>
    <n v="17"/>
    <s v="Vol = Exp(-9.52375084+1.81551953*LN(DIAMETRO)+1.03039019*LN(ALTURATOTAL))"/>
    <n v="8.9477727904145057E-2"/>
  </r>
  <r>
    <n v="8"/>
    <x v="2"/>
    <n v="2"/>
    <n v="23"/>
    <n v="25"/>
    <s v="Araliaceae"/>
    <x v="28"/>
    <s v="Sak chacaj"/>
    <n v="36.5"/>
    <n v="11.618310845708359"/>
    <n v="8"/>
    <n v="12"/>
    <m/>
    <s v="C"/>
    <s v="S"/>
    <x v="0"/>
    <n v="1.0328523792623978"/>
    <s v="árbol"/>
    <n v="17"/>
    <s v="Vol = Exp(-9.52375084+1.81551953*LN(DIAMETRO)+1.03039019*LN(ALTURATOTAL))"/>
    <n v="8.1218176794214197E-2"/>
  </r>
  <r>
    <n v="9"/>
    <x v="2"/>
    <n v="4"/>
    <n v="22"/>
    <n v="25"/>
    <s v="Araliaceae"/>
    <x v="28"/>
    <s v="Sak chacaj"/>
    <n v="34.5"/>
    <n v="10.981691073340778"/>
    <n v="6"/>
    <n v="10"/>
    <m/>
    <s v="C"/>
    <s v="S"/>
    <x v="0"/>
    <n v="0.91060656625791103"/>
    <s v="árbol"/>
    <n v="17"/>
    <s v="Vol = Exp(-9.52375084+1.81551953*LN(DIAMETRO)+1.03039019*LN(ALTURATOTAL))"/>
    <n v="6.0762138553092628E-2"/>
  </r>
  <r>
    <n v="5"/>
    <x v="0"/>
    <n v="4"/>
    <s v="23A"/>
    <n v="25"/>
    <s v="Araliaceae"/>
    <x v="28"/>
    <s v="Sak chacaj"/>
    <n v="16.5"/>
    <n v="5.2521131220325463"/>
    <n v="4.5"/>
    <n v="9"/>
    <m/>
    <s v="C"/>
    <s v="S"/>
    <x v="1"/>
    <n v="1.7135959928671598"/>
    <s v="arbusto"/>
    <m/>
    <m/>
    <m/>
  </r>
  <r>
    <n v="5"/>
    <x v="0"/>
    <n v="4"/>
    <n v="25"/>
    <n v="27"/>
    <s v="Araliaceae"/>
    <x v="28"/>
    <s v="Sak chacaj"/>
    <n v="18"/>
    <n v="5.7295779513082321"/>
    <n v="9"/>
    <n v="11"/>
    <m/>
    <s v="C"/>
    <s v="S"/>
    <x v="0"/>
    <n v="1.9198621771937625"/>
    <s v="arbusto"/>
    <m/>
    <m/>
    <m/>
  </r>
  <r>
    <n v="8"/>
    <x v="2"/>
    <n v="2"/>
    <n v="26"/>
    <n v="28"/>
    <s v="Araliaceae"/>
    <x v="28"/>
    <s v="Sak chacaj"/>
    <n v="36"/>
    <n v="11.459155902616464"/>
    <n v="6"/>
    <n v="13"/>
    <m/>
    <s v="C"/>
    <s v="S"/>
    <x v="0"/>
    <n v="1.1344640137963142"/>
    <s v="árbol"/>
    <n v="17"/>
    <s v="Vol = Exp(-9.52375084+1.81551953*LN(DIAMETRO)+1.03039019*LN(ALTURATOTAL))"/>
    <n v="8.6019348139417251E-2"/>
  </r>
  <r>
    <n v="1"/>
    <x v="2"/>
    <n v="4"/>
    <n v="27"/>
    <n v="30"/>
    <s v="Araliaceae"/>
    <x v="28"/>
    <s v="Sak chacaj"/>
    <n v="55"/>
    <n v="17.507043740108486"/>
    <n v="7"/>
    <n v="13"/>
    <m/>
    <s v="C"/>
    <s v="S"/>
    <x v="0"/>
    <n v="0.74255826357576937"/>
    <s v="árbol"/>
    <n v="17"/>
    <s v="Vol = Exp(-9.52375084+1.81551953*LN(DIAMETRO)+1.03039019*LN(ALTURATOTAL))"/>
    <n v="0.18567824151911486"/>
  </r>
  <r>
    <n v="4"/>
    <x v="2"/>
    <n v="3"/>
    <n v="33"/>
    <n v="34"/>
    <s v="Araliaceae"/>
    <x v="28"/>
    <s v="Sak chacaj"/>
    <n v="44.5"/>
    <n v="14.164789935178685"/>
    <n v="6.5"/>
    <n v="13"/>
    <m/>
    <s v="C"/>
    <s v="S"/>
    <x v="0"/>
    <n v="0.91776864037454631"/>
    <s v="árbol"/>
    <n v="17"/>
    <s v="Vol = Exp(-9.52375084+1.81551953*LN(DIAMETRO)+1.03039019*LN(ALTURATOTAL))"/>
    <n v="0.12639455196852614"/>
  </r>
  <r>
    <n v="5"/>
    <x v="2"/>
    <n v="3"/>
    <n v="32"/>
    <n v="34"/>
    <s v="Araliaceae"/>
    <x v="28"/>
    <s v="Sak chacaj"/>
    <n v="36"/>
    <n v="11.459155902616464"/>
    <n v="6"/>
    <n v="12"/>
    <m/>
    <s v="C"/>
    <s v="S"/>
    <x v="0"/>
    <n v="1.0471975511965976"/>
    <s v="árbol"/>
    <n v="17"/>
    <s v="Vol = Exp(-9.52375084+1.81551953*LN(DIAMETRO)+1.03039019*LN(ALTURATOTAL))"/>
    <n v="7.9209562371578848E-2"/>
  </r>
  <r>
    <n v="5"/>
    <x v="2"/>
    <n v="4"/>
    <n v="33"/>
    <n v="35"/>
    <s v="Araliaceae"/>
    <x v="28"/>
    <s v="Sak chacaj"/>
    <n v="32"/>
    <n v="10.185916357881302"/>
    <n v="7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5"/>
    <x v="0"/>
    <n v="4"/>
    <n v="33"/>
    <n v="35"/>
    <s v="Araliaceae"/>
    <x v="28"/>
    <s v="Sak chacaj"/>
    <n v="27"/>
    <n v="8.5943669269623477"/>
    <n v="6"/>
    <n v="10"/>
    <m/>
    <s v="C"/>
    <s v="S"/>
    <x v="0"/>
    <n v="1.1635528346628865"/>
    <s v="arbusto"/>
    <m/>
    <m/>
    <m/>
  </r>
  <r>
    <n v="5"/>
    <x v="2"/>
    <n v="4"/>
    <n v="34"/>
    <n v="36"/>
    <s v="Araliaceae"/>
    <x v="28"/>
    <s v="Sak chacaj"/>
    <n v="35.5"/>
    <n v="11.300000959524569"/>
    <n v="5.5"/>
    <n v="9"/>
    <m/>
    <s v="C"/>
    <s v="S"/>
    <x v="0"/>
    <n v="0.79646010936079259"/>
    <s v="árbol"/>
    <n v="17"/>
    <s v="Vol = Exp(-9.52375084+1.81551953*LN(DIAMETRO)+1.03039019*LN(ALTURATOTAL))"/>
    <n v="5.7413527586479933E-2"/>
  </r>
  <r>
    <n v="8"/>
    <x v="2"/>
    <n v="3"/>
    <n v="31"/>
    <n v="36"/>
    <s v="Araliaceae"/>
    <x v="28"/>
    <s v="Sak chacaj"/>
    <n v="41.5"/>
    <n v="13.209860276627314"/>
    <n v="8"/>
    <n v="12"/>
    <m/>
    <s v="C"/>
    <s v="S"/>
    <x v="0"/>
    <n v="0.90841233356813289"/>
    <s v="árbol"/>
    <n v="17"/>
    <s v="Vol = Exp(-9.52375084+1.81551953*LN(DIAMETRO)+1.03039019*LN(ALTURATOTAL))"/>
    <n v="0.1025363725312375"/>
  </r>
  <r>
    <n v="5"/>
    <x v="0"/>
    <n v="4"/>
    <n v="34"/>
    <n v="36"/>
    <s v="Araliaceae"/>
    <x v="28"/>
    <s v="Sak chacaj"/>
    <n v="21.5"/>
    <n v="6.8436625529514998"/>
    <n v="6"/>
    <n v="9"/>
    <m/>
    <s v="C"/>
    <s v="S"/>
    <x v="0"/>
    <n v="1.3150852968515412"/>
    <s v="arbusto"/>
    <m/>
    <m/>
    <m/>
  </r>
  <r>
    <n v="8"/>
    <x v="2"/>
    <n v="3"/>
    <n v="32"/>
    <n v="37"/>
    <s v="Araliaceae"/>
    <x v="28"/>
    <s v="Sak chacaj"/>
    <n v="41"/>
    <n v="13.050705333535419"/>
    <n v="5"/>
    <n v="10"/>
    <m/>
    <s v="C"/>
    <s v="S"/>
    <x v="0"/>
    <n v="0.76624211063165681"/>
    <s v="árbol"/>
    <n v="17"/>
    <s v="Vol = Exp(-9.52375084+1.81551953*LN(DIAMETRO)+1.03039019*LN(ALTURATOTAL))"/>
    <n v="8.3125264362633317E-2"/>
  </r>
  <r>
    <n v="5"/>
    <x v="2"/>
    <n v="4"/>
    <n v="36"/>
    <n v="38"/>
    <s v="Araliaceae"/>
    <x v="28"/>
    <s v="Sak chacaj"/>
    <n v="38"/>
    <n v="12.095775674984045"/>
    <n v="8"/>
    <n v="13"/>
    <m/>
    <s v="C"/>
    <s v="S"/>
    <x v="0"/>
    <n v="1.0747553814912452"/>
    <s v="árbol"/>
    <n v="17"/>
    <s v="Vol = Exp(-9.52375084+1.81551953*LN(DIAMETRO)+1.03039019*LN(ALTURATOTAL))"/>
    <n v="9.4891330317624589E-2"/>
  </r>
  <r>
    <n v="4"/>
    <x v="2"/>
    <n v="3"/>
    <n v="38"/>
    <n v="39"/>
    <s v="Araliaceae"/>
    <x v="28"/>
    <s v="Sak chacaj"/>
    <n v="49.5"/>
    <n v="15.756339366097638"/>
    <n v="4"/>
    <n v="12"/>
    <m/>
    <s v="C"/>
    <s v="S"/>
    <x v="0"/>
    <n v="0.76159821905207115"/>
    <s v="árbol"/>
    <n v="17"/>
    <s v="Vol = Exp(-9.52375084+1.81551953*LN(DIAMETRO)+1.03039019*LN(ALTURATOTAL))"/>
    <n v="0.141211108885963"/>
  </r>
  <r>
    <n v="8"/>
    <x v="2"/>
    <n v="3"/>
    <n v="34"/>
    <n v="39"/>
    <s v="Araliaceae"/>
    <x v="28"/>
    <s v="Sak chacaj"/>
    <n v="45"/>
    <n v="14.323944878270581"/>
    <n v="6.5"/>
    <n v="12"/>
    <m/>
    <s v="C"/>
    <s v="S"/>
    <x v="0"/>
    <n v="0.83775804095727813"/>
    <s v="árbol"/>
    <n v="17"/>
    <s v="Vol = Exp(-9.52375084+1.81551953*LN(DIAMETRO)+1.03039019*LN(ALTURATOTAL))"/>
    <n v="0.11877352207745759"/>
  </r>
  <r>
    <n v="8"/>
    <x v="2"/>
    <n v="3"/>
    <n v="35"/>
    <n v="40"/>
    <s v="Araliaceae"/>
    <x v="28"/>
    <s v="Sak chacaj"/>
    <n v="48"/>
    <n v="15.278874536821952"/>
    <n v="8"/>
    <n v="15"/>
    <m/>
    <s v="C"/>
    <s v="S"/>
    <x v="0"/>
    <n v="0.98174770424681035"/>
    <s v="árbol"/>
    <n v="17"/>
    <s v="Vol = Exp(-9.52375084+1.81551953*LN(DIAMETRO)+1.03039019*LN(ALTURATOTAL))"/>
    <n v="0.16805887690079979"/>
  </r>
  <r>
    <n v="5"/>
    <x v="2"/>
    <n v="4"/>
    <n v="39"/>
    <n v="41"/>
    <s v="Araliaceae"/>
    <x v="28"/>
    <s v="Sak chacaj"/>
    <n v="34"/>
    <n v="10.822536130248883"/>
    <n v="8"/>
    <n v="12"/>
    <m/>
    <s v="C"/>
    <s v="S"/>
    <x v="0"/>
    <n v="1.1087974071493387"/>
    <s v="árbol"/>
    <n v="17"/>
    <s v="Vol = Exp(-9.52375084+1.81551953*LN(DIAMETRO)+1.03039019*LN(ALTURATOTAL))"/>
    <n v="7.1401923725509311E-2"/>
  </r>
  <r>
    <n v="2"/>
    <x v="2"/>
    <n v="3"/>
    <n v="46"/>
    <n v="49"/>
    <s v="Araliaceae"/>
    <x v="28"/>
    <s v="Sak chacaj"/>
    <n v="72.5"/>
    <n v="23.077466748324824"/>
    <n v="10"/>
    <n v="15"/>
    <m/>
    <s v="CB"/>
    <s v="S"/>
    <x v="0"/>
    <n v="0.64998468694961242"/>
    <s v="árbol"/>
    <n v="17"/>
    <s v="Vol = Exp(-9.52375084+1.81551953*LN(DIAMETRO)+1.03039019*LN(ALTURATOTAL))"/>
    <n v="0.35531630664302144"/>
  </r>
  <r>
    <n v="2"/>
    <x v="2"/>
    <n v="3"/>
    <s v="46A"/>
    <n v="50"/>
    <s v="Araliaceae"/>
    <x v="28"/>
    <s v="Sak chacaj"/>
    <n v="69.5"/>
    <n v="22.122537089773452"/>
    <n v="10"/>
    <n v="15"/>
    <m/>
    <s v="C"/>
    <s v="S"/>
    <x v="1"/>
    <n v="0.67804157991146619"/>
    <s v="árbol"/>
    <n v="17"/>
    <s v="Vol = Exp(-9.52375084+1.81551953*LN(DIAMETRO)+1.03039019*LN(ALTURATOTAL))"/>
    <n v="0.32907473673461679"/>
  </r>
  <r>
    <n v="4"/>
    <x v="2"/>
    <n v="4"/>
    <n v="50"/>
    <n v="52"/>
    <s v="Araliaceae"/>
    <x v="28"/>
    <s v="Sak chacaj"/>
    <n v="50"/>
    <n v="15.915494309189533"/>
    <n v="7"/>
    <n v="13"/>
    <m/>
    <s v="C"/>
    <s v="S"/>
    <x v="0"/>
    <n v="0.81681408993334625"/>
    <s v="árbol"/>
    <n v="17"/>
    <s v="Vol = Exp(-9.52375084+1.81551953*LN(DIAMETRO)+1.03039019*LN(ALTURATOTAL))"/>
    <n v="0.15617509764181392"/>
  </r>
  <r>
    <n v="4"/>
    <x v="2"/>
    <n v="4"/>
    <n v="52"/>
    <n v="54"/>
    <s v="Araliaceae"/>
    <x v="28"/>
    <s v="Sak chacaj"/>
    <n v="36.5"/>
    <n v="11.618310845708359"/>
    <n v="9"/>
    <n v="13"/>
    <m/>
    <s v="C"/>
    <s v="S"/>
    <x v="0"/>
    <n v="1.1189234108675976"/>
    <s v="árbol"/>
    <n v="17"/>
    <s v="Vol = Exp(-9.52375084+1.81551953*LN(DIAMETRO)+1.03039019*LN(ALTURATOTAL))"/>
    <n v="8.8200646686277084E-2"/>
  </r>
  <r>
    <n v="1"/>
    <x v="0"/>
    <n v="1"/>
    <n v="1"/>
    <n v="1"/>
    <s v="Araliaceae"/>
    <x v="28"/>
    <s v="Sak chacaj"/>
    <n v="16"/>
    <n v="5.0929581789406511"/>
    <n v="6"/>
    <n v="8"/>
    <m/>
    <s v="C"/>
    <s v="S"/>
    <x v="0"/>
    <n v="1.5707963267948966"/>
    <s v="arbusto"/>
    <m/>
    <m/>
    <m/>
  </r>
  <r>
    <n v="10"/>
    <x v="0"/>
    <n v="1"/>
    <n v="1"/>
    <n v="1"/>
    <s v="Araliaceae"/>
    <x v="28"/>
    <s v="Sak chacaj"/>
    <n v="21.5"/>
    <n v="6.8436625529514998"/>
    <n v="4"/>
    <n v="10"/>
    <m/>
    <s v="C"/>
    <s v="S"/>
    <x v="0"/>
    <n v="1.4612058853906014"/>
    <s v="arbusto"/>
    <m/>
    <m/>
    <m/>
  </r>
  <r>
    <n v="11"/>
    <x v="1"/>
    <m/>
    <n v="3"/>
    <n v="3"/>
    <s v="Malvaceae"/>
    <x v="27"/>
    <s v="Ho'ol"/>
    <m/>
    <m/>
    <m/>
    <n v="6"/>
    <e v="#REF!"/>
    <m/>
    <s v="S"/>
    <x v="0"/>
    <e v="#DIV/0!"/>
    <s v="herbácea"/>
    <m/>
    <m/>
    <m/>
  </r>
  <r>
    <n v="5"/>
    <x v="2"/>
    <n v="1"/>
    <n v="3"/>
    <n v="3"/>
    <s v="Araliaceae"/>
    <x v="28"/>
    <s v="Sak chacaj"/>
    <n v="38.5"/>
    <n v="12.254930618075941"/>
    <n v="9"/>
    <n v="12"/>
    <m/>
    <s v="C"/>
    <s v="S"/>
    <x v="0"/>
    <n v="0.97919771020980573"/>
    <s v="árbol"/>
    <n v="17"/>
    <s v="Vol = Exp(-9.52375084+1.81551953*LN(DIAMETRO)+1.03039019*LN(ALTURATOTAL))"/>
    <n v="8.9477727904145057E-2"/>
  </r>
  <r>
    <n v="4"/>
    <x v="0"/>
    <n v="1"/>
    <n v="3"/>
    <n v="3"/>
    <s v="Araliaceae"/>
    <x v="28"/>
    <s v="Sak chacaj"/>
    <n v="24"/>
    <n v="7.6394372684109761"/>
    <n v="5"/>
    <n v="8"/>
    <m/>
    <s v="C"/>
    <s v="S"/>
    <x v="0"/>
    <n v="1.0471975511965976"/>
    <s v="arbusto"/>
    <m/>
    <m/>
    <m/>
  </r>
  <r>
    <n v="7"/>
    <x v="2"/>
    <n v="1"/>
    <n v="4"/>
    <n v="4"/>
    <s v="Araliaceae"/>
    <x v="28"/>
    <s v="Sak chacaj"/>
    <n v="48"/>
    <n v="15.278874536821952"/>
    <n v="6"/>
    <n v="10"/>
    <m/>
    <s v="C"/>
    <s v="SB"/>
    <x v="0"/>
    <n v="0.6544984694978736"/>
    <s v="árbol"/>
    <n v="17"/>
    <s v="Vol = Exp(-9.52375084+1.81551953*LN(DIAMETRO)+1.03039019*LN(ALTURATOTAL))"/>
    <n v="0.11066715644741094"/>
  </r>
  <r>
    <n v="9"/>
    <x v="2"/>
    <n v="1"/>
    <n v="4"/>
    <n v="4"/>
    <s v="Araliaceae"/>
    <x v="28"/>
    <s v="Sak chacaj"/>
    <n v="37"/>
    <n v="11.777465788800255"/>
    <n v="4"/>
    <n v="9"/>
    <m/>
    <s v="C"/>
    <s v="S"/>
    <x v="0"/>
    <n v="0.76417118600832812"/>
    <s v="árbol"/>
    <n v="17"/>
    <s v="Vol = Exp(-9.52375084+1.81551953*LN(DIAMETRO)+1.03039019*LN(ALTURATOTAL))"/>
    <n v="6.1893527845592933E-2"/>
  </r>
  <r>
    <n v="4"/>
    <x v="0"/>
    <n v="1"/>
    <n v="4"/>
    <n v="4"/>
    <s v="Araliaceae"/>
    <x v="28"/>
    <s v="Sak chacaj"/>
    <n v="25"/>
    <n v="7.9577471545947667"/>
    <n v="6"/>
    <n v="8"/>
    <m/>
    <s v="C"/>
    <s v="S"/>
    <x v="0"/>
    <n v="1.0053096491487339"/>
    <s v="arbusto"/>
    <m/>
    <m/>
    <m/>
  </r>
  <r>
    <n v="5"/>
    <x v="0"/>
    <n v="1"/>
    <n v="3"/>
    <n v="4"/>
    <s v="Araliaceae"/>
    <x v="28"/>
    <s v="Sak chacaj"/>
    <n v="30"/>
    <n v="9.5492965855137211"/>
    <n v="7"/>
    <n v="13"/>
    <m/>
    <s v="C"/>
    <s v="S"/>
    <x v="0"/>
    <n v="1.3613568165555769"/>
    <s v="arbusto"/>
    <m/>
    <m/>
    <m/>
  </r>
  <r>
    <n v="6"/>
    <x v="0"/>
    <n v="1"/>
    <n v="4"/>
    <n v="4"/>
    <s v="Araliaceae"/>
    <x v="28"/>
    <s v="Sak chacaj"/>
    <n v="20"/>
    <n v="6.366197723675814"/>
    <n v="3.5"/>
    <n v="7.5"/>
    <m/>
    <s v="C"/>
    <s v="S"/>
    <x v="0"/>
    <n v="1.1780972450961724"/>
    <s v="arbusto"/>
    <m/>
    <m/>
    <m/>
  </r>
  <r>
    <n v="10"/>
    <x v="0"/>
    <n v="1"/>
    <n v="4"/>
    <n v="4"/>
    <s v="Araliaceae"/>
    <x v="28"/>
    <s v="Sak chacaj"/>
    <n v="31"/>
    <n v="9.8676064716975116"/>
    <n v="7"/>
    <n v="12"/>
    <m/>
    <s v="C"/>
    <s v="S"/>
    <x v="0"/>
    <n v="1.2161003820347587"/>
    <s v="arbusto"/>
    <m/>
    <m/>
    <m/>
  </r>
  <r>
    <n v="11"/>
    <x v="1"/>
    <m/>
    <n v="4"/>
    <n v="4"/>
    <s v="Araliaceae"/>
    <x v="28"/>
    <s v="Sak chacaj"/>
    <m/>
    <m/>
    <m/>
    <n v="1.6"/>
    <e v="#REF!"/>
    <m/>
    <s v="S"/>
    <x v="0"/>
    <e v="#DIV/0!"/>
    <s v="herbácea"/>
    <m/>
    <m/>
    <m/>
  </r>
  <r>
    <n v="11"/>
    <x v="1"/>
    <m/>
    <n v="5"/>
    <n v="5"/>
    <s v="Burseraceae"/>
    <x v="43"/>
    <s v="Chacah"/>
    <m/>
    <m/>
    <m/>
    <n v="1.2"/>
    <e v="#REF!"/>
    <m/>
    <s v="S"/>
    <x v="0"/>
    <e v="#DIV/0!"/>
    <s v="herbácea"/>
    <m/>
    <m/>
    <m/>
  </r>
  <r>
    <n v="4"/>
    <x v="2"/>
    <n v="1"/>
    <n v="5"/>
    <n v="5"/>
    <s v="Araliaceae"/>
    <x v="28"/>
    <s v="Sak chacaj"/>
    <n v="48.5"/>
    <n v="15.438029479913848"/>
    <n v="6"/>
    <n v="11"/>
    <m/>
    <s v="C"/>
    <s v="S"/>
    <x v="0"/>
    <n v="0.71252616885541697"/>
    <s v="árbol"/>
    <n v="17"/>
    <s v="Vol = Exp(-9.52375084+1.81551953*LN(DIAMETRO)+1.03039019*LN(ALTURATOTAL))"/>
    <n v="0.12440565313674383"/>
  </r>
  <r>
    <n v="5"/>
    <x v="2"/>
    <n v="1"/>
    <n v="5"/>
    <n v="5"/>
    <s v="Araliaceae"/>
    <x v="28"/>
    <s v="Sak chacaj"/>
    <n v="37"/>
    <n v="11.777465788800255"/>
    <n v="5.5"/>
    <n v="10"/>
    <m/>
    <s v="C"/>
    <s v="S"/>
    <x v="0"/>
    <n v="0.84907909556480898"/>
    <s v="árbol"/>
    <n v="17"/>
    <s v="Vol = Exp(-9.52375084+1.81551953*LN(DIAMETRO)+1.03039019*LN(ALTURATOTAL))"/>
    <n v="6.8991137736137118E-2"/>
  </r>
  <r>
    <n v="7"/>
    <x v="2"/>
    <n v="1"/>
    <s v="4A"/>
    <n v="5"/>
    <s v="Araliaceae"/>
    <x v="28"/>
    <s v="Sak chacaj"/>
    <n v="39"/>
    <n v="12.414085561167836"/>
    <n v="6.5"/>
    <n v="10"/>
    <m/>
    <s v="C"/>
    <s v="S"/>
    <x v="1"/>
    <n v="0.80553657784353672"/>
    <s v="árbol"/>
    <n v="17"/>
    <s v="Vol = Exp(-9.52375084+1.81551953*LN(DIAMETRO)+1.03039019*LN(ALTURATOTAL))"/>
    <n v="7.5910406574124872E-2"/>
  </r>
  <r>
    <n v="1"/>
    <x v="0"/>
    <n v="1"/>
    <n v="5"/>
    <n v="5"/>
    <s v="Araliaceae"/>
    <x v="28"/>
    <s v="Sak chacaj"/>
    <n v="16"/>
    <n v="5.0929581789406511"/>
    <n v="2"/>
    <n v="4"/>
    <m/>
    <s v="C"/>
    <s v="SD"/>
    <x v="0"/>
    <n v="0.78539816339744828"/>
    <s v="arbusto"/>
    <m/>
    <m/>
    <m/>
  </r>
  <r>
    <n v="4"/>
    <x v="0"/>
    <n v="1"/>
    <n v="5"/>
    <n v="5"/>
    <s v="Araliaceae"/>
    <x v="28"/>
    <s v="Sak chacaj"/>
    <n v="24.5"/>
    <n v="7.7985922115028714"/>
    <n v="6"/>
    <n v="9"/>
    <m/>
    <s v="CB"/>
    <s v="S"/>
    <x v="0"/>
    <n v="1.1540544441758425"/>
    <s v="arbusto"/>
    <m/>
    <m/>
    <m/>
  </r>
  <r>
    <n v="6"/>
    <x v="0"/>
    <n v="1"/>
    <n v="5"/>
    <n v="5"/>
    <s v="Araliaceae"/>
    <x v="28"/>
    <s v="Sak chacaj"/>
    <n v="23.5"/>
    <n v="7.4802823253190809"/>
    <n v="6"/>
    <n v="9"/>
    <m/>
    <s v="C"/>
    <s v="S"/>
    <x v="0"/>
    <n v="1.2031631439280059"/>
    <s v="arbusto"/>
    <m/>
    <m/>
    <m/>
  </r>
  <r>
    <n v="11"/>
    <x v="1"/>
    <m/>
    <n v="6"/>
    <n v="6"/>
    <s v="Araliaceae"/>
    <x v="28"/>
    <s v="Sak chacaj"/>
    <m/>
    <m/>
    <m/>
    <n v="1.5"/>
    <e v="#REF!"/>
    <m/>
    <s v="S"/>
    <x v="0"/>
    <e v="#DIV/0!"/>
    <s v="herbácea"/>
    <m/>
    <m/>
    <m/>
  </r>
  <r>
    <n v="8"/>
    <x v="0"/>
    <n v="1"/>
    <n v="6"/>
    <n v="6"/>
    <s v="Euphorbiaceae"/>
    <x v="61"/>
    <s v="Sak cheechem "/>
    <n v="17.5"/>
    <n v="5.5704230082163368"/>
    <n v="1.6"/>
    <n v="7"/>
    <m/>
    <s v="C"/>
    <s v="S"/>
    <x v="0"/>
    <n v="1.2566370614359172"/>
    <s v="arbusto"/>
    <m/>
    <m/>
    <m/>
  </r>
  <r>
    <n v="8"/>
    <x v="0"/>
    <n v="1"/>
    <n v="8"/>
    <n v="8"/>
    <s v="Euphorbiaceae"/>
    <x v="61"/>
    <s v="Sak cheechem "/>
    <n v="29"/>
    <n v="9.2309866993299305"/>
    <n v="6"/>
    <n v="10"/>
    <m/>
    <s v="C"/>
    <s v="S"/>
    <x v="0"/>
    <n v="1.0833078115826873"/>
    <s v="arbusto"/>
    <m/>
    <m/>
    <m/>
  </r>
  <r>
    <n v="3"/>
    <x v="0"/>
    <n v="2"/>
    <n v="10"/>
    <n v="10"/>
    <s v="Sapindaceae"/>
    <x v="62"/>
    <s v="Sak pixoy"/>
    <n v="17"/>
    <n v="5.4112680651244416"/>
    <n v="5"/>
    <n v="8"/>
    <m/>
    <s v="C"/>
    <s v="S"/>
    <x v="0"/>
    <n v="1.478396542865785"/>
    <s v="arbusto"/>
    <m/>
    <m/>
    <m/>
  </r>
  <r>
    <n v="7"/>
    <x v="0"/>
    <n v="3"/>
    <n v="4"/>
    <n v="4"/>
    <s v="Sapindaceae"/>
    <x v="62"/>
    <s v="Sak pixoy"/>
    <n v="16"/>
    <n v="5.0929581789406511"/>
    <n v="5.5"/>
    <n v="9"/>
    <m/>
    <s v="C"/>
    <s v="S"/>
    <x v="0"/>
    <n v="1.7671458676442586"/>
    <s v="arbusto"/>
    <m/>
    <m/>
    <m/>
  </r>
  <r>
    <n v="7"/>
    <x v="0"/>
    <n v="3"/>
    <n v="7"/>
    <n v="7"/>
    <s v="Sapindaceae"/>
    <x v="62"/>
    <s v="Sak pixoy"/>
    <n v="18.5"/>
    <n v="5.8887328944001274"/>
    <n v="3"/>
    <n v="9"/>
    <m/>
    <s v="C"/>
    <s v="S"/>
    <x v="0"/>
    <n v="1.5283423720166562"/>
    <s v="arbusto"/>
    <m/>
    <m/>
    <m/>
  </r>
  <r>
    <n v="11"/>
    <x v="1"/>
    <m/>
    <n v="7"/>
    <n v="7"/>
    <s v="Polygonaceae"/>
    <x v="13"/>
    <s v="Boob"/>
    <m/>
    <m/>
    <m/>
    <n v="0.9"/>
    <e v="#REF!"/>
    <m/>
    <s v="S"/>
    <x v="0"/>
    <e v="#DIV/0!"/>
    <s v="herbácea"/>
    <m/>
    <m/>
    <m/>
  </r>
  <r>
    <n v="11"/>
    <x v="1"/>
    <m/>
    <n v="8"/>
    <n v="8"/>
    <s v="Ebenaceae"/>
    <x v="51"/>
    <s v="Diospyros"/>
    <m/>
    <m/>
    <m/>
    <n v="1.2"/>
    <e v="#REF!"/>
    <m/>
    <s v="S"/>
    <x v="0"/>
    <e v="#DIV/0!"/>
    <s v="herbácea"/>
    <m/>
    <m/>
    <m/>
  </r>
  <r>
    <n v="11"/>
    <x v="1"/>
    <m/>
    <n v="9"/>
    <n v="9"/>
    <s v="Lauraceae"/>
    <x v="0"/>
    <s v="Aguacatillo"/>
    <m/>
    <m/>
    <m/>
    <n v="0.7"/>
    <e v="#REF!"/>
    <m/>
    <s v="S"/>
    <x v="0"/>
    <e v="#DIV/0!"/>
    <s v="herbácea"/>
    <m/>
    <m/>
    <m/>
  </r>
  <r>
    <n v="11"/>
    <x v="1"/>
    <m/>
    <n v="10"/>
    <n v="10"/>
    <s v="Ebenaceae"/>
    <x v="51"/>
    <s v="Diospyros"/>
    <m/>
    <m/>
    <m/>
    <n v="0.8"/>
    <e v="#REF!"/>
    <m/>
    <s v="S"/>
    <x v="0"/>
    <e v="#DIV/0!"/>
    <s v="herbácea"/>
    <m/>
    <m/>
    <m/>
  </r>
  <r>
    <n v="11"/>
    <x v="1"/>
    <m/>
    <n v="11"/>
    <n v="11"/>
    <s v="Ebenaceae"/>
    <x v="51"/>
    <s v="Diospyros"/>
    <m/>
    <m/>
    <m/>
    <n v="0.9"/>
    <e v="#REF!"/>
    <m/>
    <s v="S"/>
    <x v="0"/>
    <e v="#DIV/0!"/>
    <s v="herbácea"/>
    <m/>
    <m/>
    <m/>
  </r>
  <r>
    <n v="2"/>
    <x v="0"/>
    <n v="3"/>
    <n v="11"/>
    <n v="11"/>
    <s v="Sapindaceae"/>
    <x v="33"/>
    <s v="Sak poom"/>
    <n v="19"/>
    <n v="6.0478878374920226"/>
    <n v="1.3"/>
    <n v="3.5"/>
    <m/>
    <s v="C"/>
    <s v="S"/>
    <x v="0"/>
    <n v="0.57871443618759355"/>
    <s v="arbusto"/>
    <m/>
    <m/>
    <m/>
  </r>
  <r>
    <n v="11"/>
    <x v="1"/>
    <m/>
    <n v="12"/>
    <n v="12"/>
    <s v="Ebenaceae"/>
    <x v="51"/>
    <s v="Diospyros"/>
    <m/>
    <m/>
    <m/>
    <n v="4"/>
    <e v="#REF!"/>
    <m/>
    <s v="S"/>
    <x v="0"/>
    <e v="#DIV/0!"/>
    <s v="herbácea"/>
    <m/>
    <m/>
    <m/>
  </r>
  <r>
    <n v="11"/>
    <x v="1"/>
    <m/>
    <n v="13"/>
    <n v="13"/>
    <s v="Rubiaceae"/>
    <x v="10"/>
    <s v="Cruceta"/>
    <m/>
    <m/>
    <m/>
    <n v="1.2"/>
    <e v="#REF!"/>
    <m/>
    <s v="S"/>
    <x v="0"/>
    <e v="#DIV/0!"/>
    <s v="herbácea"/>
    <m/>
    <m/>
    <m/>
  </r>
  <r>
    <n v="11"/>
    <x v="1"/>
    <m/>
    <n v="14"/>
    <n v="14"/>
    <s v="Ebenaceae"/>
    <x v="51"/>
    <s v="Diospyros"/>
    <m/>
    <m/>
    <m/>
    <n v="4"/>
    <e v="#REF!"/>
    <m/>
    <s v="S"/>
    <x v="0"/>
    <e v="#DIV/0!"/>
    <s v="herbácea"/>
    <m/>
    <m/>
    <m/>
  </r>
  <r>
    <n v="11"/>
    <x v="1"/>
    <m/>
    <n v="15"/>
    <n v="15"/>
    <s v="Vitaceae "/>
    <x v="63"/>
    <s v="Bejuco de agua"/>
    <m/>
    <m/>
    <m/>
    <n v="12"/>
    <e v="#REF!"/>
    <m/>
    <s v="S"/>
    <x v="0"/>
    <e v="#DIV/0!"/>
    <s v="herbácea"/>
    <m/>
    <m/>
    <m/>
  </r>
  <r>
    <n v="1"/>
    <x v="2"/>
    <n v="2"/>
    <n v="14"/>
    <n v="17"/>
    <s v="Annonaceae"/>
    <x v="64"/>
    <s v="Saramuyo"/>
    <n v="34"/>
    <n v="10.822536130248883"/>
    <n v="3"/>
    <n v="10"/>
    <m/>
    <s v="C"/>
    <s v="S"/>
    <x v="0"/>
    <n v="0.92399783929111567"/>
    <s v="árbol"/>
    <n v="5"/>
    <s v="Vol = Exp(-9.5208709+1.85580925*LN(DIAMETRO)+0.96207943*LN(ALTURATOTAL))"/>
    <n v="5.581297126300383E-2"/>
  </r>
  <r>
    <n v="4"/>
    <x v="2"/>
    <n v="1"/>
    <n v="10"/>
    <n v="10"/>
    <s v="Capparaceae"/>
    <x v="65"/>
    <s v="Silil"/>
    <n v="36.5"/>
    <n v="11.618310845708359"/>
    <n v="7"/>
    <n v="13"/>
    <m/>
    <s v="C"/>
    <s v="S"/>
    <x v="0"/>
    <n v="1.1189234108675976"/>
    <s v="árbol"/>
    <n v="17"/>
    <s v="Vol = Exp(-9.52375084+1.81551953*LN(DIAMETRO)+1.03039019*LN(ALTURATOTAL))"/>
    <n v="8.8200646686277084E-2"/>
  </r>
  <r>
    <n v="10"/>
    <x v="0"/>
    <n v="3"/>
    <n v="29"/>
    <n v="29"/>
    <s v="Capparaceae"/>
    <x v="65"/>
    <s v="Silil"/>
    <n v="17"/>
    <n v="5.4112680651244416"/>
    <n v="8"/>
    <n v="10"/>
    <m/>
    <s v="C"/>
    <s v="S"/>
    <x v="0"/>
    <n v="1.8479956785822313"/>
    <s v="arbusto"/>
    <m/>
    <m/>
    <m/>
  </r>
  <r>
    <n v="11"/>
    <x v="1"/>
    <m/>
    <n v="16"/>
    <n v="16"/>
    <s v="Leguminosae"/>
    <x v="31"/>
    <s v="Kanasin"/>
    <m/>
    <m/>
    <m/>
    <n v="7"/>
    <e v="#REF!"/>
    <m/>
    <s v="S"/>
    <x v="0"/>
    <e v="#DIV/0!"/>
    <s v="herbácea"/>
    <m/>
    <m/>
    <m/>
  </r>
  <r>
    <n v="11"/>
    <x v="1"/>
    <m/>
    <n v="17"/>
    <n v="17"/>
    <s v="Leguminosae"/>
    <x v="31"/>
    <s v="Kanasin"/>
    <m/>
    <m/>
    <m/>
    <n v="1.7"/>
    <e v="#REF!"/>
    <m/>
    <s v="S"/>
    <x v="0"/>
    <e v="#DIV/0!"/>
    <s v="herbácea"/>
    <m/>
    <m/>
    <m/>
  </r>
  <r>
    <n v="11"/>
    <x v="1"/>
    <m/>
    <n v="18"/>
    <n v="18"/>
    <s v="Rubiaceae"/>
    <x v="10"/>
    <s v="Cruceta"/>
    <m/>
    <m/>
    <m/>
    <n v="2"/>
    <e v="#REF!"/>
    <m/>
    <s v="S"/>
    <x v="0"/>
    <e v="#DIV/0!"/>
    <s v="herbácea"/>
    <m/>
    <m/>
    <m/>
  </r>
  <r>
    <n v="2"/>
    <x v="0"/>
    <n v="1"/>
    <n v="7"/>
    <n v="7"/>
    <s v="Nyctaginaceae"/>
    <x v="66"/>
    <s v="Tadzi"/>
    <n v="16"/>
    <n v="5.0929581789406511"/>
    <n v="4"/>
    <n v="8"/>
    <m/>
    <s v="C"/>
    <s v="S"/>
    <x v="0"/>
    <n v="1.5707963267948966"/>
    <s v="arbusto"/>
    <m/>
    <m/>
    <m/>
  </r>
  <r>
    <n v="11"/>
    <x v="1"/>
    <m/>
    <n v="19"/>
    <n v="19"/>
    <s v="Rubiaceae"/>
    <x v="10"/>
    <s v="Cruceta"/>
    <m/>
    <m/>
    <m/>
    <n v="2"/>
    <e v="#REF!"/>
    <m/>
    <s v="S"/>
    <x v="0"/>
    <e v="#DIV/0!"/>
    <s v="herbácea"/>
    <m/>
    <m/>
    <m/>
  </r>
  <r>
    <n v="3"/>
    <x v="2"/>
    <n v="2"/>
    <n v="19"/>
    <n v="19"/>
    <s v="Salicaceae"/>
    <x v="39"/>
    <s v="Tamay"/>
    <n v="34.5"/>
    <n v="10.981691073340778"/>
    <n v="8"/>
    <n v="13"/>
    <m/>
    <s v="C"/>
    <s v="S"/>
    <x v="0"/>
    <n v="1.1837885361352845"/>
    <s v="árbol"/>
    <n v="17"/>
    <s v="Vol = Exp(-9.52375084+1.81551953*LN(DIAMETRO)+1.03039019*LN(ALTURATOTAL))"/>
    <n v="7.9623114841205614E-2"/>
  </r>
  <r>
    <n v="8"/>
    <x v="0"/>
    <n v="4"/>
    <n v="24"/>
    <n v="24"/>
    <s v="Salicaceae"/>
    <x v="39"/>
    <s v="Tamay"/>
    <n v="18"/>
    <n v="5.7295779513082321"/>
    <n v="3"/>
    <n v="7"/>
    <m/>
    <s v="C"/>
    <s v="S"/>
    <x v="0"/>
    <n v="1.2217304763960306"/>
    <s v="arbusto"/>
    <m/>
    <m/>
    <m/>
  </r>
  <r>
    <n v="8"/>
    <x v="0"/>
    <n v="4"/>
    <n v="25"/>
    <n v="25"/>
    <s v="Salicaceae"/>
    <x v="39"/>
    <s v="Tamay"/>
    <n v="16"/>
    <n v="5.0929581789406511"/>
    <n v="3"/>
    <n v="7"/>
    <m/>
    <s v="C"/>
    <s v="S"/>
    <x v="0"/>
    <n v="1.3744467859455345"/>
    <s v="arbusto"/>
    <m/>
    <m/>
    <m/>
  </r>
  <r>
    <n v="7"/>
    <x v="2"/>
    <n v="4"/>
    <n v="39"/>
    <n v="42"/>
    <s v="Salicaceae"/>
    <x v="39"/>
    <s v="Tamay"/>
    <n v="32"/>
    <n v="10.185916357881302"/>
    <n v="8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8"/>
    <x v="0"/>
    <n v="1"/>
    <n v="2"/>
    <n v="2"/>
    <s v="Rubiaceae"/>
    <x v="15"/>
    <s v="Tasta'ab"/>
    <n v="23"/>
    <n v="7.3211273822271856"/>
    <n v="7"/>
    <n v="10"/>
    <m/>
    <s v="C"/>
    <s v="S"/>
    <x v="0"/>
    <n v="1.3659098493868667"/>
    <s v="arbusto"/>
    <m/>
    <m/>
    <m/>
  </r>
  <r>
    <n v="11"/>
    <x v="1"/>
    <m/>
    <n v="20"/>
    <n v="20"/>
    <s v="Rubiaceae"/>
    <x v="10"/>
    <s v="Cruceta"/>
    <m/>
    <m/>
    <m/>
    <n v="2"/>
    <e v="#REF!"/>
    <m/>
    <s v="S"/>
    <x v="0"/>
    <e v="#DIV/0!"/>
    <s v="herbácea"/>
    <m/>
    <m/>
    <m/>
  </r>
  <r>
    <n v="11"/>
    <x v="1"/>
    <m/>
    <n v="21"/>
    <n v="21"/>
    <s v="Rubiaceae"/>
    <x v="10"/>
    <s v="Cruceta"/>
    <m/>
    <m/>
    <m/>
    <n v="2"/>
    <e v="#REF!"/>
    <m/>
    <s v="S"/>
    <x v="0"/>
    <e v="#DIV/0!"/>
    <s v="herbácea"/>
    <m/>
    <m/>
    <m/>
  </r>
  <r>
    <n v="11"/>
    <x v="1"/>
    <m/>
    <n v="22"/>
    <n v="22"/>
    <s v="Rubiaceae"/>
    <x v="10"/>
    <s v="Cruceta"/>
    <m/>
    <m/>
    <m/>
    <n v="2"/>
    <e v="#REF!"/>
    <m/>
    <s v="S"/>
    <x v="0"/>
    <e v="#DIV/0!"/>
    <s v="herbácea"/>
    <m/>
    <m/>
    <m/>
  </r>
  <r>
    <n v="11"/>
    <x v="1"/>
    <m/>
    <n v="23"/>
    <n v="23"/>
    <s v="Rubiaceae"/>
    <x v="10"/>
    <s v="Cruceta"/>
    <m/>
    <m/>
    <m/>
    <n v="2"/>
    <e v="#REF!"/>
    <m/>
    <s v="S"/>
    <x v="0"/>
    <e v="#DIV/0!"/>
    <s v="herbácea"/>
    <m/>
    <m/>
    <m/>
  </r>
  <r>
    <n v="3"/>
    <x v="0"/>
    <n v="1"/>
    <n v="5"/>
    <n v="5"/>
    <s v="Rubiaceae"/>
    <x v="15"/>
    <s v="Tasta'ab"/>
    <n v="21.5"/>
    <n v="6.8436625529514998"/>
    <n v="5"/>
    <n v="8"/>
    <m/>
    <s v="C"/>
    <s v="S"/>
    <x v="0"/>
    <n v="1.1689647083124812"/>
    <s v="arbusto"/>
    <m/>
    <m/>
    <m/>
  </r>
  <r>
    <n v="3"/>
    <x v="0"/>
    <n v="2"/>
    <n v="7"/>
    <n v="7"/>
    <s v="Rubiaceae"/>
    <x v="15"/>
    <s v="Tasta'ab"/>
    <n v="17"/>
    <n v="5.4112680651244416"/>
    <n v="4"/>
    <n v="6"/>
    <m/>
    <s v="C"/>
    <s v="S"/>
    <x v="0"/>
    <n v="1.1087974071493387"/>
    <s v="arbusto"/>
    <m/>
    <m/>
    <m/>
  </r>
  <r>
    <n v="4"/>
    <x v="0"/>
    <n v="1"/>
    <n v="6"/>
    <n v="7"/>
    <s v="Rubiaceae"/>
    <x v="15"/>
    <s v="Tasta'ab"/>
    <n v="27"/>
    <n v="8.5943669269623477"/>
    <n v="6"/>
    <n v="9"/>
    <m/>
    <s v="C"/>
    <s v="S"/>
    <x v="0"/>
    <n v="1.0471975511965979"/>
    <s v="arbusto"/>
    <m/>
    <m/>
    <m/>
  </r>
  <r>
    <n v="4"/>
    <x v="2"/>
    <n v="1"/>
    <n v="8"/>
    <n v="8"/>
    <s v="Rubiaceae"/>
    <x v="15"/>
    <s v="Tasta'ab"/>
    <n v="31.5"/>
    <n v="10.026761414789407"/>
    <n v="6"/>
    <n v="10"/>
    <m/>
    <s v="C"/>
    <s v="S"/>
    <x v="0"/>
    <n v="0.99733100113961681"/>
    <s v="árbol"/>
    <n v="17"/>
    <s v="Vol = Exp(-9.52375084+1.81551953*LN(DIAMETRO)+1.03039019*LN(ALTURATOTAL))"/>
    <n v="5.1511538639336003E-2"/>
  </r>
  <r>
    <n v="3"/>
    <x v="0"/>
    <n v="2"/>
    <n v="9"/>
    <n v="9"/>
    <s v="Rubiaceae"/>
    <x v="15"/>
    <s v="Tasta'ab"/>
    <n v="16.5"/>
    <n v="5.2521131220325463"/>
    <n v="3.5"/>
    <n v="7"/>
    <m/>
    <s v="C"/>
    <s v="S"/>
    <x v="0"/>
    <n v="1.3327968833411243"/>
    <s v="arbusto"/>
    <m/>
    <m/>
    <m/>
  </r>
  <r>
    <n v="4"/>
    <x v="0"/>
    <n v="2"/>
    <n v="9"/>
    <n v="10"/>
    <s v="Rubiaceae"/>
    <x v="15"/>
    <s v="Tasta'ab"/>
    <n v="26.5"/>
    <n v="8.4352119838704525"/>
    <n v="5"/>
    <n v="9"/>
    <m/>
    <s v="C"/>
    <s v="S"/>
    <x v="0"/>
    <n v="1.0669559955587977"/>
    <s v="arbusto"/>
    <m/>
    <m/>
    <m/>
  </r>
  <r>
    <n v="11"/>
    <x v="1"/>
    <m/>
    <n v="24"/>
    <n v="24"/>
    <s v="Sapindaceae"/>
    <x v="24"/>
    <s v="Bejuco alado"/>
    <m/>
    <m/>
    <m/>
    <n v="8"/>
    <e v="#REF!"/>
    <m/>
    <s v="S"/>
    <x v="0"/>
    <e v="#DIV/0!"/>
    <s v="herbácea"/>
    <m/>
    <m/>
    <m/>
  </r>
  <r>
    <n v="8"/>
    <x v="0"/>
    <n v="2"/>
    <n v="12"/>
    <n v="12"/>
    <s v="Rubiaceae"/>
    <x v="15"/>
    <s v="Tasta'ab"/>
    <n v="17"/>
    <n v="5.4112680651244416"/>
    <n v="3.5"/>
    <n v="6"/>
    <m/>
    <s v="C"/>
    <s v="S"/>
    <x v="0"/>
    <n v="1.1087974071493387"/>
    <s v="arbusto"/>
    <m/>
    <m/>
    <m/>
  </r>
  <r>
    <n v="4"/>
    <x v="2"/>
    <n v="2"/>
    <n v="17"/>
    <n v="17"/>
    <s v="Rubiaceae"/>
    <x v="15"/>
    <s v="Tasta'ab"/>
    <n v="32"/>
    <n v="10.185916357881302"/>
    <n v="6"/>
    <n v="13"/>
    <m/>
    <s v="C"/>
    <s v="S"/>
    <x v="0"/>
    <n v="1.2762720155208533"/>
    <s v="árbol"/>
    <n v="17"/>
    <s v="Vol = Exp(-9.52375084+1.81551953*LN(DIAMETRO)+1.03039019*LN(ALTURATOTAL))"/>
    <n v="6.9458874789219013E-2"/>
  </r>
  <r>
    <n v="5"/>
    <x v="0"/>
    <n v="2"/>
    <n v="16"/>
    <n v="17"/>
    <s v="Rubiaceae"/>
    <x v="15"/>
    <s v="Tasta'ab"/>
    <n v="21"/>
    <n v="6.6845076098596046"/>
    <n v="3"/>
    <n v="9"/>
    <m/>
    <s v="C"/>
    <s v="S"/>
    <x v="0"/>
    <n v="1.3463968515384828"/>
    <s v="arbusto"/>
    <m/>
    <m/>
    <m/>
  </r>
  <r>
    <n v="5"/>
    <x v="0"/>
    <n v="3"/>
    <n v="17"/>
    <n v="18"/>
    <s v="Rubiaceae"/>
    <x v="15"/>
    <s v="Tasta'ab"/>
    <n v="20"/>
    <n v="6.366197723675814"/>
    <n v="5"/>
    <n v="9"/>
    <m/>
    <s v="C"/>
    <s v="S"/>
    <x v="0"/>
    <n v="1.4137166941154069"/>
    <s v="arbusto"/>
    <m/>
    <m/>
    <m/>
  </r>
  <r>
    <n v="11"/>
    <x v="1"/>
    <m/>
    <n v="25"/>
    <n v="25"/>
    <s v="Sapotaceae"/>
    <x v="36"/>
    <s v="Caimito"/>
    <m/>
    <m/>
    <m/>
    <n v="1"/>
    <e v="#REF!"/>
    <m/>
    <s v="S"/>
    <x v="0"/>
    <e v="#DIV/0!"/>
    <s v="herbácea"/>
    <m/>
    <m/>
    <m/>
  </r>
  <r>
    <n v="5"/>
    <x v="0"/>
    <n v="3"/>
    <n v="19"/>
    <n v="20"/>
    <s v="Rubiaceae"/>
    <x v="15"/>
    <s v="Tasta'ab"/>
    <n v="16.5"/>
    <n v="5.2521131220325463"/>
    <n v="5"/>
    <n v="9"/>
    <m/>
    <s v="C"/>
    <s v="S"/>
    <x v="0"/>
    <n v="1.7135959928671598"/>
    <s v="arbusto"/>
    <m/>
    <m/>
    <m/>
  </r>
  <r>
    <n v="6"/>
    <x v="0"/>
    <n v="3"/>
    <n v="18"/>
    <n v="21"/>
    <s v="Rubiaceae"/>
    <x v="15"/>
    <s v="Tasta'ab"/>
    <n v="20"/>
    <n v="6.366197723675814"/>
    <n v="2.7"/>
    <n v="7"/>
    <m/>
    <s v="C"/>
    <s v="S"/>
    <x v="0"/>
    <n v="1.0995574287564276"/>
    <s v="arbusto"/>
    <m/>
    <m/>
    <m/>
  </r>
  <r>
    <n v="10"/>
    <x v="0"/>
    <n v="2"/>
    <n v="23"/>
    <n v="23"/>
    <s v="Rubiaceae"/>
    <x v="15"/>
    <s v="Tasta'ab"/>
    <n v="23"/>
    <n v="7.3211273822271856"/>
    <n v="5"/>
    <n v="9"/>
    <m/>
    <s v="C"/>
    <s v="S"/>
    <x v="0"/>
    <n v="1.2293188644481798"/>
    <s v="arbusto"/>
    <m/>
    <m/>
    <m/>
  </r>
  <r>
    <n v="10"/>
    <x v="0"/>
    <n v="3"/>
    <n v="27"/>
    <n v="27"/>
    <s v="Rubiaceae"/>
    <x v="15"/>
    <s v="Tasta'ab"/>
    <n v="18"/>
    <n v="5.7295779513082321"/>
    <n v="4"/>
    <n v="8"/>
    <m/>
    <s v="C"/>
    <s v="S"/>
    <x v="0"/>
    <n v="1.3962634015954636"/>
    <s v="arbusto"/>
    <m/>
    <m/>
    <m/>
  </r>
  <r>
    <n v="4"/>
    <x v="2"/>
    <n v="2"/>
    <n v="29"/>
    <n v="30"/>
    <s v="Rubiaceae"/>
    <x v="15"/>
    <s v="Tasta'ab"/>
    <n v="32"/>
    <n v="10.185916357881302"/>
    <n v="7.5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10"/>
    <x v="0"/>
    <n v="3"/>
    <n v="32"/>
    <n v="32"/>
    <s v="Rubiaceae"/>
    <x v="15"/>
    <s v="Tasta'ab"/>
    <n v="19.5"/>
    <n v="6.2070427805839179"/>
    <n v="3.5"/>
    <n v="8"/>
    <m/>
    <s v="C"/>
    <s v="S"/>
    <x v="0"/>
    <n v="1.2888585245496589"/>
    <s v="arbusto"/>
    <m/>
    <m/>
    <m/>
  </r>
  <r>
    <n v="11"/>
    <x v="1"/>
    <m/>
    <n v="26"/>
    <n v="26"/>
    <s v="Vitaceae "/>
    <x v="32"/>
    <s v="Bejuco Cissus"/>
    <m/>
    <m/>
    <m/>
    <n v="0.6"/>
    <e v="#REF!"/>
    <m/>
    <s v="S"/>
    <x v="0"/>
    <e v="#DIV/0!"/>
    <s v="herbácea"/>
    <m/>
    <m/>
    <m/>
  </r>
  <r>
    <n v="11"/>
    <x v="1"/>
    <m/>
    <n v="27"/>
    <n v="27"/>
    <s v="Vitaceae "/>
    <x v="32"/>
    <s v="Bejuco Cissus"/>
    <m/>
    <m/>
    <m/>
    <n v="0.6"/>
    <e v="#REF!"/>
    <m/>
    <s v="S"/>
    <x v="0"/>
    <e v="#DIV/0!"/>
    <s v="herbácea"/>
    <m/>
    <m/>
    <m/>
  </r>
  <r>
    <n v="11"/>
    <x v="1"/>
    <m/>
    <n v="28"/>
    <n v="28"/>
    <s v="Vitaceae "/>
    <x v="32"/>
    <s v="Bejuco Cissus"/>
    <m/>
    <m/>
    <m/>
    <n v="0.6"/>
    <e v="#REF!"/>
    <m/>
    <s v="S"/>
    <x v="0"/>
    <e v="#DIV/0!"/>
    <s v="herbácea"/>
    <m/>
    <m/>
    <m/>
  </r>
  <r>
    <n v="12"/>
    <x v="1"/>
    <m/>
    <n v="1"/>
    <n v="1"/>
    <s v="Lauraceae"/>
    <x v="0"/>
    <s v="Aguacatillo"/>
    <m/>
    <m/>
    <m/>
    <n v="8"/>
    <e v="#REF!"/>
    <m/>
    <s v="S"/>
    <x v="0"/>
    <e v="#DIV/0!"/>
    <s v="herbácea"/>
    <m/>
    <m/>
    <m/>
  </r>
  <r>
    <n v="12"/>
    <x v="1"/>
    <m/>
    <n v="2"/>
    <n v="2"/>
    <s v="Lauraceae"/>
    <x v="0"/>
    <s v="Aguacatillo"/>
    <m/>
    <m/>
    <m/>
    <n v="7"/>
    <e v="#REF!"/>
    <m/>
    <s v="S"/>
    <x v="0"/>
    <e v="#DIV/0!"/>
    <s v="herbácea"/>
    <m/>
    <m/>
    <m/>
  </r>
  <r>
    <n v="12"/>
    <x v="1"/>
    <m/>
    <n v="3"/>
    <n v="3"/>
    <s v="Lauraceae"/>
    <x v="0"/>
    <s v="Aguacatillo"/>
    <m/>
    <m/>
    <m/>
    <n v="2.5"/>
    <e v="#REF!"/>
    <m/>
    <s v="S"/>
    <x v="0"/>
    <e v="#DIV/0!"/>
    <s v="herbácea"/>
    <m/>
    <m/>
    <m/>
  </r>
  <r>
    <n v="12"/>
    <x v="1"/>
    <m/>
    <n v="4"/>
    <n v="4"/>
    <s v="Polygonaceae"/>
    <x v="13"/>
    <s v="Boob"/>
    <m/>
    <m/>
    <m/>
    <n v="5.5"/>
    <e v="#REF!"/>
    <m/>
    <s v="S"/>
    <x v="0"/>
    <e v="#DIV/0!"/>
    <s v="herbácea"/>
    <m/>
    <m/>
    <m/>
  </r>
  <r>
    <n v="8"/>
    <x v="2"/>
    <n v="3"/>
    <n v="42"/>
    <n v="47"/>
    <s v="Leguminosae"/>
    <x v="67"/>
    <s v="Tsu'uts'uk"/>
    <n v="32"/>
    <n v="10.185916357881302"/>
    <n v="8"/>
    <n v="12"/>
    <m/>
    <s v="C"/>
    <s v="S"/>
    <x v="0"/>
    <n v="1.1780972450961724"/>
    <s v="árbol"/>
    <n v="17"/>
    <s v="Vol = Exp(-9.52375084+1.81551953*LN(DIAMETRO)+1.03039019*LN(ALTURATOTAL))"/>
    <n v="6.3960111229385122E-2"/>
  </r>
  <r>
    <n v="8"/>
    <x v="2"/>
    <n v="3"/>
    <n v="43"/>
    <n v="48"/>
    <s v="Leguminosae"/>
    <x v="67"/>
    <s v="Tsu'uts'uk"/>
    <n v="31.5"/>
    <n v="10.026761414789407"/>
    <n v="5"/>
    <n v="12"/>
    <m/>
    <s v="C"/>
    <s v="S"/>
    <x v="0"/>
    <n v="1.1967972013675401"/>
    <s v="árbol"/>
    <n v="17"/>
    <s v="Vol = Exp(-9.52375084+1.81551953*LN(DIAMETRO)+1.03039019*LN(ALTURATOTAL))"/>
    <n v="6.2157294315506713E-2"/>
  </r>
  <r>
    <n v="12"/>
    <x v="1"/>
    <m/>
    <n v="5"/>
    <n v="5"/>
    <s v="Polygonaceae"/>
    <x v="13"/>
    <s v="Boob"/>
    <m/>
    <m/>
    <m/>
    <n v="4.5"/>
    <e v="#REF!"/>
    <m/>
    <s v="S"/>
    <x v="0"/>
    <e v="#DIV/0!"/>
    <s v="herbácea"/>
    <m/>
    <m/>
    <m/>
  </r>
  <r>
    <n v="6"/>
    <x v="2"/>
    <n v="1"/>
    <n v="1"/>
    <n v="1"/>
    <s v="Leguminosae"/>
    <x v="68"/>
    <s v="Tzalam"/>
    <n v="48.5"/>
    <n v="15.438029479913848"/>
    <n v="2.6"/>
    <n v="12"/>
    <m/>
    <s v="C"/>
    <s v="S"/>
    <x v="0"/>
    <n v="0.77730127511500036"/>
    <s v="árbol"/>
    <n v="3"/>
    <s v="Vol = Exp(-10.07810188+1.92989964*LN(DIAMETRO)+1.07701930*LN(ALTURATOTAL))."/>
    <n v="0.12003226734670126"/>
  </r>
  <r>
    <n v="7"/>
    <x v="2"/>
    <n v="1"/>
    <n v="1"/>
    <n v="1"/>
    <s v="Leguminosae"/>
    <x v="68"/>
    <s v="Tzalam"/>
    <n v="96"/>
    <n v="30.557749073643905"/>
    <n v="3"/>
    <n v="14"/>
    <m/>
    <s v="C"/>
    <s v="S"/>
    <x v="0"/>
    <n v="0.45814892864851153"/>
    <s v="árbol"/>
    <n v="3"/>
    <s v="Vol = Exp(-10.07810188+1.92989964*LN(DIAMETRO)+1.07701930*LN(ALTURATOTAL))."/>
    <n v="0.52926497995563737"/>
  </r>
  <r>
    <n v="10"/>
    <x v="2"/>
    <n v="1"/>
    <n v="1"/>
    <n v="1"/>
    <s v="Leguminosae"/>
    <x v="68"/>
    <s v="Tzalam"/>
    <n v="35"/>
    <n v="11.140846016432674"/>
    <n v="3"/>
    <n v="10"/>
    <m/>
    <s v="C"/>
    <s v="S"/>
    <x v="0"/>
    <n v="0.89759790102565518"/>
    <s v="árbol"/>
    <n v="3"/>
    <s v="Vol = Exp(-10.07810188+1.92989964*LN(DIAMETRO)+1.07701930*LN(ALTURATOTAL))."/>
    <n v="5.2553575416116598E-2"/>
  </r>
  <r>
    <n v="12"/>
    <x v="2"/>
    <n v="1"/>
    <n v="1"/>
    <n v="1"/>
    <s v="Leguminosae"/>
    <x v="68"/>
    <s v="Tzalam"/>
    <n v="42"/>
    <n v="13.369015219719209"/>
    <n v="2.2999999999999998"/>
    <n v="9"/>
    <m/>
    <s v="C"/>
    <s v="S"/>
    <x v="0"/>
    <n v="0.67319842576924138"/>
    <s v="árbol"/>
    <n v="3"/>
    <s v="Vol = Exp(-10.07810188+1.92989964*LN(DIAMETRO)+1.07701930*LN(ALTURATOTAL))."/>
    <n v="6.6701012410433178E-2"/>
  </r>
  <r>
    <n v="12"/>
    <x v="0"/>
    <n v="1"/>
    <n v="1"/>
    <n v="1"/>
    <s v="Leguminosae"/>
    <x v="68"/>
    <s v="Tzalam"/>
    <n v="20.5"/>
    <n v="6.5253526667677093"/>
    <n v="2.7"/>
    <n v="9"/>
    <m/>
    <s v="CB"/>
    <s v="S"/>
    <x v="0"/>
    <n v="1.3792357991369824"/>
    <s v="arbusto"/>
    <m/>
    <m/>
    <m/>
  </r>
  <r>
    <n v="8"/>
    <x v="2"/>
    <n v="1"/>
    <n v="2"/>
    <n v="2"/>
    <s v="Leguminosae"/>
    <x v="68"/>
    <s v="Tzalam"/>
    <n v="57"/>
    <n v="18.143663512476071"/>
    <n v="8"/>
    <n v="13"/>
    <m/>
    <s v="C"/>
    <s v="S"/>
    <x v="0"/>
    <n v="0.71650358766083"/>
    <s v="árbol"/>
    <n v="3"/>
    <s v="Vol = Exp(-10.07810188+1.92989964*LN(DIAMETRO)+1.07701930*LN(ALTURATOTAL))."/>
    <n v="0.17868469143083901"/>
  </r>
  <r>
    <n v="12"/>
    <x v="2"/>
    <n v="1"/>
    <n v="2"/>
    <n v="2"/>
    <s v="Leguminosae"/>
    <x v="68"/>
    <s v="Tzalam"/>
    <n v="34"/>
    <n v="10.822536130248883"/>
    <n v="1.4"/>
    <n v="12"/>
    <m/>
    <s v="C"/>
    <s v="S"/>
    <x v="0"/>
    <n v="1.1087974071493387"/>
    <s v="árbol"/>
    <n v="3"/>
    <s v="Vol = Exp(-10.07810188+1.92989964*LN(DIAMETRO)+1.07701930*LN(ALTURATOTAL))."/>
    <n v="6.0476443880539972E-2"/>
  </r>
  <r>
    <n v="12"/>
    <x v="0"/>
    <n v="1"/>
    <s v="1A"/>
    <n v="2"/>
    <s v="Leguminosae"/>
    <x v="68"/>
    <s v="Tzalam"/>
    <n v="19"/>
    <n v="6.0478878374920226"/>
    <n v="2.4"/>
    <n v="7"/>
    <m/>
    <s v="C"/>
    <s v="S"/>
    <x v="1"/>
    <n v="1.1574288723751871"/>
    <s v="arbusto"/>
    <m/>
    <m/>
    <m/>
  </r>
  <r>
    <n v="12"/>
    <x v="2"/>
    <n v="1"/>
    <n v="3"/>
    <n v="3"/>
    <s v="Leguminosae"/>
    <x v="68"/>
    <s v="Tzalam"/>
    <n v="35"/>
    <n v="11.140846016432674"/>
    <n v="3.2"/>
    <n v="10"/>
    <m/>
    <s v="C"/>
    <s v="S"/>
    <x v="0"/>
    <n v="0.89759790102565518"/>
    <s v="árbol"/>
    <n v="3"/>
    <s v="Vol = Exp(-10.07810188+1.92989964*LN(DIAMETRO)+1.07701930*LN(ALTURATOTAL))."/>
    <n v="5.2553575416116598E-2"/>
  </r>
  <r>
    <n v="12"/>
    <x v="0"/>
    <n v="1"/>
    <n v="2"/>
    <n v="3"/>
    <s v="Leguminosae"/>
    <x v="68"/>
    <s v="Tzalam"/>
    <n v="17"/>
    <n v="5.4112680651244416"/>
    <n v="2.2000000000000002"/>
    <n v="9"/>
    <m/>
    <s v="C"/>
    <s v="S"/>
    <x v="0"/>
    <n v="1.6631961107240081"/>
    <s v="arbusto"/>
    <m/>
    <m/>
    <m/>
  </r>
  <r>
    <n v="8"/>
    <x v="2"/>
    <n v="1"/>
    <n v="4"/>
    <n v="4"/>
    <s v="Leguminosae"/>
    <x v="68"/>
    <s v="Tzalam"/>
    <n v="87.5"/>
    <n v="27.852115041081685"/>
    <n v="8"/>
    <n v="14"/>
    <m/>
    <s v="CB"/>
    <s v="S"/>
    <x v="0"/>
    <n v="0.50265482457436694"/>
    <s v="árbol"/>
    <n v="3"/>
    <s v="Vol = Exp(-10.07810188+1.92989964*LN(DIAMETRO)+1.07701930*LN(ALTURATOTAL))."/>
    <n v="0.44255704867997447"/>
  </r>
  <r>
    <n v="12"/>
    <x v="2"/>
    <n v="2"/>
    <n v="4"/>
    <n v="4"/>
    <s v="Leguminosae"/>
    <x v="68"/>
    <s v="Tzalam"/>
    <n v="38"/>
    <n v="12.095775674984045"/>
    <n v="3"/>
    <n v="9"/>
    <m/>
    <s v="CB"/>
    <s v="S"/>
    <x v="0"/>
    <n v="0.74406141795547731"/>
    <s v="árbol"/>
    <n v="3"/>
    <s v="Vol = Exp(-10.07810188+1.92989964*LN(DIAMETRO)+1.07701930*LN(ALTURATOTAL))."/>
    <n v="5.4985477270311188E-2"/>
  </r>
  <r>
    <n v="12"/>
    <x v="0"/>
    <n v="1"/>
    <n v="3"/>
    <n v="4"/>
    <s v="Leguminosae"/>
    <x v="68"/>
    <s v="Tzalam"/>
    <n v="19"/>
    <n v="6.0478878374920226"/>
    <n v="7.5"/>
    <n v="10"/>
    <m/>
    <s v="C"/>
    <s v="S"/>
    <x v="0"/>
    <n v="1.6534698176788385"/>
    <s v="arbusto"/>
    <m/>
    <m/>
    <m/>
  </r>
  <r>
    <n v="8"/>
    <x v="2"/>
    <n v="1"/>
    <s v="4A"/>
    <n v="5"/>
    <s v="Leguminosae"/>
    <x v="68"/>
    <s v="Tzalam"/>
    <n v="72"/>
    <n v="22.918311805232928"/>
    <n v="8"/>
    <n v="14"/>
    <m/>
    <s v="C"/>
    <s v="S"/>
    <x v="1"/>
    <n v="0.6108652381980153"/>
    <s v="árbol"/>
    <n v="3"/>
    <s v="Vol = Exp(-10.07810188+1.92989964*LN(DIAMETRO)+1.07701930*LN(ALTURATOTAL))."/>
    <n v="0.30377633353897893"/>
  </r>
  <r>
    <n v="12"/>
    <x v="2"/>
    <n v="2"/>
    <s v="4A"/>
    <n v="5"/>
    <s v="Leguminosae"/>
    <x v="68"/>
    <s v="Tzalam"/>
    <n v="37.5"/>
    <n v="11.93662073189215"/>
    <n v="1.8"/>
    <n v="9"/>
    <m/>
    <s v="C"/>
    <s v="S"/>
    <x v="1"/>
    <n v="0.75398223686155041"/>
    <s v="árbol"/>
    <n v="3"/>
    <s v="Vol = Exp(-10.07810188+1.92989964*LN(DIAMETRO)+1.07701930*LN(ALTURATOTAL))."/>
    <n v="5.3597752830722822E-2"/>
  </r>
  <r>
    <n v="12"/>
    <x v="0"/>
    <n v="1"/>
    <n v="4"/>
    <n v="5"/>
    <s v="Leguminosae"/>
    <x v="68"/>
    <s v="Tzalam"/>
    <n v="19.5"/>
    <n v="6.2070427805839179"/>
    <n v="4"/>
    <n v="8"/>
    <m/>
    <s v="C"/>
    <s v="S"/>
    <x v="0"/>
    <n v="1.2888585245496589"/>
    <s v="arbusto"/>
    <m/>
    <m/>
    <m/>
  </r>
  <r>
    <n v="5"/>
    <x v="2"/>
    <n v="1"/>
    <n v="6"/>
    <n v="6"/>
    <s v="Leguminosae"/>
    <x v="68"/>
    <s v="Tzalam"/>
    <n v="57.5"/>
    <n v="18.302818455567966"/>
    <n v="6"/>
    <n v="12"/>
    <m/>
    <s v="C"/>
    <s v="S"/>
    <x v="0"/>
    <n v="0.65563672770569592"/>
    <s v="árbol"/>
    <n v="3"/>
    <s v="Vol = Exp(-10.07810188+1.92989964*LN(DIAMETRO)+1.07701930*LN(ALTURATOTAL))."/>
    <n v="0.16671242749319176"/>
  </r>
  <r>
    <n v="11"/>
    <x v="2"/>
    <n v="1"/>
    <n v="5"/>
    <n v="6"/>
    <s v="Leguminosae"/>
    <x v="68"/>
    <s v="Tzalam"/>
    <n v="56.5"/>
    <n v="17.984508569384175"/>
    <n v="2"/>
    <n v="11"/>
    <m/>
    <s v="C"/>
    <s v="S"/>
    <x v="0"/>
    <n v="0.61163750777854375"/>
    <s v="árbol"/>
    <n v="3"/>
    <s v="Vol = Exp(-10.07810188+1.92989964*LN(DIAMETRO)+1.07701930*LN(ALTURATOTAL))."/>
    <n v="0.1467453318250006"/>
  </r>
  <r>
    <n v="12"/>
    <x v="2"/>
    <n v="2"/>
    <n v="5"/>
    <n v="6"/>
    <s v="Leguminosae"/>
    <x v="68"/>
    <s v="Tzalam"/>
    <n v="34"/>
    <n v="10.822536130248883"/>
    <n v="5"/>
    <n v="10"/>
    <m/>
    <s v="C"/>
    <s v="S"/>
    <x v="0"/>
    <n v="0.92399783929111567"/>
    <s v="árbol"/>
    <n v="3"/>
    <s v="Vol = Exp(-10.07810188+1.92989964*LN(DIAMETRO)+1.07701930*LN(ALTURATOTAL))."/>
    <n v="4.9694292943476354E-2"/>
  </r>
  <r>
    <n v="9"/>
    <x v="2"/>
    <n v="2"/>
    <n v="7"/>
    <n v="7"/>
    <s v="Leguminosae"/>
    <x v="68"/>
    <s v="Tzalam"/>
    <n v="55"/>
    <n v="17.507043740108486"/>
    <n v="2.2999999999999998"/>
    <n v="11"/>
    <m/>
    <s v="C"/>
    <s v="S"/>
    <x v="0"/>
    <n v="0.62831853071795873"/>
    <s v="árbol"/>
    <n v="3"/>
    <s v="Vol = Exp(-10.07810188+1.92989964*LN(DIAMETRO)+1.07701930*LN(ALTURATOTAL))."/>
    <n v="0.13931951497347062"/>
  </r>
  <r>
    <n v="10"/>
    <x v="2"/>
    <n v="2"/>
    <n v="7"/>
    <n v="7"/>
    <s v="Leguminosae"/>
    <x v="68"/>
    <s v="Tzalam"/>
    <n v="48.5"/>
    <n v="15.438029479913848"/>
    <n v="4"/>
    <n v="11"/>
    <m/>
    <s v="C"/>
    <s v="S"/>
    <x v="0"/>
    <n v="0.71252616885541697"/>
    <s v="árbol"/>
    <n v="3"/>
    <s v="Vol = Exp(-10.07810188+1.92989964*LN(DIAMETRO)+1.07701930*LN(ALTURATOTAL))."/>
    <n v="0.10929467434213644"/>
  </r>
  <r>
    <n v="12"/>
    <x v="2"/>
    <n v="3"/>
    <n v="6"/>
    <n v="7"/>
    <s v="Leguminosae"/>
    <x v="68"/>
    <s v="Tzalam"/>
    <n v="36"/>
    <n v="11.459155902616464"/>
    <n v="2.2000000000000002"/>
    <n v="10"/>
    <m/>
    <s v="C"/>
    <s v="S"/>
    <x v="0"/>
    <n v="0.87266462599716477"/>
    <s v="árbol"/>
    <n v="3"/>
    <s v="Vol = Exp(-10.07810188+1.92989964*LN(DIAMETRO)+1.07701930*LN(ALTURATOTAL))."/>
    <n v="5.5489848754045175E-2"/>
  </r>
  <r>
    <n v="12"/>
    <x v="0"/>
    <n v="1"/>
    <n v="6"/>
    <n v="7"/>
    <s v="Leguminosae"/>
    <x v="68"/>
    <s v="Tzalam"/>
    <n v="19"/>
    <n v="6.0478878374920226"/>
    <n v="7"/>
    <n v="9"/>
    <m/>
    <s v="C"/>
    <s v="S"/>
    <x v="0"/>
    <n v="1.4881228359109546"/>
    <s v="arbusto"/>
    <m/>
    <m/>
    <m/>
  </r>
  <r>
    <n v="9"/>
    <x v="2"/>
    <n v="2"/>
    <n v="8"/>
    <n v="8"/>
    <s v="Leguminosae"/>
    <x v="68"/>
    <s v="Tzalam"/>
    <n v="56.5"/>
    <n v="17.984508569384175"/>
    <n v="3.5"/>
    <n v="12"/>
    <m/>
    <s v="C"/>
    <s v="S"/>
    <x v="0"/>
    <n v="0.66724091757659321"/>
    <s v="árbol"/>
    <n v="3"/>
    <s v="Vol = Exp(-10.07810188+1.92989964*LN(DIAMETRO)+1.07701930*LN(ALTURATOTAL))."/>
    <n v="0.16116224333455983"/>
  </r>
  <r>
    <n v="12"/>
    <x v="0"/>
    <n v="1"/>
    <n v="7"/>
    <n v="8"/>
    <s v="Leguminosae"/>
    <x v="68"/>
    <s v="Tzalam"/>
    <n v="23.5"/>
    <n v="7.4802823253190809"/>
    <n v="8"/>
    <n v="10"/>
    <m/>
    <s v="C"/>
    <s v="S"/>
    <x v="0"/>
    <n v="1.3368479376977844"/>
    <s v="arbusto"/>
    <m/>
    <m/>
    <m/>
  </r>
  <r>
    <n v="6"/>
    <x v="2"/>
    <n v="3"/>
    <n v="8"/>
    <n v="9"/>
    <s v="Leguminosae"/>
    <x v="68"/>
    <s v="Tzalam"/>
    <n v="38"/>
    <n v="12.095775674984045"/>
    <n v="3"/>
    <n v="10"/>
    <m/>
    <s v="C"/>
    <s v="S"/>
    <x v="0"/>
    <n v="0.82673490883941925"/>
    <s v="árbol"/>
    <n v="3"/>
    <s v="Vol = Exp(-10.07810188+1.92989964*LN(DIAMETRO)+1.07701930*LN(ALTURATOTAL))."/>
    <n v="6.1592764828348724E-2"/>
  </r>
  <r>
    <n v="10"/>
    <x v="2"/>
    <n v="3"/>
    <n v="9"/>
    <n v="9"/>
    <s v="Leguminosae"/>
    <x v="68"/>
    <s v="Tzalam"/>
    <n v="46.5"/>
    <n v="14.801409707546267"/>
    <n v="5"/>
    <n v="13"/>
    <m/>
    <s v="C"/>
    <s v="S"/>
    <x v="0"/>
    <n v="0.87829472035843681"/>
    <s v="árbol"/>
    <n v="3"/>
    <s v="Vol = Exp(-10.07810188+1.92989964*LN(DIAMETRO)+1.07701930*LN(ALTURATOTAL))."/>
    <n v="0.12062628371070527"/>
  </r>
  <r>
    <n v="12"/>
    <x v="2"/>
    <n v="3"/>
    <n v="8"/>
    <n v="9"/>
    <s v="Leguminosae"/>
    <x v="68"/>
    <s v="Tzalam"/>
    <n v="31.5"/>
    <n v="10.026761414789407"/>
    <n v="3.5"/>
    <n v="9"/>
    <m/>
    <s v="C"/>
    <s v="S"/>
    <x v="0"/>
    <n v="0.89759790102565518"/>
    <s v="árbol"/>
    <n v="3"/>
    <s v="Vol = Exp(-10.07810188+1.92989964*LN(DIAMETRO)+1.07701930*LN(ALTURATOTAL))."/>
    <n v="3.8283638178890481E-2"/>
  </r>
  <r>
    <n v="12"/>
    <x v="0"/>
    <n v="2"/>
    <n v="8"/>
    <n v="9"/>
    <s v="Leguminosae"/>
    <x v="68"/>
    <s v="Tzalam"/>
    <n v="24"/>
    <n v="7.6394372684109761"/>
    <n v="3.5"/>
    <n v="9"/>
    <m/>
    <s v="C"/>
    <s v="S"/>
    <x v="0"/>
    <n v="1.1780972450961724"/>
    <s v="arbusto"/>
    <m/>
    <m/>
    <m/>
  </r>
  <r>
    <n v="8"/>
    <x v="2"/>
    <n v="1"/>
    <n v="9"/>
    <n v="10"/>
    <s v="Leguminosae"/>
    <x v="68"/>
    <s v="Tzalam"/>
    <n v="48"/>
    <n v="15.278874536821952"/>
    <n v="5.5"/>
    <n v="12"/>
    <m/>
    <s v="C"/>
    <s v="S"/>
    <x v="0"/>
    <n v="0.78539816339744828"/>
    <s v="árbol"/>
    <n v="3"/>
    <s v="Vol = Exp(-10.07810188+1.92989964*LN(DIAMETRO)+1.07701930*LN(ALTURATOTAL))."/>
    <n v="0.11765557051225319"/>
  </r>
  <r>
    <n v="9"/>
    <x v="2"/>
    <n v="2"/>
    <n v="10"/>
    <n v="10"/>
    <s v="Leguminosae"/>
    <x v="68"/>
    <s v="Tzalam"/>
    <n v="41"/>
    <n v="13.050705333535419"/>
    <n v="7.5"/>
    <n v="11"/>
    <m/>
    <s v="C"/>
    <s v="S"/>
    <x v="0"/>
    <n v="0.84286632169482245"/>
    <s v="árbol"/>
    <n v="3"/>
    <s v="Vol = Exp(-10.07810188+1.92989964*LN(DIAMETRO)+1.07701930*LN(ALTURATOTAL))."/>
    <n v="7.9031024235165448E-2"/>
  </r>
  <r>
    <n v="11"/>
    <x v="2"/>
    <n v="2"/>
    <n v="9"/>
    <n v="10"/>
    <s v="Leguminosae"/>
    <x v="68"/>
    <s v="Tzalam"/>
    <n v="42.5"/>
    <n v="13.528170162811104"/>
    <n v="3.5"/>
    <n v="9"/>
    <m/>
    <s v="C"/>
    <s v="S"/>
    <x v="0"/>
    <n v="0.66527844428960325"/>
    <s v="árbol"/>
    <n v="3"/>
    <s v="Vol = Exp(-10.07810188+1.92989964*LN(DIAMETRO)+1.07701930*LN(ALTURATOTAL))."/>
    <n v="6.8241947852802673E-2"/>
  </r>
  <r>
    <n v="12"/>
    <x v="0"/>
    <n v="2"/>
    <n v="9"/>
    <n v="10"/>
    <s v="Leguminosae"/>
    <x v="68"/>
    <s v="Tzalam"/>
    <n v="22.5"/>
    <n v="7.1619724391352904"/>
    <n v="2"/>
    <n v="10"/>
    <m/>
    <s v="C"/>
    <s v="S"/>
    <x v="0"/>
    <n v="1.3962634015954636"/>
    <s v="arbusto"/>
    <m/>
    <m/>
    <m/>
  </r>
  <r>
    <n v="7"/>
    <x v="2"/>
    <n v="2"/>
    <n v="8"/>
    <n v="11"/>
    <s v="Leguminosae"/>
    <x v="68"/>
    <s v="Tzalam"/>
    <n v="95"/>
    <n v="30.239439187460114"/>
    <n v="7"/>
    <n v="14"/>
    <m/>
    <s v="C"/>
    <s v="S"/>
    <x v="0"/>
    <n v="0.46297154895007481"/>
    <s v="árbol"/>
    <n v="3"/>
    <s v="Vol = Exp(-10.07810188+1.92989964*LN(DIAMETRO)+1.07701930*LN(ALTURATOTAL))."/>
    <n v="0.51867664581607975"/>
  </r>
  <r>
    <n v="12"/>
    <x v="0"/>
    <n v="2"/>
    <n v="10"/>
    <n v="11"/>
    <s v="Leguminosae"/>
    <x v="68"/>
    <s v="Tzalam"/>
    <n v="21.5"/>
    <n v="6.8436625529514998"/>
    <n v="2.2000000000000002"/>
    <n v="8"/>
    <m/>
    <s v="CB"/>
    <s v="S"/>
    <x v="0"/>
    <n v="1.1689647083124812"/>
    <s v="arbusto"/>
    <m/>
    <m/>
    <m/>
  </r>
  <r>
    <n v="1"/>
    <x v="2"/>
    <n v="2"/>
    <n v="11"/>
    <n v="12"/>
    <s v="Leguminosae"/>
    <x v="68"/>
    <s v="Tzalam"/>
    <n v="73"/>
    <n v="23.236621691416719"/>
    <n v="6"/>
    <n v="13"/>
    <m/>
    <s v="CB"/>
    <s v="S"/>
    <x v="0"/>
    <n v="0.55946170543379881"/>
    <s v="árbol"/>
    <n v="3"/>
    <s v="Vol = Exp(-10.07810188+1.92989964*LN(DIAMETRO)+1.07701930*LN(ALTURATOTAL))."/>
    <n v="0.28803894503210853"/>
  </r>
  <r>
    <n v="12"/>
    <x v="0"/>
    <n v="2"/>
    <s v="10A"/>
    <n v="12"/>
    <s v="Leguminosae"/>
    <x v="68"/>
    <s v="Tzalam"/>
    <n v="19"/>
    <n v="6.0478878374920226"/>
    <n v="6"/>
    <n v="8"/>
    <m/>
    <s v="C"/>
    <s v="S"/>
    <x v="1"/>
    <n v="1.322775854143071"/>
    <s v="arbusto"/>
    <m/>
    <m/>
    <m/>
  </r>
  <r>
    <n v="1"/>
    <x v="2"/>
    <n v="2"/>
    <s v="11A"/>
    <n v="13"/>
    <s v="Leguminosae"/>
    <x v="68"/>
    <s v="Tzalam"/>
    <n v="64"/>
    <n v="20.371832715762604"/>
    <n v="6"/>
    <n v="13"/>
    <m/>
    <s v="C"/>
    <s v="S"/>
    <x v="1"/>
    <n v="0.63813600776042667"/>
    <s v="árbol"/>
    <n v="3"/>
    <s v="Vol = Exp(-10.07810188+1.92989964*LN(DIAMETRO)+1.07701930*LN(ALTURATOTAL))."/>
    <n v="0.22344527539885364"/>
  </r>
  <r>
    <n v="12"/>
    <x v="0"/>
    <n v="2"/>
    <n v="11"/>
    <n v="13"/>
    <s v="Leguminosae"/>
    <x v="68"/>
    <s v="Tzalam"/>
    <n v="29.5"/>
    <n v="9.3901416424218258"/>
    <n v="7"/>
    <n v="11"/>
    <m/>
    <s v="CB"/>
    <s v="S"/>
    <x v="0"/>
    <n v="1.1714413284572109"/>
    <s v="arbusto"/>
    <m/>
    <m/>
    <m/>
  </r>
  <r>
    <n v="1"/>
    <x v="2"/>
    <n v="2"/>
    <s v="11B"/>
    <n v="14"/>
    <s v="Leguminosae"/>
    <x v="68"/>
    <s v="Tzalam"/>
    <n v="50"/>
    <n v="15.915494309189533"/>
    <n v="4"/>
    <n v="11"/>
    <m/>
    <s v="C"/>
    <s v="S"/>
    <x v="1"/>
    <n v="0.69115038378975457"/>
    <s v="árbol"/>
    <n v="3"/>
    <s v="Vol = Exp(-10.07810188+1.92989964*LN(DIAMETRO)+1.07701930*LN(ALTURATOTAL))."/>
    <n v="0.11591195362313406"/>
  </r>
  <r>
    <n v="7"/>
    <x v="2"/>
    <n v="2"/>
    <n v="11"/>
    <n v="14"/>
    <s v="Leguminosae"/>
    <x v="68"/>
    <s v="Tzalam"/>
    <n v="60"/>
    <n v="19.098593171027442"/>
    <n v="2.6"/>
    <n v="14"/>
    <m/>
    <s v="C"/>
    <s v="S"/>
    <x v="0"/>
    <n v="0.73303828583761832"/>
    <s v="árbol"/>
    <n v="3"/>
    <s v="Vol = Exp(-10.07810188+1.92989964*LN(DIAMETRO)+1.07701930*LN(ALTURATOTAL))."/>
    <n v="0.21366927568123606"/>
  </r>
  <r>
    <n v="11"/>
    <x v="2"/>
    <n v="3"/>
    <n v="13"/>
    <n v="14"/>
    <s v="Leguminosae"/>
    <x v="68"/>
    <s v="Tzalam"/>
    <n v="51"/>
    <n v="16.233804195373324"/>
    <n v="4"/>
    <n v="10"/>
    <m/>
    <s v="C"/>
    <s v="S"/>
    <x v="0"/>
    <n v="0.61599855952741045"/>
    <s v="árbol"/>
    <n v="3"/>
    <s v="Vol = Exp(-10.07810188+1.92989964*LN(DIAMETRO)+1.07701930*LN(ALTURATOTAL))."/>
    <n v="0.10867883474040876"/>
  </r>
  <r>
    <n v="12"/>
    <x v="0"/>
    <n v="2"/>
    <s v="11A"/>
    <n v="14"/>
    <s v="Leguminosae"/>
    <x v="68"/>
    <s v="Tzalam"/>
    <n v="21.5"/>
    <n v="6.8436625529514998"/>
    <n v="6"/>
    <n v="9"/>
    <m/>
    <s v="C"/>
    <s v="S"/>
    <x v="1"/>
    <n v="1.3150852968515412"/>
    <s v="arbusto"/>
    <m/>
    <m/>
    <m/>
  </r>
  <r>
    <n v="7"/>
    <x v="2"/>
    <n v="2"/>
    <n v="12"/>
    <n v="15"/>
    <s v="Leguminosae"/>
    <x v="68"/>
    <s v="Tzalam"/>
    <n v="66"/>
    <n v="21.008452488130185"/>
    <n v="6"/>
    <n v="14"/>
    <m/>
    <s v="C"/>
    <s v="S"/>
    <x v="0"/>
    <n v="0.66639844167056217"/>
    <s v="árbol"/>
    <n v="3"/>
    <s v="Vol = Exp(-10.07810188+1.92989964*LN(DIAMETRO)+1.07701930*LN(ALTURATOTAL))."/>
    <n v="0.25681820487150631"/>
  </r>
  <r>
    <n v="11"/>
    <x v="2"/>
    <n v="3"/>
    <n v="14"/>
    <n v="15"/>
    <s v="Leguminosae"/>
    <x v="68"/>
    <s v="Tzalam"/>
    <n v="39.5"/>
    <n v="12.573240504259733"/>
    <n v="4.5"/>
    <n v="13"/>
    <m/>
    <s v="C"/>
    <s v="S"/>
    <x v="0"/>
    <n v="1.0339418859915774"/>
    <s v="árbol"/>
    <n v="3"/>
    <s v="Vol = Exp(-10.07810188+1.92989964*LN(DIAMETRO)+1.07701930*LN(ALTURATOTAL))."/>
    <n v="8.8043491073533861E-2"/>
  </r>
  <r>
    <n v="12"/>
    <x v="0"/>
    <n v="2"/>
    <s v="11A"/>
    <n v="15"/>
    <s v="Leguminosae"/>
    <x v="68"/>
    <s v="Tzalam"/>
    <n v="22"/>
    <n v="7.0028174960433951"/>
    <n v="2.5"/>
    <n v="7"/>
    <m/>
    <s v="C"/>
    <s v="S"/>
    <x v="1"/>
    <n v="0.99959766250584325"/>
    <s v="arbusto"/>
    <m/>
    <m/>
    <m/>
  </r>
  <r>
    <n v="7"/>
    <x v="2"/>
    <n v="2"/>
    <n v="13"/>
    <n v="16"/>
    <s v="Leguminosae"/>
    <x v="68"/>
    <s v="Tzalam"/>
    <n v="66.5"/>
    <n v="21.167607431222081"/>
    <n v="8"/>
    <n v="14"/>
    <m/>
    <s v="C"/>
    <s v="S"/>
    <x v="0"/>
    <n v="0.66138792707153538"/>
    <s v="árbol"/>
    <n v="3"/>
    <s v="Vol = Exp(-10.07810188+1.92989964*LN(DIAMETRO)+1.07701930*LN(ALTURATOTAL))."/>
    <n v="0.26058622642796037"/>
  </r>
  <r>
    <n v="8"/>
    <x v="2"/>
    <n v="1"/>
    <n v="15"/>
    <n v="16"/>
    <s v="Leguminosae"/>
    <x v="68"/>
    <s v="Tzalam"/>
    <n v="72"/>
    <n v="22.918311805232928"/>
    <n v="4.5"/>
    <n v="12"/>
    <m/>
    <s v="C"/>
    <s v="S"/>
    <x v="0"/>
    <n v="0.52359877559829882"/>
    <s v="árbol"/>
    <n v="3"/>
    <s v="Vol = Exp(-10.07810188+1.92989964*LN(DIAMETRO)+1.07701930*LN(ALTURATOTAL))."/>
    <n v="0.25730661503793956"/>
  </r>
  <r>
    <n v="9"/>
    <x v="2"/>
    <n v="4"/>
    <n v="16"/>
    <n v="16"/>
    <s v="Leguminosae"/>
    <x v="68"/>
    <s v="Tzalam"/>
    <n v="51"/>
    <n v="16.233804195373324"/>
    <n v="5"/>
    <n v="12"/>
    <m/>
    <s v="C"/>
    <s v="S"/>
    <x v="0"/>
    <n v="0.73919827143289252"/>
    <s v="árbol"/>
    <n v="3"/>
    <s v="Vol = Exp(-10.07810188+1.92989964*LN(DIAMETRO)+1.07701930*LN(ALTURATOTAL))."/>
    <n v="0.13225883820616102"/>
  </r>
  <r>
    <n v="12"/>
    <x v="0"/>
    <n v="2"/>
    <n v="12"/>
    <n v="16"/>
    <s v="Leguminosae"/>
    <x v="68"/>
    <s v="Tzalam"/>
    <n v="22"/>
    <n v="7.0028174960433951"/>
    <n v="6"/>
    <n v="9"/>
    <m/>
    <s v="CB"/>
    <s v="S"/>
    <x v="0"/>
    <n v="1.2851969946503699"/>
    <s v="arbusto"/>
    <m/>
    <m/>
    <m/>
  </r>
  <r>
    <n v="7"/>
    <x v="2"/>
    <n v="2"/>
    <n v="14"/>
    <n v="17"/>
    <s v="Leguminosae"/>
    <x v="68"/>
    <s v="Tzalam"/>
    <n v="81"/>
    <n v="25.783100780887047"/>
    <n v="4"/>
    <n v="12"/>
    <m/>
    <s v="C"/>
    <s v="S"/>
    <x v="0"/>
    <n v="0.46542113386515449"/>
    <s v="árbol"/>
    <n v="3"/>
    <s v="Vol = Exp(-10.07810188+1.92989964*LN(DIAMETRO)+1.07701930*LN(ALTURATOTAL))."/>
    <n v="0.32297595137543411"/>
  </r>
  <r>
    <n v="8"/>
    <x v="2"/>
    <n v="2"/>
    <n v="16"/>
    <n v="17"/>
    <s v="Leguminosae"/>
    <x v="68"/>
    <s v="Tzalam"/>
    <n v="64"/>
    <n v="20.371832715762604"/>
    <n v="7"/>
    <n v="12"/>
    <m/>
    <s v="CB"/>
    <s v="S"/>
    <x v="0"/>
    <n v="0.58904862254808621"/>
    <s v="árbol"/>
    <n v="3"/>
    <s v="Vol = Exp(-10.07810188+1.92989964*LN(DIAMETRO)+1.07701930*LN(ALTURATOTAL))."/>
    <n v="0.20498954755093329"/>
  </r>
  <r>
    <n v="12"/>
    <x v="0"/>
    <n v="2"/>
    <s v="12A"/>
    <n v="17"/>
    <s v="Leguminosae"/>
    <x v="68"/>
    <s v="Tzalam"/>
    <n v="17"/>
    <n v="5.4112680651244416"/>
    <n v="6"/>
    <n v="9"/>
    <m/>
    <s v="C"/>
    <s v="S"/>
    <x v="1"/>
    <n v="1.6631961107240081"/>
    <s v="arbusto"/>
    <m/>
    <m/>
    <m/>
  </r>
  <r>
    <n v="8"/>
    <x v="2"/>
    <n v="2"/>
    <s v="16A"/>
    <n v="18"/>
    <s v="Leguminosae"/>
    <x v="68"/>
    <s v="Tzalam"/>
    <n v="42"/>
    <n v="13.369015219719209"/>
    <n v="5.5"/>
    <n v="12"/>
    <m/>
    <s v="C"/>
    <s v="S"/>
    <x v="1"/>
    <n v="0.89759790102565518"/>
    <s v="árbol"/>
    <n v="3"/>
    <s v="Vol = Exp(-10.07810188+1.92989964*LN(DIAMETRO)+1.07701930*LN(ALTURATOTAL))."/>
    <n v="9.0927208121807365E-2"/>
  </r>
  <r>
    <n v="12"/>
    <x v="0"/>
    <n v="2"/>
    <n v="13"/>
    <n v="18"/>
    <s v="Leguminosae"/>
    <x v="68"/>
    <s v="Tzalam"/>
    <n v="18.5"/>
    <n v="5.8887328944001274"/>
    <n v="3.5"/>
    <n v="8"/>
    <m/>
    <s v="C"/>
    <s v="S"/>
    <x v="0"/>
    <n v="1.3585265529036943"/>
    <s v="arbusto"/>
    <m/>
    <m/>
    <m/>
  </r>
  <r>
    <n v="7"/>
    <x v="2"/>
    <n v="2"/>
    <n v="16"/>
    <n v="19"/>
    <s v="Leguminosae"/>
    <x v="68"/>
    <s v="Tzalam"/>
    <n v="44"/>
    <n v="14.00563499208679"/>
    <n v="5"/>
    <n v="12"/>
    <m/>
    <s v="C"/>
    <s v="S"/>
    <x v="0"/>
    <n v="0.8567979964335799"/>
    <s v="árbol"/>
    <n v="3"/>
    <s v="Vol = Exp(-10.07810188+1.92989964*LN(DIAMETRO)+1.07701930*LN(ALTURATOTAL))."/>
    <n v="9.9468224071552369E-2"/>
  </r>
  <r>
    <n v="7"/>
    <x v="2"/>
    <n v="2"/>
    <n v="17"/>
    <n v="20"/>
    <s v="Leguminosae"/>
    <x v="68"/>
    <s v="Tzalam"/>
    <n v="40"/>
    <n v="12.732395447351628"/>
    <n v="7"/>
    <n v="13"/>
    <m/>
    <s v="C"/>
    <s v="S"/>
    <x v="0"/>
    <n v="1.0210176124166828"/>
    <s v="árbol"/>
    <n v="3"/>
    <s v="Vol = Exp(-10.07810188+1.92989964*LN(DIAMETRO)+1.07701930*LN(ALTURATOTAL))."/>
    <n v="9.0206969962133579E-2"/>
  </r>
  <r>
    <n v="7"/>
    <x v="2"/>
    <n v="2"/>
    <n v="18"/>
    <n v="21"/>
    <s v="Leguminosae"/>
    <x v="68"/>
    <s v="Tzalam"/>
    <n v="40"/>
    <n v="12.732395447351628"/>
    <n v="6.5"/>
    <n v="12"/>
    <m/>
    <s v="C"/>
    <s v="S"/>
    <x v="0"/>
    <n v="0.94247779607693793"/>
    <s v="árbol"/>
    <n v="3"/>
    <s v="Vol = Exp(-10.07810188+1.92989964*LN(DIAMETRO)+1.07701930*LN(ALTURATOTAL))."/>
    <n v="8.2756218163354642E-2"/>
  </r>
  <r>
    <n v="12"/>
    <x v="0"/>
    <n v="3"/>
    <n v="16"/>
    <n v="21"/>
    <s v="Leguminosae"/>
    <x v="68"/>
    <s v="Tzalam"/>
    <n v="25.5"/>
    <n v="8.1169020976866619"/>
    <n v="1.8"/>
    <n v="9"/>
    <m/>
    <s v="CB"/>
    <s v="S"/>
    <x v="0"/>
    <n v="1.1087974071493387"/>
    <s v="arbusto"/>
    <m/>
    <m/>
    <m/>
  </r>
  <r>
    <n v="1"/>
    <x v="2"/>
    <n v="4"/>
    <n v="19"/>
    <n v="22"/>
    <s v="Leguminosae"/>
    <x v="68"/>
    <s v="Tzalam"/>
    <n v="37"/>
    <n v="11.777465788800255"/>
    <n v="6.5"/>
    <n v="12"/>
    <m/>
    <s v="C"/>
    <s v="S"/>
    <x v="0"/>
    <n v="1.0188949146777708"/>
    <s v="árbol"/>
    <n v="3"/>
    <s v="Vol = Exp(-10.07810188+1.92989964*LN(DIAMETRO)+1.07701930*LN(ALTURATOTAL))."/>
    <n v="7.1196325189988363E-2"/>
  </r>
  <r>
    <n v="5"/>
    <x v="2"/>
    <n v="2"/>
    <n v="20"/>
    <n v="22"/>
    <s v="Leguminosae"/>
    <x v="68"/>
    <s v="Tzalam"/>
    <n v="39.5"/>
    <n v="12.573240504259733"/>
    <n v="3"/>
    <n v="12"/>
    <m/>
    <s v="C"/>
    <s v="S"/>
    <x v="0"/>
    <n v="0.95440789476145604"/>
    <s v="árbol"/>
    <n v="3"/>
    <s v="Vol = Exp(-10.07810188+1.92989964*LN(DIAMETRO)+1.07701930*LN(ALTURATOTAL))."/>
    <n v="8.0771434382545651E-2"/>
  </r>
  <r>
    <n v="7"/>
    <x v="2"/>
    <n v="2"/>
    <n v="19"/>
    <n v="22"/>
    <s v="Leguminosae"/>
    <x v="68"/>
    <s v="Tzalam"/>
    <n v="66.5"/>
    <n v="21.167607431222081"/>
    <n v="10"/>
    <n v="15"/>
    <m/>
    <s v="C"/>
    <s v="S"/>
    <x v="0"/>
    <n v="0.7086299218623594"/>
    <s v="árbol"/>
    <n v="3"/>
    <s v="Vol = Exp(-10.07810188+1.92989964*LN(DIAMETRO)+1.07701930*LN(ALTURATOTAL))."/>
    <n v="0.28068708269994885"/>
  </r>
  <r>
    <n v="12"/>
    <x v="0"/>
    <n v="3"/>
    <s v="16A"/>
    <n v="22"/>
    <s v="Leguminosae"/>
    <x v="68"/>
    <s v="Tzalam"/>
    <n v="20"/>
    <n v="6.366197723675814"/>
    <n v="2.2999999999999998"/>
    <n v="9"/>
    <m/>
    <s v="C"/>
    <s v="S"/>
    <x v="1"/>
    <n v="1.4137166941154069"/>
    <s v="arbusto"/>
    <m/>
    <m/>
    <m/>
  </r>
  <r>
    <n v="7"/>
    <x v="2"/>
    <n v="2"/>
    <n v="20"/>
    <n v="23"/>
    <s v="Leguminosae"/>
    <x v="68"/>
    <s v="Tzalam"/>
    <n v="80"/>
    <n v="25.464790894703256"/>
    <n v="7"/>
    <n v="13"/>
    <m/>
    <s v="C"/>
    <s v="S"/>
    <x v="0"/>
    <n v="0.51050880620834138"/>
    <s v="árbol"/>
    <n v="3"/>
    <s v="Vol = Exp(-10.07810188+1.92989964*LN(DIAMETRO)+1.07701930*LN(ALTURATOTAL))."/>
    <n v="0.34371443802822454"/>
  </r>
  <r>
    <n v="12"/>
    <x v="0"/>
    <n v="3"/>
    <s v="16B"/>
    <n v="23"/>
    <s v="Leguminosae"/>
    <x v="68"/>
    <s v="Tzalam"/>
    <n v="17.5"/>
    <n v="5.5704230082163368"/>
    <n v="3"/>
    <n v="7"/>
    <m/>
    <s v="C"/>
    <s v="S"/>
    <x v="1"/>
    <n v="1.2566370614359172"/>
    <s v="arbusto"/>
    <m/>
    <m/>
    <m/>
  </r>
  <r>
    <n v="7"/>
    <x v="2"/>
    <n v="2"/>
    <n v="21"/>
    <n v="24"/>
    <s v="Leguminosae"/>
    <x v="68"/>
    <s v="Tzalam"/>
    <n v="66"/>
    <n v="21.008452488130185"/>
    <n v="8"/>
    <n v="13"/>
    <m/>
    <s v="C"/>
    <s v="S"/>
    <x v="0"/>
    <n v="0.61879855297980768"/>
    <s v="árbol"/>
    <n v="3"/>
    <s v="Vol = Exp(-10.07810188+1.92989964*LN(DIAMETRO)+1.07701930*LN(ALTURATOTAL))."/>
    <n v="0.23711677569882433"/>
  </r>
  <r>
    <n v="12"/>
    <x v="0"/>
    <n v="3"/>
    <n v="17"/>
    <n v="24"/>
    <s v="Leguminosae"/>
    <x v="68"/>
    <s v="Tzalam"/>
    <n v="26"/>
    <n v="8.2760570407785572"/>
    <n v="3.5"/>
    <n v="9"/>
    <m/>
    <s v="CB"/>
    <s v="S"/>
    <x v="0"/>
    <n v="1.0874743800887747"/>
    <s v="arbusto"/>
    <m/>
    <m/>
    <m/>
  </r>
  <r>
    <n v="12"/>
    <x v="0"/>
    <n v="3"/>
    <s v="17A"/>
    <n v="25"/>
    <s v="Leguminosae"/>
    <x v="68"/>
    <s v="Tzalam"/>
    <n v="23"/>
    <n v="7.3211273822271856"/>
    <n v="2"/>
    <n v="9"/>
    <m/>
    <s v="C"/>
    <s v="S"/>
    <x v="1"/>
    <n v="1.2293188644481798"/>
    <s v="arbusto"/>
    <m/>
    <m/>
    <m/>
  </r>
  <r>
    <n v="5"/>
    <x v="2"/>
    <n v="2"/>
    <n v="24"/>
    <n v="26"/>
    <s v="Leguminosae"/>
    <x v="68"/>
    <s v="Tzalam"/>
    <n v="63"/>
    <n v="20.053522829578814"/>
    <n v="2.5"/>
    <n v="12"/>
    <m/>
    <s v="C"/>
    <s v="S"/>
    <x v="0"/>
    <n v="0.59839860068377004"/>
    <s v="árbol"/>
    <n v="3"/>
    <s v="Vol = Exp(-10.07810188+1.92989964*LN(DIAMETRO)+1.07701930*LN(ALTURATOTAL))."/>
    <n v="0.19885307627007709"/>
  </r>
  <r>
    <n v="12"/>
    <x v="0"/>
    <n v="3"/>
    <s v="17B"/>
    <n v="26"/>
    <s v="Leguminosae"/>
    <x v="68"/>
    <s v="Tzalam"/>
    <n v="21.5"/>
    <n v="6.8436625529514998"/>
    <n v="3"/>
    <n v="9"/>
    <m/>
    <s v="C"/>
    <s v="S"/>
    <x v="1"/>
    <n v="1.3150852968515412"/>
    <s v="arbusto"/>
    <m/>
    <m/>
    <m/>
  </r>
  <r>
    <n v="8"/>
    <x v="2"/>
    <n v="2"/>
    <n v="25"/>
    <n v="27"/>
    <s v="Leguminosae"/>
    <x v="68"/>
    <s v="Tzalam"/>
    <n v="61"/>
    <n v="19.416903057211233"/>
    <n v="6.5"/>
    <n v="12"/>
    <m/>
    <s v="C"/>
    <s v="S"/>
    <x v="0"/>
    <n v="0.61801822693569697"/>
    <s v="árbol"/>
    <n v="3"/>
    <s v="Vol = Exp(-10.07810188+1.92989964*LN(DIAMETRO)+1.07701930*LN(ALTURATOTAL))."/>
    <n v="0.18684997375246193"/>
  </r>
  <r>
    <n v="12"/>
    <x v="0"/>
    <n v="3"/>
    <n v="18"/>
    <n v="27"/>
    <s v="Leguminosae"/>
    <x v="68"/>
    <s v="Tzalam"/>
    <n v="30"/>
    <n v="9.5492965855137211"/>
    <n v="2"/>
    <n v="9"/>
    <m/>
    <s v="CB"/>
    <s v="S"/>
    <x v="0"/>
    <n v="0.94247779607693793"/>
    <s v="arbusto"/>
    <m/>
    <m/>
    <m/>
  </r>
  <r>
    <n v="7"/>
    <x v="2"/>
    <n v="3"/>
    <n v="25"/>
    <n v="28"/>
    <s v="Leguminosae"/>
    <x v="68"/>
    <s v="Tzalam"/>
    <n v="60"/>
    <n v="19.098593171027442"/>
    <n v="8"/>
    <n v="12"/>
    <m/>
    <s v="C"/>
    <s v="S"/>
    <x v="0"/>
    <n v="0.62831853071795862"/>
    <s v="árbol"/>
    <n v="3"/>
    <s v="Vol = Exp(-10.07810188+1.92989964*LN(DIAMETRO)+1.07701930*LN(ALTURATOTAL))."/>
    <n v="0.18098354609343728"/>
  </r>
  <r>
    <n v="12"/>
    <x v="0"/>
    <n v="3"/>
    <s v="18A"/>
    <n v="28"/>
    <s v="Leguminosae"/>
    <x v="68"/>
    <s v="Tzalam"/>
    <n v="29.5"/>
    <n v="9.3901416424218258"/>
    <n v="3"/>
    <n v="9"/>
    <m/>
    <s v="C"/>
    <s v="S"/>
    <x v="1"/>
    <n v="0.95845199601044528"/>
    <s v="arbusto"/>
    <m/>
    <m/>
    <m/>
  </r>
  <r>
    <n v="5"/>
    <x v="2"/>
    <n v="3"/>
    <n v="27"/>
    <n v="29"/>
    <s v="Leguminosae"/>
    <x v="68"/>
    <s v="Tzalam"/>
    <n v="76"/>
    <n v="24.191551349968091"/>
    <n v="3.5"/>
    <n v="10"/>
    <m/>
    <s v="C"/>
    <s v="S"/>
    <x v="0"/>
    <n v="0.41336745441970962"/>
    <s v="árbol"/>
    <n v="3"/>
    <s v="Vol = Exp(-10.07810188+1.92989964*LN(DIAMETRO)+1.07701930*LN(ALTURATOTAL))."/>
    <n v="0.23468610638919787"/>
  </r>
  <r>
    <n v="7"/>
    <x v="2"/>
    <n v="3"/>
    <n v="26"/>
    <n v="29"/>
    <s v="Leguminosae"/>
    <x v="68"/>
    <s v="Tzalam"/>
    <n v="103"/>
    <n v="32.785918276930438"/>
    <n v="7"/>
    <n v="14"/>
    <m/>
    <s v="C"/>
    <s v="S"/>
    <x v="0"/>
    <n v="0.42701259369181654"/>
    <s v="árbol"/>
    <n v="3"/>
    <s v="Vol = Exp(-10.07810188+1.92989964*LN(DIAMETRO)+1.07701930*LN(ALTURATOTAL))."/>
    <n v="0.60626494171036427"/>
  </r>
  <r>
    <n v="8"/>
    <x v="2"/>
    <n v="2"/>
    <n v="27"/>
    <n v="29"/>
    <s v="Leguminosae"/>
    <x v="68"/>
    <s v="Tzalam"/>
    <n v="59"/>
    <n v="18.780283284843652"/>
    <n v="5"/>
    <n v="13"/>
    <m/>
    <s v="CB"/>
    <s v="S"/>
    <x v="0"/>
    <n v="0.69221533045198824"/>
    <s v="árbol"/>
    <n v="3"/>
    <s v="Vol = Exp(-10.07810188+1.92989964*LN(DIAMETRO)+1.07701930*LN(ALTURATOTAL))."/>
    <n v="0.19098169981568194"/>
  </r>
  <r>
    <n v="12"/>
    <x v="0"/>
    <n v="3"/>
    <s v="18B"/>
    <n v="29"/>
    <s v="Leguminosae"/>
    <x v="68"/>
    <s v="Tzalam"/>
    <n v="26.5"/>
    <n v="8.4352119838704525"/>
    <n v="2"/>
    <n v="9"/>
    <m/>
    <s v="C"/>
    <s v="S"/>
    <x v="1"/>
    <n v="1.0669559955587977"/>
    <s v="arbusto"/>
    <m/>
    <m/>
    <m/>
  </r>
  <r>
    <n v="7"/>
    <x v="2"/>
    <n v="3"/>
    <n v="27"/>
    <n v="30"/>
    <s v="Leguminosae"/>
    <x v="68"/>
    <s v="Tzalam"/>
    <n v="77.5"/>
    <n v="24.669016179243776"/>
    <n v="7"/>
    <n v="14"/>
    <m/>
    <s v="C"/>
    <s v="S"/>
    <x v="0"/>
    <n v="0.56751351161622077"/>
    <s v="árbol"/>
    <n v="3"/>
    <s v="Vol = Exp(-10.07810188+1.92989964*LN(DIAMETRO)+1.07701930*LN(ALTURATOTAL))."/>
    <n v="0.35014771400572942"/>
  </r>
  <r>
    <n v="8"/>
    <x v="2"/>
    <n v="2"/>
    <s v="27A"/>
    <n v="30"/>
    <s v="Leguminosae"/>
    <x v="68"/>
    <s v="Tzalam"/>
    <n v="53"/>
    <n v="16.870423967740905"/>
    <n v="7"/>
    <n v="12"/>
    <m/>
    <s v="C"/>
    <s v="S"/>
    <x v="1"/>
    <n v="0.71130399703919844"/>
    <s v="árbol"/>
    <n v="3"/>
    <s v="Vol = Exp(-10.07810188+1.92989964*LN(DIAMETRO)+1.07701930*LN(ALTURATOTAL))."/>
    <n v="0.14245084026081012"/>
  </r>
  <r>
    <n v="12"/>
    <x v="0"/>
    <n v="3"/>
    <n v="19"/>
    <n v="30"/>
    <s v="Leguminosae"/>
    <x v="68"/>
    <s v="Tzalam"/>
    <n v="22.5"/>
    <n v="7.1619724391352904"/>
    <n v="6"/>
    <n v="10"/>
    <m/>
    <s v="C"/>
    <s v="S"/>
    <x v="0"/>
    <n v="1.3962634015954636"/>
    <s v="arbusto"/>
    <m/>
    <m/>
    <m/>
  </r>
  <r>
    <n v="7"/>
    <x v="2"/>
    <n v="3"/>
    <n v="28"/>
    <n v="31"/>
    <s v="Leguminosae"/>
    <x v="68"/>
    <s v="Tzalam"/>
    <n v="54"/>
    <n v="17.188733853924695"/>
    <n v="7"/>
    <n v="13"/>
    <m/>
    <s v="C"/>
    <s v="S"/>
    <x v="0"/>
    <n v="0.75630934253087623"/>
    <s v="árbol"/>
    <n v="3"/>
    <s v="Vol = Exp(-10.07810188+1.92989964*LN(DIAMETRO)+1.07701930*LN(ALTURATOTAL))."/>
    <n v="0.1609797275669124"/>
  </r>
  <r>
    <n v="8"/>
    <x v="2"/>
    <n v="3"/>
    <n v="28"/>
    <n v="31"/>
    <s v="Leguminosae"/>
    <x v="68"/>
    <s v="Tzalam"/>
    <n v="34"/>
    <n v="10.822536130248883"/>
    <n v="4.5"/>
    <n v="10"/>
    <m/>
    <s v="C"/>
    <s v="S"/>
    <x v="0"/>
    <n v="0.92399783929111567"/>
    <s v="árbol"/>
    <n v="3"/>
    <s v="Vol = Exp(-10.07810188+1.92989964*LN(DIAMETRO)+1.07701930*LN(ALTURATOTAL))."/>
    <n v="4.9694292943476354E-2"/>
  </r>
  <r>
    <n v="12"/>
    <x v="0"/>
    <n v="3"/>
    <n v="20"/>
    <n v="31"/>
    <s v="Leguminosae"/>
    <x v="68"/>
    <s v="Tzalam"/>
    <n v="25.5"/>
    <n v="8.1169020976866619"/>
    <n v="6"/>
    <n v="9"/>
    <m/>
    <s v="CB"/>
    <s v="S"/>
    <x v="0"/>
    <n v="1.1087974071493387"/>
    <s v="arbusto"/>
    <m/>
    <m/>
    <m/>
  </r>
  <r>
    <n v="8"/>
    <x v="2"/>
    <n v="3"/>
    <n v="29"/>
    <n v="32"/>
    <s v="Leguminosae"/>
    <x v="68"/>
    <s v="Tzalam"/>
    <n v="61"/>
    <n v="19.416903057211233"/>
    <n v="6"/>
    <n v="14"/>
    <m/>
    <s v="CB"/>
    <s v="S"/>
    <x v="0"/>
    <n v="0.72102126475831319"/>
    <s v="árbol"/>
    <n v="3"/>
    <s v="Vol = Exp(-10.07810188+1.92989964*LN(DIAMETRO)+1.07701930*LN(ALTURATOTAL))."/>
    <n v="0.22059518345460358"/>
  </r>
  <r>
    <n v="12"/>
    <x v="0"/>
    <n v="3"/>
    <s v="20A"/>
    <n v="32"/>
    <s v="Leguminosae"/>
    <x v="68"/>
    <s v="Tzalam"/>
    <n v="20.5"/>
    <n v="6.5253526667677093"/>
    <n v="4"/>
    <n v="9"/>
    <m/>
    <s v="C"/>
    <s v="S"/>
    <x v="1"/>
    <n v="1.3792357991369824"/>
    <s v="arbusto"/>
    <m/>
    <m/>
    <m/>
  </r>
  <r>
    <n v="5"/>
    <x v="2"/>
    <n v="3"/>
    <n v="31"/>
    <n v="33"/>
    <s v="Leguminosae"/>
    <x v="68"/>
    <s v="Tzalam"/>
    <n v="57"/>
    <n v="18.143663512476071"/>
    <n v="6"/>
    <n v="13"/>
    <m/>
    <s v="C"/>
    <s v="S"/>
    <x v="0"/>
    <n v="0.71650358766083"/>
    <s v="árbol"/>
    <n v="3"/>
    <s v="Vol = Exp(-10.07810188+1.92989964*LN(DIAMETRO)+1.07701930*LN(ALTURATOTAL))."/>
    <n v="0.17868469143083901"/>
  </r>
  <r>
    <n v="8"/>
    <x v="2"/>
    <n v="3"/>
    <s v="29A"/>
    <n v="33"/>
    <s v="Leguminosae"/>
    <x v="68"/>
    <s v="Tzalam"/>
    <n v="50"/>
    <n v="15.915494309189533"/>
    <n v="6"/>
    <n v="14"/>
    <m/>
    <s v="C"/>
    <s v="S"/>
    <x v="1"/>
    <n v="0.87964594300514209"/>
    <s v="árbol"/>
    <n v="3"/>
    <s v="Vol = Exp(-10.07810188+1.92989964*LN(DIAMETRO)+1.07701930*LN(ALTURATOTAL))."/>
    <n v="0.15029004675338178"/>
  </r>
  <r>
    <n v="8"/>
    <x v="2"/>
    <n v="3"/>
    <s v="29B"/>
    <n v="34"/>
    <s v="Leguminosae"/>
    <x v="68"/>
    <s v="Tzalam"/>
    <n v="43"/>
    <n v="13.687325105903"/>
    <n v="6"/>
    <n v="14"/>
    <m/>
    <s v="C"/>
    <s v="S"/>
    <x v="1"/>
    <n v="1.022844119773421"/>
    <s v="árbol"/>
    <n v="3"/>
    <s v="Vol = Exp(-10.07810188+1.92989964*LN(DIAMETRO)+1.07701930*LN(ALTURATOTAL))."/>
    <n v="0.11233596081230149"/>
  </r>
  <r>
    <n v="12"/>
    <x v="0"/>
    <n v="3"/>
    <n v="22"/>
    <n v="34"/>
    <s v="Leguminosae"/>
    <x v="68"/>
    <s v="Tzalam"/>
    <n v="20.5"/>
    <n v="6.5253526667677093"/>
    <n v="7"/>
    <n v="10"/>
    <m/>
    <s v="C"/>
    <s v="S"/>
    <x v="0"/>
    <n v="1.5324842212633136"/>
    <s v="arbusto"/>
    <m/>
    <m/>
    <m/>
  </r>
  <r>
    <n v="12"/>
    <x v="0"/>
    <n v="3"/>
    <n v="23"/>
    <n v="35"/>
    <s v="Leguminosae"/>
    <x v="68"/>
    <s v="Tzalam"/>
    <n v="27.5"/>
    <n v="8.753521870054243"/>
    <n v="2.4"/>
    <n v="9"/>
    <m/>
    <s v="C"/>
    <s v="S"/>
    <x v="0"/>
    <n v="1.028157595720296"/>
    <s v="arbusto"/>
    <m/>
    <m/>
    <m/>
  </r>
  <r>
    <n v="7"/>
    <x v="2"/>
    <n v="3"/>
    <n v="33"/>
    <n v="36"/>
    <s v="Leguminosae"/>
    <x v="68"/>
    <s v="Tzalam"/>
    <n v="62.5"/>
    <n v="19.894367886486918"/>
    <n v="7"/>
    <n v="14"/>
    <m/>
    <s v="C"/>
    <s v="S"/>
    <x v="0"/>
    <n v="0.70371675440411363"/>
    <s v="árbol"/>
    <n v="3"/>
    <s v="Vol = Exp(-10.07810188+1.92989964*LN(DIAMETRO)+1.07701930*LN(ALTURATOTAL))."/>
    <n v="0.23118349165747989"/>
  </r>
  <r>
    <n v="12"/>
    <x v="0"/>
    <n v="3"/>
    <n v="24"/>
    <n v="36"/>
    <s v="Leguminosae"/>
    <x v="68"/>
    <s v="Tzalam"/>
    <n v="29"/>
    <n v="9.2309866993299305"/>
    <n v="9"/>
    <n v="11"/>
    <m/>
    <s v="C"/>
    <s v="S"/>
    <x v="0"/>
    <n v="1.1916385927409558"/>
    <s v="arbusto"/>
    <m/>
    <m/>
    <m/>
  </r>
  <r>
    <n v="7"/>
    <x v="2"/>
    <n v="3"/>
    <n v="34"/>
    <n v="37"/>
    <s v="Leguminosae"/>
    <x v="68"/>
    <s v="Tzalam"/>
    <n v="62"/>
    <n v="19.735212943395023"/>
    <n v="6"/>
    <n v="14"/>
    <m/>
    <s v="C"/>
    <s v="S"/>
    <x v="0"/>
    <n v="0.70939188952027588"/>
    <s v="árbol"/>
    <n v="3"/>
    <s v="Vol = Exp(-10.07810188+1.92989964*LN(DIAMETRO)+1.07701930*LN(ALTURATOTAL))."/>
    <n v="0.22762748296265814"/>
  </r>
  <r>
    <n v="12"/>
    <x v="0"/>
    <n v="4"/>
    <n v="26"/>
    <n v="38"/>
    <s v="Leguminosae"/>
    <x v="68"/>
    <s v="Tzalam"/>
    <n v="17.5"/>
    <n v="5.5704230082163368"/>
    <n v="2.1"/>
    <n v="8"/>
    <m/>
    <s v="C"/>
    <s v="S"/>
    <x v="0"/>
    <n v="1.4361566416410483"/>
    <s v="arbusto"/>
    <m/>
    <m/>
    <m/>
  </r>
  <r>
    <n v="8"/>
    <x v="2"/>
    <n v="3"/>
    <n v="36"/>
    <n v="41"/>
    <s v="Leguminosae"/>
    <x v="68"/>
    <s v="Tzalam"/>
    <n v="62"/>
    <n v="19.735212943395023"/>
    <n v="5.5"/>
    <n v="12"/>
    <m/>
    <s v="C"/>
    <s v="S"/>
    <x v="0"/>
    <n v="0.60805019101737934"/>
    <s v="árbol"/>
    <n v="3"/>
    <s v="Vol = Exp(-10.07810188+1.92989964*LN(DIAMETRO)+1.07701930*LN(ALTURATOTAL))."/>
    <n v="0.19280651803380999"/>
  </r>
  <r>
    <n v="12"/>
    <x v="0"/>
    <n v="4"/>
    <n v="29"/>
    <n v="41"/>
    <s v="Leguminosae"/>
    <x v="68"/>
    <s v="Tzalam"/>
    <n v="19.5"/>
    <n v="6.2070427805839179"/>
    <n v="8"/>
    <n v="10"/>
    <m/>
    <s v="C"/>
    <s v="S"/>
    <x v="0"/>
    <n v="1.6110731556870734"/>
    <s v="arbusto"/>
    <m/>
    <m/>
    <m/>
  </r>
  <r>
    <n v="12"/>
    <x v="0"/>
    <n v="4"/>
    <n v="30"/>
    <n v="42"/>
    <s v="Leguminosae"/>
    <x v="68"/>
    <s v="Tzalam"/>
    <n v="25"/>
    <n v="7.9577471545947667"/>
    <n v="5"/>
    <n v="10"/>
    <m/>
    <s v="C"/>
    <s v="S"/>
    <x v="0"/>
    <n v="1.2566370614359172"/>
    <s v="arbusto"/>
    <m/>
    <m/>
    <m/>
  </r>
  <r>
    <n v="12"/>
    <x v="0"/>
    <n v="4"/>
    <n v="31"/>
    <n v="43"/>
    <s v="Leguminosae"/>
    <x v="68"/>
    <s v="Tzalam"/>
    <n v="17.5"/>
    <n v="5.5704230082163368"/>
    <n v="3.5"/>
    <n v="8"/>
    <m/>
    <s v="CB"/>
    <s v="S"/>
    <x v="0"/>
    <n v="1.4361566416410483"/>
    <s v="arbusto"/>
    <m/>
    <m/>
    <m/>
  </r>
  <r>
    <n v="12"/>
    <x v="0"/>
    <n v="4"/>
    <s v="31A"/>
    <n v="44"/>
    <s v="Leguminosae"/>
    <x v="68"/>
    <s v="Tzalam"/>
    <n v="17.5"/>
    <n v="5.5704230082163368"/>
    <n v="6"/>
    <n v="8"/>
    <m/>
    <s v="C"/>
    <s v="S"/>
    <x v="1"/>
    <n v="1.4361566416410483"/>
    <s v="arbusto"/>
    <m/>
    <m/>
    <m/>
  </r>
  <r>
    <n v="8"/>
    <x v="2"/>
    <n v="3"/>
    <n v="40"/>
    <n v="45"/>
    <s v="Leguminosae"/>
    <x v="68"/>
    <s v="Tzalam"/>
    <n v="93"/>
    <n v="29.602819415092533"/>
    <n v="2"/>
    <n v="14"/>
    <m/>
    <s v="C"/>
    <s v="S"/>
    <x v="0"/>
    <n v="0.4729279263468506"/>
    <s v="árbol"/>
    <n v="3"/>
    <s v="Vol = Exp(-10.07810188+1.92989964*LN(DIAMETRO)+1.07701930*LN(ALTURATOTAL))."/>
    <n v="0.49780946941758381"/>
  </r>
  <r>
    <n v="12"/>
    <x v="0"/>
    <n v="4"/>
    <s v="31B"/>
    <n v="45"/>
    <s v="Leguminosae"/>
    <x v="68"/>
    <s v="Tzalam"/>
    <n v="25.5"/>
    <n v="8.1169020976866619"/>
    <n v="5"/>
    <n v="9"/>
    <m/>
    <s v="C"/>
    <s v="S"/>
    <x v="1"/>
    <n v="1.1087974071493387"/>
    <s v="arbusto"/>
    <m/>
    <m/>
    <m/>
  </r>
  <r>
    <n v="12"/>
    <x v="0"/>
    <n v="4"/>
    <s v="31C"/>
    <n v="46"/>
    <s v="Leguminosae"/>
    <x v="68"/>
    <s v="Tzalam"/>
    <n v="27.5"/>
    <n v="8.753521870054243"/>
    <n v="5"/>
    <n v="8"/>
    <m/>
    <s v="C"/>
    <s v="S"/>
    <x v="1"/>
    <n v="0.91391786286248533"/>
    <s v="arbusto"/>
    <m/>
    <m/>
    <m/>
  </r>
  <r>
    <n v="12"/>
    <x v="0"/>
    <n v="4"/>
    <s v="31D"/>
    <n v="47"/>
    <s v="Leguminosae"/>
    <x v="68"/>
    <s v="Tzalam"/>
    <n v="25.5"/>
    <n v="8.1169020976866619"/>
    <n v="4"/>
    <n v="9"/>
    <m/>
    <s v="C"/>
    <s v="S"/>
    <x v="1"/>
    <n v="1.1087974071493387"/>
    <s v="arbusto"/>
    <m/>
    <m/>
    <m/>
  </r>
  <r>
    <n v="12"/>
    <x v="0"/>
    <n v="4"/>
    <s v="31E"/>
    <n v="48"/>
    <s v="Leguminosae"/>
    <x v="68"/>
    <s v="Tzalam"/>
    <n v="31"/>
    <n v="9.8676064716975116"/>
    <n v="2"/>
    <n v="9"/>
    <m/>
    <s v="C"/>
    <s v="S"/>
    <x v="1"/>
    <n v="0.91207528652606895"/>
    <s v="arbusto"/>
    <m/>
    <m/>
    <m/>
  </r>
  <r>
    <n v="8"/>
    <x v="2"/>
    <n v="3"/>
    <n v="44"/>
    <n v="49"/>
    <s v="Leguminosae"/>
    <x v="68"/>
    <s v="Tzalam"/>
    <n v="41"/>
    <n v="13.050705333535419"/>
    <n v="8"/>
    <n v="13"/>
    <m/>
    <s v="C"/>
    <s v="S"/>
    <x v="0"/>
    <n v="0.99611474382115384"/>
    <s v="árbol"/>
    <n v="3"/>
    <s v="Vol = Exp(-10.07810188+1.92989964*LN(DIAMETRO)+1.07701930*LN(ALTURATOTAL))."/>
    <n v="9.4609790138521777E-2"/>
  </r>
  <r>
    <n v="12"/>
    <x v="0"/>
    <n v="4"/>
    <n v="32"/>
    <n v="49"/>
    <s v="Leguminosae"/>
    <x v="68"/>
    <s v="Tzalam"/>
    <n v="30"/>
    <n v="9.5492965855137211"/>
    <n v="4.5"/>
    <n v="9"/>
    <m/>
    <s v="C"/>
    <s v="S"/>
    <x v="0"/>
    <n v="0.94247779607693793"/>
    <s v="arbusto"/>
    <m/>
    <m/>
    <m/>
  </r>
  <r>
    <n v="8"/>
    <x v="2"/>
    <n v="4"/>
    <n v="45"/>
    <n v="50"/>
    <s v="Leguminosae"/>
    <x v="68"/>
    <s v="Tzalam"/>
    <n v="90"/>
    <n v="28.647889756541161"/>
    <n v="2.5"/>
    <n v="12"/>
    <m/>
    <s v="C"/>
    <s v="S"/>
    <x v="0"/>
    <n v="0.41887902047863906"/>
    <s v="árbol"/>
    <n v="3"/>
    <s v="Vol = Exp(-10.07810188+1.92989964*LN(DIAMETRO)+1.07701930*LN(ALTURATOTAL))."/>
    <n v="0.39580160480387511"/>
  </r>
  <r>
    <n v="12"/>
    <x v="0"/>
    <n v="4"/>
    <n v="33"/>
    <n v="50"/>
    <s v="Leguminosae"/>
    <x v="68"/>
    <s v="Tzalam"/>
    <n v="16"/>
    <n v="5.0929581789406511"/>
    <n v="5"/>
    <n v="8"/>
    <m/>
    <s v="C"/>
    <s v="S"/>
    <x v="0"/>
    <n v="1.5707963267948966"/>
    <s v="arbusto"/>
    <m/>
    <m/>
    <m/>
  </r>
  <r>
    <n v="12"/>
    <x v="0"/>
    <n v="4"/>
    <n v="35"/>
    <n v="52"/>
    <s v="Leguminosae"/>
    <x v="68"/>
    <s v="Tzalam"/>
    <n v="18"/>
    <n v="5.7295779513082321"/>
    <n v="2"/>
    <n v="9"/>
    <m/>
    <s v="CB"/>
    <s v="S"/>
    <x v="0"/>
    <n v="1.5707963267948966"/>
    <s v="arbusto"/>
    <m/>
    <m/>
    <m/>
  </r>
  <r>
    <n v="12"/>
    <x v="0"/>
    <n v="4"/>
    <s v="35A"/>
    <n v="53"/>
    <s v="Leguminosae"/>
    <x v="68"/>
    <s v="Tzalam"/>
    <n v="19.5"/>
    <n v="6.2070427805839179"/>
    <n v="4.5"/>
    <n v="10"/>
    <m/>
    <s v="C"/>
    <s v="S"/>
    <x v="1"/>
    <n v="1.6110731556870734"/>
    <s v="arbusto"/>
    <m/>
    <m/>
    <m/>
  </r>
  <r>
    <n v="12"/>
    <x v="0"/>
    <n v="4"/>
    <s v="35B"/>
    <n v="54"/>
    <s v="Leguminosae"/>
    <x v="68"/>
    <s v="Tzalam"/>
    <n v="21.5"/>
    <n v="6.8436625529514998"/>
    <n v="4"/>
    <n v="9"/>
    <m/>
    <s v="C"/>
    <s v="S"/>
    <x v="1"/>
    <n v="1.3150852968515412"/>
    <s v="arbusto"/>
    <m/>
    <m/>
    <m/>
  </r>
  <r>
    <n v="8"/>
    <x v="2"/>
    <n v="4"/>
    <n v="50"/>
    <n v="55"/>
    <s v="Leguminosae"/>
    <x v="68"/>
    <s v="Tzalam"/>
    <n v="93"/>
    <n v="29.602819415092533"/>
    <n v="8"/>
    <n v="13"/>
    <m/>
    <s v="C"/>
    <s v="S"/>
    <x v="0"/>
    <n v="0.4391473601792184"/>
    <s v="árbol"/>
    <n v="3"/>
    <s v="Vol = Exp(-10.07810188+1.92989964*LN(DIAMETRO)+1.07701930*LN(ALTURATOTAL))."/>
    <n v="0.45962075141712921"/>
  </r>
  <r>
    <n v="12"/>
    <x v="0"/>
    <n v="4"/>
    <n v="36"/>
    <n v="55"/>
    <s v="Leguminosae"/>
    <x v="68"/>
    <s v="Tzalam"/>
    <n v="25.5"/>
    <n v="8.1169020976866619"/>
    <n v="4"/>
    <n v="10"/>
    <m/>
    <s v="CB"/>
    <s v="S"/>
    <x v="0"/>
    <n v="1.2319971190548209"/>
    <s v="arbusto"/>
    <m/>
    <m/>
    <m/>
  </r>
  <r>
    <n v="12"/>
    <x v="0"/>
    <n v="4"/>
    <s v="36A"/>
    <n v="56"/>
    <s v="Leguminosae"/>
    <x v="68"/>
    <s v="Tzalam"/>
    <n v="21.5"/>
    <n v="6.8436625529514998"/>
    <n v="3"/>
    <n v="10"/>
    <m/>
    <s v="C"/>
    <s v="S"/>
    <x v="1"/>
    <n v="1.4612058853906014"/>
    <s v="arbusto"/>
    <m/>
    <m/>
    <m/>
  </r>
  <r>
    <n v="12"/>
    <x v="0"/>
    <n v="4"/>
    <n v="37"/>
    <n v="57"/>
    <s v="Leguminosae"/>
    <x v="68"/>
    <s v="Tzalam"/>
    <n v="22"/>
    <n v="7.0028174960433951"/>
    <n v="4"/>
    <n v="9"/>
    <m/>
    <s v="CB"/>
    <s v="S"/>
    <x v="0"/>
    <n v="1.2851969946503699"/>
    <s v="arbusto"/>
    <m/>
    <m/>
    <m/>
  </r>
  <r>
    <n v="12"/>
    <x v="0"/>
    <n v="4"/>
    <s v="37A"/>
    <n v="58"/>
    <s v="Leguminosae"/>
    <x v="68"/>
    <s v="Tzalam"/>
    <n v="20.5"/>
    <n v="6.5253526667677093"/>
    <n v="5"/>
    <n v="9"/>
    <m/>
    <s v="C"/>
    <s v="S"/>
    <x v="1"/>
    <n v="1.3792357991369824"/>
    <s v="arbusto"/>
    <m/>
    <m/>
    <m/>
  </r>
  <r>
    <n v="8"/>
    <x v="2"/>
    <n v="4"/>
    <n v="56"/>
    <n v="61"/>
    <s v="Leguminosae"/>
    <x v="68"/>
    <s v="Tzalam"/>
    <n v="72"/>
    <n v="22.918311805232928"/>
    <n v="5"/>
    <n v="12"/>
    <m/>
    <s v="C"/>
    <s v="S"/>
    <x v="0"/>
    <n v="0.52359877559829882"/>
    <s v="árbol"/>
    <n v="3"/>
    <s v="Vol = Exp(-10.07810188+1.92989964*LN(DIAMETRO)+1.07701930*LN(ALTURATOTAL))."/>
    <n v="0.25730661503793956"/>
  </r>
  <r>
    <n v="8"/>
    <x v="2"/>
    <n v="4"/>
    <s v="56A"/>
    <n v="62"/>
    <s v="Leguminosae"/>
    <x v="68"/>
    <s v="Tzalam"/>
    <n v="66"/>
    <n v="21.008452488130185"/>
    <n v="7"/>
    <n v="12"/>
    <m/>
    <s v="C"/>
    <s v="S"/>
    <x v="1"/>
    <n v="0.5711986642890533"/>
    <s v="árbol"/>
    <n v="3"/>
    <s v="Vol = Exp(-10.07810188+1.92989964*LN(DIAMETRO)+1.07701930*LN(ALTURATOTAL))."/>
    <n v="0.21753183404963372"/>
  </r>
  <r>
    <n v="3"/>
    <x v="2"/>
    <n v="4"/>
    <n v="54"/>
    <n v="63"/>
    <s v="Leguminosae"/>
    <x v="68"/>
    <s v="Tzalam"/>
    <n v="96.5"/>
    <n v="30.7169040167358"/>
    <n v="4"/>
    <n v="13"/>
    <m/>
    <s v="C"/>
    <s v="S"/>
    <x v="0"/>
    <n v="0.42321973571675969"/>
    <s v="árbol"/>
    <n v="3"/>
    <s v="Vol = Exp(-10.07810188+1.92989964*LN(DIAMETRO)+1.07701930*LN(ALTURATOTAL))."/>
    <n v="0.49358691980838382"/>
  </r>
  <r>
    <n v="8"/>
    <x v="2"/>
    <n v="4"/>
    <s v="56B"/>
    <n v="63"/>
    <s v="Leguminosae"/>
    <x v="68"/>
    <s v="Tzalam"/>
    <n v="50"/>
    <n v="15.915494309189533"/>
    <n v="5.5"/>
    <n v="10"/>
    <m/>
    <s v="C"/>
    <s v="S"/>
    <x v="1"/>
    <n v="0.62831853071795862"/>
    <s v="árbol"/>
    <n v="3"/>
    <s v="Vol = Exp(-10.07810188+1.92989964*LN(DIAMETRO)+1.07701930*LN(ALTURATOTAL))."/>
    <n v="0.10460381040135047"/>
  </r>
  <r>
    <n v="8"/>
    <x v="2"/>
    <n v="4"/>
    <n v="57"/>
    <n v="64"/>
    <s v="Leguminosae"/>
    <x v="68"/>
    <s v="Tzalam"/>
    <n v="50.5"/>
    <n v="16.074649252281429"/>
    <n v="4"/>
    <n v="13"/>
    <m/>
    <s v="C"/>
    <s v="S"/>
    <x v="0"/>
    <n v="0.80872682171618437"/>
    <s v="árbol"/>
    <n v="3"/>
    <s v="Vol = Exp(-10.07810188+1.92989964*LN(DIAMETRO)+1.07701930*LN(ALTURATOTAL))."/>
    <n v="0.14145115960112314"/>
  </r>
  <r>
    <n v="1"/>
    <x v="2"/>
    <n v="4"/>
    <n v="21"/>
    <n v="24"/>
    <s v="Icacinaceae"/>
    <x v="69"/>
    <s v="Uvas che' "/>
    <n v="35"/>
    <n v="11.140846016432674"/>
    <n v="3"/>
    <n v="10"/>
    <m/>
    <s v="C"/>
    <s v="S"/>
    <x v="0"/>
    <n v="0.89759790102565518"/>
    <s v="árbol"/>
    <n v="14"/>
    <s v="Vol = Exp(-9.52375084+1.81551953*LN(DIAMETRO)+1.03039019*LN(ALTURATOTAL))"/>
    <n v="6.2370344105770845E-2"/>
  </r>
  <r>
    <n v="12"/>
    <x v="1"/>
    <m/>
    <n v="6"/>
    <n v="6"/>
    <s v="Rhamnaceae"/>
    <x v="70"/>
    <s v="Ciruela de monte"/>
    <m/>
    <m/>
    <m/>
    <n v="5"/>
    <e v="#REF!"/>
    <m/>
    <s v="S"/>
    <x v="0"/>
    <e v="#DIV/0!"/>
    <s v="herbácea"/>
    <m/>
    <m/>
    <m/>
  </r>
  <r>
    <n v="7"/>
    <x v="2"/>
    <n v="1"/>
    <n v="2"/>
    <n v="2"/>
    <s v="Arecaceae"/>
    <x v="60"/>
    <s v="Xa'an"/>
    <n v="65"/>
    <n v="20.690142601946395"/>
    <n v="4"/>
    <n v="7"/>
    <m/>
    <s v="R"/>
    <s v="S"/>
    <x v="0"/>
    <n v="0.33832536269428543"/>
    <s v="árbol"/>
    <m/>
    <m/>
    <m/>
  </r>
  <r>
    <n v="1"/>
    <x v="2"/>
    <n v="2"/>
    <n v="4"/>
    <n v="5"/>
    <s v="Arecaceae"/>
    <x v="60"/>
    <s v="Xa'an"/>
    <n v="64"/>
    <n v="20.371832715762604"/>
    <n v="1.8"/>
    <n v="5"/>
    <m/>
    <s v="R"/>
    <s v="S"/>
    <x v="0"/>
    <n v="0.24543692606170259"/>
    <s v="árbol"/>
    <m/>
    <m/>
    <m/>
  </r>
  <r>
    <n v="8"/>
    <x v="2"/>
    <n v="1"/>
    <n v="6"/>
    <n v="7"/>
    <s v="Arecaceae"/>
    <x v="60"/>
    <s v="Xa'an"/>
    <n v="64"/>
    <n v="20.371832715762604"/>
    <n v="6"/>
    <n v="8"/>
    <m/>
    <s v="C"/>
    <s v="S"/>
    <x v="0"/>
    <n v="0.39269908169872414"/>
    <s v="árbol"/>
    <m/>
    <m/>
    <m/>
  </r>
  <r>
    <n v="10"/>
    <x v="2"/>
    <n v="3"/>
    <n v="12"/>
    <n v="12"/>
    <s v="Arecaceae"/>
    <x v="60"/>
    <s v="Xa'an"/>
    <n v="34"/>
    <n v="10.822536130248883"/>
    <n v="1.3"/>
    <n v="5.5"/>
    <m/>
    <s v="C"/>
    <s v="S"/>
    <x v="0"/>
    <n v="0.5081988116101136"/>
    <s v="árbol"/>
    <m/>
    <m/>
    <m/>
  </r>
  <r>
    <n v="11"/>
    <x v="2"/>
    <n v="3"/>
    <n v="11"/>
    <n v="12"/>
    <s v="Arecaceae"/>
    <x v="60"/>
    <s v="Xa'an"/>
    <n v="50"/>
    <n v="15.915494309189533"/>
    <n v="5"/>
    <n v="8"/>
    <m/>
    <s v="C"/>
    <s v="S"/>
    <x v="0"/>
    <n v="0.50265482457436694"/>
    <s v="árbol"/>
    <m/>
    <m/>
    <m/>
  </r>
  <r>
    <n v="3"/>
    <x v="2"/>
    <n v="2"/>
    <n v="23"/>
    <n v="23"/>
    <s v="Arecaceae"/>
    <x v="60"/>
    <s v="Xa'an"/>
    <n v="55"/>
    <n v="17.507043740108486"/>
    <n v="5"/>
    <n v="8"/>
    <m/>
    <s v="C"/>
    <s v="S"/>
    <x v="0"/>
    <n v="0.45695893143124267"/>
    <s v="árbol"/>
    <m/>
    <m/>
    <m/>
  </r>
  <r>
    <n v="7"/>
    <x v="2"/>
    <n v="2"/>
    <n v="22"/>
    <n v="25"/>
    <s v="Arecaceae"/>
    <x v="60"/>
    <s v="Xa'an"/>
    <n v="72"/>
    <n v="22.918311805232928"/>
    <n v="8"/>
    <n v="14"/>
    <m/>
    <s v="C"/>
    <s v="S"/>
    <x v="0"/>
    <n v="0.6108652381980153"/>
    <s v="árbol"/>
    <m/>
    <m/>
    <m/>
  </r>
  <r>
    <n v="7"/>
    <x v="2"/>
    <n v="4"/>
    <n v="43"/>
    <n v="46"/>
    <s v="Arecaceae"/>
    <x v="60"/>
    <s v="Xa'an"/>
    <n v="80"/>
    <n v="25.464790894703256"/>
    <n v="3.5"/>
    <n v="8"/>
    <m/>
    <s v="C"/>
    <s v="S"/>
    <x v="0"/>
    <n v="0.31415926535897931"/>
    <s v="árbol"/>
    <m/>
    <m/>
    <m/>
  </r>
  <r>
    <n v="7"/>
    <x v="2"/>
    <n v="4"/>
    <n v="44"/>
    <n v="47"/>
    <s v="Arecaceae"/>
    <x v="60"/>
    <s v="Xa'an"/>
    <n v="55"/>
    <n v="17.507043740108486"/>
    <n v="6"/>
    <n v="9"/>
    <m/>
    <s v="C"/>
    <s v="S"/>
    <x v="0"/>
    <n v="0.51407879786014798"/>
    <s v="árbol"/>
    <m/>
    <m/>
    <m/>
  </r>
  <r>
    <n v="9"/>
    <x v="0"/>
    <n v="1"/>
    <n v="1"/>
    <n v="1"/>
    <s v="Leguminosae"/>
    <x v="52"/>
    <s v="Xul"/>
    <n v="22"/>
    <n v="7.0028174960433951"/>
    <n v="7.5"/>
    <n v="9"/>
    <m/>
    <s v="C"/>
    <s v="S"/>
    <x v="0"/>
    <n v="1.2851969946503699"/>
    <s v="arbusto"/>
    <m/>
    <m/>
    <m/>
  </r>
  <r>
    <n v="9"/>
    <x v="0"/>
    <n v="1"/>
    <n v="4"/>
    <n v="4"/>
    <s v="Leguminosae"/>
    <x v="52"/>
    <s v="Xul"/>
    <n v="27"/>
    <n v="8.5943669269623477"/>
    <n v="5"/>
    <n v="10"/>
    <m/>
    <s v="C"/>
    <s v="S"/>
    <x v="0"/>
    <n v="1.1635528346628865"/>
    <s v="arbusto"/>
    <m/>
    <m/>
    <m/>
  </r>
  <r>
    <n v="9"/>
    <x v="0"/>
    <n v="1"/>
    <n v="6"/>
    <n v="6"/>
    <s v="Leguminosae"/>
    <x v="52"/>
    <s v="Xul"/>
    <n v="18.5"/>
    <n v="5.8887328944001274"/>
    <n v="7"/>
    <n v="10"/>
    <m/>
    <s v="C"/>
    <s v="S"/>
    <x v="0"/>
    <n v="1.698158191129618"/>
    <s v="arbusto"/>
    <m/>
    <m/>
    <m/>
  </r>
  <r>
    <n v="12"/>
    <x v="1"/>
    <m/>
    <n v="7"/>
    <n v="7"/>
    <s v="Rhamnaceae"/>
    <x v="70"/>
    <s v="Ciruela de monte"/>
    <m/>
    <m/>
    <m/>
    <n v="5"/>
    <e v="#REF!"/>
    <m/>
    <s v="S"/>
    <x v="0"/>
    <e v="#DIV/0!"/>
    <s v="herbácea"/>
    <m/>
    <m/>
    <m/>
  </r>
  <r>
    <n v="12"/>
    <x v="1"/>
    <m/>
    <n v="8"/>
    <n v="8"/>
    <s v="Myrtaceae"/>
    <x v="1"/>
    <s v="Granada cimarrona"/>
    <m/>
    <m/>
    <m/>
    <n v="2.4"/>
    <e v="#REF!"/>
    <m/>
    <s v="S"/>
    <x v="0"/>
    <e v="#DIV/0!"/>
    <s v="herbácea"/>
    <m/>
    <m/>
    <m/>
  </r>
  <r>
    <n v="9"/>
    <x v="0"/>
    <n v="1"/>
    <n v="8"/>
    <n v="8"/>
    <s v="Leguminosae"/>
    <x v="52"/>
    <s v="Xul"/>
    <n v="17"/>
    <n v="5.4112680651244416"/>
    <n v="7"/>
    <n v="9"/>
    <m/>
    <s v="C"/>
    <s v="S"/>
    <x v="0"/>
    <n v="1.6631961107240081"/>
    <s v="arbusto"/>
    <m/>
    <m/>
    <m/>
  </r>
  <r>
    <n v="12"/>
    <x v="1"/>
    <m/>
    <n v="9"/>
    <n v="9"/>
    <s v="Rubiaceae"/>
    <x v="35"/>
    <s v="Café de Monte"/>
    <m/>
    <m/>
    <m/>
    <n v="1.2"/>
    <e v="#REF!"/>
    <m/>
    <s v="S"/>
    <x v="0"/>
    <e v="#DIV/0!"/>
    <s v="herbácea"/>
    <m/>
    <m/>
    <m/>
  </r>
  <r>
    <n v="12"/>
    <x v="1"/>
    <m/>
    <n v="10"/>
    <n v="10"/>
    <s v="Rubiaceae"/>
    <x v="35"/>
    <s v="Café de Monte"/>
    <m/>
    <m/>
    <m/>
    <n v="1.2"/>
    <e v="#REF!"/>
    <m/>
    <s v="S"/>
    <x v="0"/>
    <e v="#DIV/0!"/>
    <s v="herbácea"/>
    <m/>
    <m/>
    <m/>
  </r>
  <r>
    <n v="12"/>
    <x v="1"/>
    <m/>
    <n v="11"/>
    <n v="11"/>
    <s v="Bignoniaceae"/>
    <x v="71"/>
    <s v="Bejuco seis hojas"/>
    <m/>
    <m/>
    <m/>
    <n v="9"/>
    <e v="#REF!"/>
    <m/>
    <s v="S"/>
    <x v="0"/>
    <e v="#DIV/0!"/>
    <s v="herbácea"/>
    <m/>
    <m/>
    <m/>
  </r>
  <r>
    <n v="9"/>
    <x v="0"/>
    <n v="2"/>
    <n v="14"/>
    <n v="14"/>
    <s v="Leguminosae"/>
    <x v="52"/>
    <s v="Xul"/>
    <n v="17"/>
    <n v="5.4112680651244416"/>
    <n v="9"/>
    <n v="12"/>
    <m/>
    <s v="C"/>
    <s v="S"/>
    <x v="0"/>
    <n v="2.2175948142986774"/>
    <s v="arbusto"/>
    <m/>
    <m/>
    <m/>
  </r>
  <r>
    <n v="9"/>
    <x v="0"/>
    <n v="2"/>
    <n v="16"/>
    <n v="16"/>
    <s v="Leguminosae"/>
    <x v="52"/>
    <s v="Xul"/>
    <n v="19.5"/>
    <n v="6.2070427805839179"/>
    <n v="4"/>
    <n v="9"/>
    <m/>
    <s v="C"/>
    <s v="S"/>
    <x v="0"/>
    <n v="1.4499658401183662"/>
    <s v="arbusto"/>
    <m/>
    <m/>
    <m/>
  </r>
  <r>
    <n v="9"/>
    <x v="0"/>
    <n v="2"/>
    <n v="18"/>
    <n v="18"/>
    <s v="Leguminosae"/>
    <x v="52"/>
    <s v="Xul"/>
    <n v="18"/>
    <n v="5.7295779513082321"/>
    <n v="5"/>
    <n v="8"/>
    <m/>
    <s v="C"/>
    <s v="S"/>
    <x v="0"/>
    <n v="1.3962634015954636"/>
    <s v="arbusto"/>
    <m/>
    <m/>
    <m/>
  </r>
  <r>
    <n v="12"/>
    <x v="1"/>
    <m/>
    <n v="12"/>
    <n v="12"/>
    <s v="Bignoniaceae"/>
    <x v="26"/>
    <s v="Sool aak"/>
    <m/>
    <m/>
    <m/>
    <n v="5"/>
    <e v="#REF!"/>
    <m/>
    <s v="S"/>
    <x v="0"/>
    <e v="#DIV/0!"/>
    <s v="herbácea"/>
    <m/>
    <m/>
    <m/>
  </r>
  <r>
    <n v="9"/>
    <x v="0"/>
    <n v="2"/>
    <n v="22"/>
    <n v="22"/>
    <s v="Leguminosae"/>
    <x v="52"/>
    <s v="Xul"/>
    <n v="18.5"/>
    <n v="5.8887328944001274"/>
    <n v="8"/>
    <n v="11"/>
    <m/>
    <s v="C"/>
    <s v="S"/>
    <x v="0"/>
    <n v="1.8679740102425797"/>
    <s v="arbusto"/>
    <m/>
    <m/>
    <m/>
  </r>
  <r>
    <n v="12"/>
    <x v="1"/>
    <m/>
    <n v="13"/>
    <n v="13"/>
    <s v="Vitaceae "/>
    <x v="32"/>
    <s v="Bejuco Cissus"/>
    <m/>
    <m/>
    <m/>
    <n v="0.8"/>
    <e v="#REF!"/>
    <m/>
    <s v="S"/>
    <x v="0"/>
    <e v="#DIV/0!"/>
    <s v="herbácea"/>
    <m/>
    <m/>
    <m/>
  </r>
  <r>
    <n v="12"/>
    <x v="1"/>
    <m/>
    <n v="14"/>
    <n v="14"/>
    <s v="Bignoniaceae"/>
    <x v="71"/>
    <s v="Bejuco seis hojas"/>
    <m/>
    <m/>
    <m/>
    <n v="4"/>
    <e v="#REF!"/>
    <m/>
    <s v="S"/>
    <x v="0"/>
    <e v="#DIV/0!"/>
    <s v="herbácea"/>
    <m/>
    <m/>
    <m/>
  </r>
  <r>
    <n v="12"/>
    <x v="1"/>
    <m/>
    <n v="15"/>
    <n v="15"/>
    <s v="Bignoniaceae"/>
    <x v="71"/>
    <s v="Bejuco seis hojas"/>
    <m/>
    <m/>
    <m/>
    <n v="8"/>
    <e v="#REF!"/>
    <m/>
    <s v="S"/>
    <x v="0"/>
    <e v="#DIV/0!"/>
    <s v="herbácea"/>
    <m/>
    <m/>
    <m/>
  </r>
  <r>
    <n v="9"/>
    <x v="2"/>
    <n v="4"/>
    <n v="24"/>
    <n v="27"/>
    <s v="Leguminosae"/>
    <x v="52"/>
    <s v="Xul"/>
    <n v="32"/>
    <n v="10.185916357881302"/>
    <n v="6"/>
    <n v="12"/>
    <m/>
    <s v="C"/>
    <s v="S"/>
    <x v="0"/>
    <n v="1.1780972450961724"/>
    <s v="árbol"/>
    <n v="5"/>
    <s v="Vol = Exp(-9.5208709+1.85580925*LN(DIAMETRO)+0.96207943*LN(ALTURATOTAL))"/>
    <n v="5.9436373519664056E-2"/>
  </r>
  <r>
    <n v="10"/>
    <x v="0"/>
    <n v="3"/>
    <n v="36"/>
    <n v="36"/>
    <s v="Leguminosae"/>
    <x v="52"/>
    <s v="Xul"/>
    <n v="22"/>
    <n v="7.0028174960433951"/>
    <n v="6"/>
    <n v="9"/>
    <m/>
    <s v="C"/>
    <s v="S"/>
    <x v="0"/>
    <n v="1.2851969946503699"/>
    <s v="arbusto"/>
    <m/>
    <m/>
    <m/>
  </r>
  <r>
    <n v="9"/>
    <x v="0"/>
    <n v="4"/>
    <n v="42"/>
    <n v="42"/>
    <s v="Leguminosae"/>
    <x v="52"/>
    <s v="Xul"/>
    <n v="23.5"/>
    <n v="7.4802823253190809"/>
    <n v="8"/>
    <n v="12"/>
    <m/>
    <s v="C"/>
    <s v="S"/>
    <x v="0"/>
    <n v="1.6042175252373412"/>
    <s v="arbusto"/>
    <m/>
    <m/>
    <m/>
  </r>
  <r>
    <n v="11"/>
    <x v="2"/>
    <n v="1"/>
    <n v="1"/>
    <n v="1"/>
    <s v="Lamiaceae"/>
    <x v="9"/>
    <s v="Ya'axnik"/>
    <n v="46"/>
    <n v="14.642254764454371"/>
    <n v="3.5"/>
    <n v="8"/>
    <m/>
    <s v="CB"/>
    <s v="S"/>
    <x v="0"/>
    <n v="0.54636393975474662"/>
    <s v="árbol"/>
    <n v="17"/>
    <s v="Vol = Exp(-9.52375084+1.81551953*LN(DIAMETRO)+1.03039019*LN(ALTURATOTAL))"/>
    <n v="8.139667044645249E-2"/>
  </r>
  <r>
    <n v="11"/>
    <x v="0"/>
    <n v="1"/>
    <n v="1"/>
    <n v="1"/>
    <s v="Lamiaceae"/>
    <x v="9"/>
    <s v="Ya'axnik"/>
    <n v="30"/>
    <n v="9.5492965855137211"/>
    <n v="3.5"/>
    <n v="8"/>
    <m/>
    <s v="C"/>
    <s v="S"/>
    <x v="0"/>
    <n v="0.83775804095727813"/>
    <s v="arbusto"/>
    <m/>
    <m/>
    <m/>
  </r>
  <r>
    <n v="11"/>
    <x v="2"/>
    <n v="1"/>
    <s v="1A"/>
    <n v="2"/>
    <s v="Lamiaceae"/>
    <x v="9"/>
    <s v="Ya'axnik"/>
    <n v="35.5"/>
    <n v="11.300000959524569"/>
    <n v="3"/>
    <n v="8"/>
    <m/>
    <s v="C"/>
    <s v="S"/>
    <x v="1"/>
    <n v="0.70796454165403788"/>
    <s v="árbol"/>
    <n v="17"/>
    <s v="Vol = Exp(-9.52375084+1.81551953*LN(DIAMETRO)+1.03039019*LN(ALTURATOTAL))"/>
    <n v="5.0851898815852531E-2"/>
  </r>
  <r>
    <n v="11"/>
    <x v="0"/>
    <n v="1"/>
    <n v="2"/>
    <n v="2"/>
    <s v="Lamiaceae"/>
    <x v="9"/>
    <s v="Ya'axnik"/>
    <n v="24.5"/>
    <n v="7.7985922115028714"/>
    <n v="4"/>
    <n v="8"/>
    <m/>
    <s v="C"/>
    <s v="S"/>
    <x v="0"/>
    <n v="1.0258261726007487"/>
    <s v="arbusto"/>
    <m/>
    <m/>
    <m/>
  </r>
  <r>
    <n v="6"/>
    <x v="2"/>
    <n v="1"/>
    <n v="3"/>
    <n v="3"/>
    <s v="Lamiaceae"/>
    <x v="9"/>
    <s v="Ya'axnik"/>
    <n v="35"/>
    <n v="11.140846016432674"/>
    <n v="6"/>
    <n v="10"/>
    <m/>
    <s v="CB"/>
    <s v="S"/>
    <x v="0"/>
    <n v="0.89759790102565518"/>
    <s v="árbol"/>
    <n v="17"/>
    <s v="Vol = Exp(-9.52375084+1.81551953*LN(DIAMETRO)+1.03039019*LN(ALTURATOTAL))"/>
    <n v="6.2370344105770845E-2"/>
  </r>
  <r>
    <n v="5"/>
    <x v="0"/>
    <n v="1"/>
    <n v="2"/>
    <n v="3"/>
    <s v="Lamiaceae"/>
    <x v="9"/>
    <s v="Ya'axnik"/>
    <n v="28"/>
    <n v="8.91267681314614"/>
    <n v="5"/>
    <n v="14"/>
    <m/>
    <s v="C"/>
    <s v="S"/>
    <x v="0"/>
    <n v="1.5707963267948963"/>
    <s v="arbusto"/>
    <m/>
    <m/>
    <m/>
  </r>
  <r>
    <n v="8"/>
    <x v="0"/>
    <n v="1"/>
    <n v="3"/>
    <n v="3"/>
    <s v="Lamiaceae"/>
    <x v="9"/>
    <s v="Ya'axnik"/>
    <n v="19"/>
    <n v="6.0478878374920226"/>
    <n v="7"/>
    <n v="9"/>
    <m/>
    <s v="C"/>
    <s v="S"/>
    <x v="0"/>
    <n v="1.4881228359109546"/>
    <s v="arbusto"/>
    <m/>
    <m/>
    <m/>
  </r>
  <r>
    <n v="5"/>
    <x v="2"/>
    <n v="1"/>
    <n v="4"/>
    <n v="4"/>
    <s v="Lamiaceae"/>
    <x v="9"/>
    <s v="Ya'axnik"/>
    <n v="37.5"/>
    <n v="11.93662073189215"/>
    <n v="6"/>
    <n v="10"/>
    <m/>
    <s v="C"/>
    <s v="S"/>
    <x v="0"/>
    <n v="0.83775804095727824"/>
    <s v="árbol"/>
    <n v="17"/>
    <s v="Vol = Exp(-9.52375084+1.81551953*LN(DIAMETRO)+1.03039019*LN(ALTURATOTAL))"/>
    <n v="7.0693088734366083E-2"/>
  </r>
  <r>
    <n v="6"/>
    <x v="2"/>
    <n v="1"/>
    <s v="3A"/>
    <n v="4"/>
    <s v="Lamiaceae"/>
    <x v="9"/>
    <s v="Ya'axnik"/>
    <n v="32.5"/>
    <n v="10.345071300973197"/>
    <n v="6"/>
    <n v="10"/>
    <m/>
    <s v="C"/>
    <s v="S"/>
    <x v="1"/>
    <n v="0.96664389341224399"/>
    <s v="árbol"/>
    <n v="17"/>
    <s v="Vol = Exp(-9.52375084+1.81551953*LN(DIAMETRO)+1.03039019*LN(ALTURATOTAL))"/>
    <n v="5.451879130983666E-2"/>
  </r>
  <r>
    <n v="8"/>
    <x v="0"/>
    <n v="1"/>
    <n v="4"/>
    <n v="4"/>
    <s v="Lamiaceae"/>
    <x v="9"/>
    <s v="Ya'axnik"/>
    <n v="25"/>
    <n v="7.9577471545947667"/>
    <n v="4.5"/>
    <n v="9"/>
    <m/>
    <s v="C"/>
    <s v="S"/>
    <x v="0"/>
    <n v="1.1309733552923256"/>
    <s v="arbusto"/>
    <m/>
    <m/>
    <m/>
  </r>
  <r>
    <n v="7"/>
    <x v="0"/>
    <n v="3"/>
    <n v="5"/>
    <n v="5"/>
    <s v="Lamiaceae"/>
    <x v="9"/>
    <s v="Ya'axnik"/>
    <n v="28"/>
    <n v="8.91267681314614"/>
    <n v="6.5"/>
    <n v="11"/>
    <m/>
    <s v="C"/>
    <s v="S"/>
    <x v="0"/>
    <n v="1.2341971139102756"/>
    <s v="arbusto"/>
    <m/>
    <m/>
    <m/>
  </r>
  <r>
    <n v="8"/>
    <x v="2"/>
    <n v="1"/>
    <n v="5"/>
    <n v="6"/>
    <s v="Lamiaceae"/>
    <x v="9"/>
    <s v="Ya'axnik"/>
    <n v="36"/>
    <n v="11.459155902616464"/>
    <n v="1.8"/>
    <n v="10"/>
    <m/>
    <s v="C"/>
    <s v="S"/>
    <x v="0"/>
    <n v="0.87266462599716477"/>
    <s v="árbol"/>
    <n v="17"/>
    <s v="Vol = Exp(-9.52375084+1.81551953*LN(DIAMETRO)+1.03039019*LN(ALTURATOTAL))"/>
    <n v="6.5643243928823439E-2"/>
  </r>
  <r>
    <n v="7"/>
    <x v="2"/>
    <n v="1"/>
    <n v="6"/>
    <n v="7"/>
    <s v="Lamiaceae"/>
    <x v="9"/>
    <s v="Ya'axnik"/>
    <n v="123"/>
    <n v="39.152116000606256"/>
    <n v="6"/>
    <n v="13"/>
    <m/>
    <s v="C"/>
    <s v="SB"/>
    <x v="0"/>
    <n v="0.33203824794038461"/>
    <s v="árbol"/>
    <n v="17"/>
    <s v="Vol = Exp(-9.52375084+1.81551953*LN(DIAMETRO)+1.03039019*LN(ALTURATOTAL))"/>
    <n v="0.80050142259012025"/>
  </r>
  <r>
    <n v="8"/>
    <x v="0"/>
    <n v="1"/>
    <n v="7"/>
    <n v="7"/>
    <s v="Lamiaceae"/>
    <x v="9"/>
    <s v="Ya'axnik"/>
    <n v="28"/>
    <n v="8.91267681314614"/>
    <n v="6"/>
    <n v="9"/>
    <m/>
    <s v="C"/>
    <s v="S"/>
    <x v="0"/>
    <n v="1.0097976386538621"/>
    <s v="arbusto"/>
    <m/>
    <m/>
    <m/>
  </r>
  <r>
    <n v="7"/>
    <x v="2"/>
    <n v="1"/>
    <s v="6A"/>
    <n v="8"/>
    <s v="Lamiaceae"/>
    <x v="9"/>
    <s v="Ya'axnik"/>
    <n v="68"/>
    <n v="21.645072260497766"/>
    <n v="6"/>
    <n v="13"/>
    <m/>
    <s v="C"/>
    <s v="S"/>
    <x v="1"/>
    <n v="0.60059859553922512"/>
    <s v="árbol"/>
    <n v="17"/>
    <s v="Vol = Exp(-9.52375084+1.81551953*LN(DIAMETRO)+1.03039019*LN(ALTURATOTAL))"/>
    <n v="0.27293188980277572"/>
  </r>
  <r>
    <n v="12"/>
    <x v="2"/>
    <n v="3"/>
    <n v="7"/>
    <n v="8"/>
    <s v="Lamiaceae"/>
    <x v="9"/>
    <s v="Ya'axnik"/>
    <n v="38.5"/>
    <n v="12.254930618075941"/>
    <n v="5"/>
    <n v="11"/>
    <m/>
    <s v="C"/>
    <s v="S"/>
    <x v="0"/>
    <n v="0.89759790102565529"/>
    <s v="árbol"/>
    <n v="17"/>
    <s v="Vol = Exp(-9.52375084+1.81551953*LN(DIAMETRO)+1.03039019*LN(ALTURATOTAL))"/>
    <n v="8.1804648924443071E-2"/>
  </r>
  <r>
    <n v="7"/>
    <x v="2"/>
    <n v="1"/>
    <s v="6B"/>
    <n v="9"/>
    <s v="Lamiaceae"/>
    <x v="9"/>
    <s v="Ya'axnik"/>
    <n v="58"/>
    <n v="18.461973398659861"/>
    <n v="1.8"/>
    <n v="12"/>
    <m/>
    <s v="C"/>
    <s v="S"/>
    <x v="1"/>
    <n v="0.64998468694961231"/>
    <s v="árbol"/>
    <n v="17"/>
    <s v="Vol = Exp(-9.52375084+1.81551953*LN(DIAMETRO)+1.03039019*LN(ALTURATOTAL))"/>
    <n v="0.18828598348685746"/>
  </r>
  <r>
    <n v="12"/>
    <x v="2"/>
    <n v="3"/>
    <n v="9"/>
    <n v="10"/>
    <s v="Lamiaceae"/>
    <x v="9"/>
    <s v="Ya'axnik"/>
    <n v="33"/>
    <n v="10.504226244065093"/>
    <n v="4.5"/>
    <n v="10"/>
    <m/>
    <s v="C"/>
    <s v="S"/>
    <x v="0"/>
    <n v="0.95199777381508877"/>
    <s v="árbol"/>
    <n v="17"/>
    <s v="Vol = Exp(-9.52375084+1.81551953*LN(DIAMETRO)+1.03039019*LN(ALTURATOTAL))"/>
    <n v="5.6051103143577655E-2"/>
  </r>
  <r>
    <n v="4"/>
    <x v="2"/>
    <n v="1"/>
    <n v="11"/>
    <n v="11"/>
    <s v="Lamiaceae"/>
    <x v="9"/>
    <s v="Ya'axnik"/>
    <n v="34"/>
    <n v="10.822536130248883"/>
    <n v="6"/>
    <n v="10"/>
    <m/>
    <s v="C"/>
    <s v="S"/>
    <x v="0"/>
    <n v="0.92399783929111567"/>
    <s v="árbol"/>
    <n v="17"/>
    <s v="Vol = Exp(-9.52375084+1.81551953*LN(DIAMETRO)+1.03039019*LN(ALTURATOTAL))"/>
    <n v="5.9172829084870877E-2"/>
  </r>
  <r>
    <n v="5"/>
    <x v="2"/>
    <n v="1"/>
    <n v="11"/>
    <n v="11"/>
    <s v="Lamiaceae"/>
    <x v="9"/>
    <s v="Ya'axnik"/>
    <n v="36.5"/>
    <n v="11.618310845708359"/>
    <n v="3"/>
    <n v="9"/>
    <m/>
    <s v="CB"/>
    <s v="S"/>
    <x v="0"/>
    <n v="0.7746392844467983"/>
    <s v="árbol"/>
    <n v="17"/>
    <s v="Vol = Exp(-9.52375084+1.81551953*LN(DIAMETRO)+1.03039019*LN(ALTURATOTAL))"/>
    <n v="6.0383403395902875E-2"/>
  </r>
  <r>
    <n v="4"/>
    <x v="2"/>
    <n v="1"/>
    <n v="12"/>
    <n v="12"/>
    <s v="Lamiaceae"/>
    <x v="9"/>
    <s v="Ya'axnik"/>
    <n v="49.5"/>
    <n v="15.756339366097638"/>
    <n v="6"/>
    <n v="12"/>
    <m/>
    <s v="C"/>
    <s v="S"/>
    <x v="0"/>
    <n v="0.76159821905207115"/>
    <s v="árbol"/>
    <n v="17"/>
    <s v="Vol = Exp(-9.52375084+1.81551953*LN(DIAMETRO)+1.03039019*LN(ALTURATOTAL))"/>
    <n v="0.141211108885963"/>
  </r>
  <r>
    <n v="5"/>
    <x v="2"/>
    <n v="1"/>
    <n v="12"/>
    <n v="12"/>
    <s v="Lamiaceae"/>
    <x v="9"/>
    <s v="Ya'axnik"/>
    <n v="37"/>
    <n v="11.777465788800255"/>
    <n v="6"/>
    <n v="13"/>
    <m/>
    <s v="C"/>
    <s v="S"/>
    <x v="0"/>
    <n v="1.1038028242342517"/>
    <s v="árbol"/>
    <n v="17"/>
    <s v="Vol = Exp(-9.52375084+1.81551953*LN(DIAMETRO)+1.03039019*LN(ALTURATOTAL))"/>
    <n v="9.0406450691164611E-2"/>
  </r>
  <r>
    <n v="5"/>
    <x v="2"/>
    <n v="1"/>
    <s v="12A"/>
    <n v="13"/>
    <s v="Lamiaceae"/>
    <x v="9"/>
    <s v="Ya'axnik"/>
    <n v="32.5"/>
    <n v="10.345071300973197"/>
    <n v="4"/>
    <n v="10"/>
    <m/>
    <s v="C"/>
    <s v="S"/>
    <x v="1"/>
    <n v="0.96664389341224399"/>
    <s v="árbol"/>
    <n v="17"/>
    <s v="Vol = Exp(-9.52375084+1.81551953*LN(DIAMETRO)+1.03039019*LN(ALTURATOTAL))"/>
    <n v="5.451879130983666E-2"/>
  </r>
  <r>
    <n v="11"/>
    <x v="2"/>
    <n v="3"/>
    <n v="12"/>
    <n v="13"/>
    <s v="Lamiaceae"/>
    <x v="9"/>
    <s v="Ya'axnik"/>
    <n v="34.5"/>
    <n v="10.981691073340778"/>
    <n v="6"/>
    <n v="12"/>
    <m/>
    <s v="C"/>
    <s v="S"/>
    <x v="0"/>
    <n v="1.0927278795094932"/>
    <s v="árbol"/>
    <n v="17"/>
    <s v="Vol = Exp(-9.52375084+1.81551953*LN(DIAMETRO)+1.03039019*LN(ALTURATOTAL))"/>
    <n v="7.3319691646719198E-2"/>
  </r>
  <r>
    <n v="2"/>
    <x v="0"/>
    <n v="4"/>
    <n v="14"/>
    <n v="14"/>
    <s v="Lamiaceae"/>
    <x v="9"/>
    <s v="Ya'axnik"/>
    <n v="17"/>
    <n v="5.4112680651244416"/>
    <n v="2.5"/>
    <n v="5"/>
    <m/>
    <s v="C"/>
    <s v="S"/>
    <x v="0"/>
    <n v="0.92399783929111567"/>
    <s v="arbusto"/>
    <m/>
    <m/>
    <m/>
  </r>
  <r>
    <n v="3"/>
    <x v="0"/>
    <n v="4"/>
    <n v="17"/>
    <n v="17"/>
    <s v="Lamiaceae"/>
    <x v="9"/>
    <s v="Ya'axnik"/>
    <n v="31"/>
    <n v="9.8676064716975116"/>
    <n v="8"/>
    <n v="10"/>
    <m/>
    <s v="C"/>
    <s v="S"/>
    <x v="0"/>
    <n v="1.0134169850289654"/>
    <s v="arbusto"/>
    <m/>
    <m/>
    <m/>
  </r>
  <r>
    <n v="1"/>
    <x v="2"/>
    <n v="3"/>
    <n v="18"/>
    <n v="21"/>
    <s v="Lamiaceae"/>
    <x v="9"/>
    <s v="Ya'axnik"/>
    <n v="175"/>
    <n v="55.70423008216337"/>
    <n v="5"/>
    <n v="19"/>
    <m/>
    <s v="C"/>
    <s v="S"/>
    <x v="0"/>
    <n v="0.34108720238974899"/>
    <s v="árbol"/>
    <n v="17"/>
    <s v="Vol = Exp(-9.52375084+1.81551953*LN(DIAMETRO)+1.03039019*LN(ALTURATOTAL))"/>
    <n v="2.2448990167528335"/>
  </r>
  <r>
    <n v="4"/>
    <x v="2"/>
    <n v="2"/>
    <n v="20"/>
    <n v="21"/>
    <s v="Lamiaceae"/>
    <x v="9"/>
    <s v="Ya'axnik"/>
    <n v="36"/>
    <n v="11.459155902616464"/>
    <n v="6"/>
    <n v="12"/>
    <m/>
    <s v="C"/>
    <s v="S"/>
    <x v="0"/>
    <n v="1.0471975511965976"/>
    <s v="árbol"/>
    <n v="17"/>
    <s v="Vol = Exp(-9.52375084+1.81551953*LN(DIAMETRO)+1.03039019*LN(ALTURATOTAL))"/>
    <n v="7.9209562371578848E-2"/>
  </r>
  <r>
    <n v="12"/>
    <x v="1"/>
    <m/>
    <n v="16"/>
    <n v="16"/>
    <s v="Bignoniaceae"/>
    <x v="71"/>
    <s v="Bejuco seis hojas"/>
    <m/>
    <m/>
    <m/>
    <n v="8"/>
    <e v="#REF!"/>
    <m/>
    <s v="S"/>
    <x v="0"/>
    <e v="#DIV/0!"/>
    <s v="herbácea"/>
    <m/>
    <m/>
    <m/>
  </r>
  <r>
    <n v="9"/>
    <x v="2"/>
    <n v="4"/>
    <n v="21"/>
    <n v="22"/>
    <s v="Lamiaceae"/>
    <x v="9"/>
    <s v="Ya'axnik"/>
    <n v="41.5"/>
    <n v="13.209860276627314"/>
    <n v="6"/>
    <n v="13"/>
    <m/>
    <s v="C"/>
    <s v="S"/>
    <x v="0"/>
    <n v="0.98411336136547733"/>
    <s v="árbol"/>
    <n v="17"/>
    <s v="Vol = Exp(-9.52375084+1.81551953*LN(DIAMETRO)+1.03039019*LN(ALTURATOTAL))"/>
    <n v="0.11135160530671286"/>
  </r>
  <r>
    <n v="9"/>
    <x v="2"/>
    <n v="4"/>
    <s v="21A"/>
    <n v="23"/>
    <s v="Lamiaceae"/>
    <x v="9"/>
    <s v="Ya'axnik"/>
    <n v="35"/>
    <n v="11.140846016432674"/>
    <n v="6"/>
    <n v="12"/>
    <m/>
    <s v="C"/>
    <s v="S"/>
    <x v="1"/>
    <n v="1.0771174812307862"/>
    <s v="árbol"/>
    <n v="17"/>
    <s v="Vol = Exp(-9.52375084+1.81551953*LN(DIAMETRO)+1.03039019*LN(ALTURATOTAL))"/>
    <n v="7.5260260856999356E-2"/>
  </r>
  <r>
    <n v="4"/>
    <x v="2"/>
    <n v="2"/>
    <n v="23"/>
    <n v="24"/>
    <s v="Lamiaceae"/>
    <x v="9"/>
    <s v="Ya'axnik"/>
    <n v="34"/>
    <n v="10.822536130248883"/>
    <n v="6.5"/>
    <n v="10"/>
    <m/>
    <s v="C"/>
    <s v="S"/>
    <x v="0"/>
    <n v="0.92399783929111567"/>
    <s v="árbol"/>
    <n v="17"/>
    <s v="Vol = Exp(-9.52375084+1.81551953*LN(DIAMETRO)+1.03039019*LN(ALTURATOTAL))"/>
    <n v="5.9172829084870877E-2"/>
  </r>
  <r>
    <n v="9"/>
    <x v="2"/>
    <n v="4"/>
    <s v="21B"/>
    <n v="24"/>
    <s v="Lamiaceae"/>
    <x v="9"/>
    <s v="Ya'axnik"/>
    <n v="39.5"/>
    <n v="12.573240504259733"/>
    <n v="6"/>
    <n v="12"/>
    <m/>
    <s v="C"/>
    <s v="S"/>
    <x v="1"/>
    <n v="0.95440789476145604"/>
    <s v="árbol"/>
    <n v="17"/>
    <s v="Vol = Exp(-9.52375084+1.81551953*LN(DIAMETRO)+1.03039019*LN(ALTURATOTAL))"/>
    <n v="9.3741789059976335E-2"/>
  </r>
  <r>
    <n v="8"/>
    <x v="0"/>
    <n v="4"/>
    <n v="26"/>
    <n v="26"/>
    <s v="Lamiaceae"/>
    <x v="9"/>
    <s v="Ya'axnik"/>
    <n v="24.5"/>
    <n v="7.7985922115028714"/>
    <n v="2"/>
    <n v="8"/>
    <m/>
    <s v="C"/>
    <s v="SI"/>
    <x v="0"/>
    <n v="1.0258261726007487"/>
    <s v="arbusto"/>
    <m/>
    <m/>
    <m/>
  </r>
  <r>
    <n v="5"/>
    <x v="0"/>
    <n v="4"/>
    <n v="28"/>
    <n v="30"/>
    <s v="Lamiaceae"/>
    <x v="9"/>
    <s v="Ya'axnik"/>
    <n v="30.3"/>
    <n v="9.6447895513688575"/>
    <n v="6"/>
    <n v="11"/>
    <m/>
    <s v="C"/>
    <s v="S"/>
    <x v="0"/>
    <n v="1.140512184471542"/>
    <s v="arbusto"/>
    <m/>
    <m/>
    <m/>
  </r>
  <r>
    <n v="5"/>
    <x v="0"/>
    <n v="4"/>
    <n v="29"/>
    <n v="31"/>
    <s v="Lamiaceae"/>
    <x v="9"/>
    <s v="Ya'axnik"/>
    <n v="25.5"/>
    <n v="8.1169020976866619"/>
    <n v="5"/>
    <n v="9"/>
    <m/>
    <s v="C"/>
    <s v="S"/>
    <x v="0"/>
    <n v="1.1087974071493387"/>
    <s v="arbusto"/>
    <m/>
    <m/>
    <m/>
  </r>
  <r>
    <n v="5"/>
    <x v="0"/>
    <n v="4"/>
    <n v="30"/>
    <n v="32"/>
    <s v="Lamiaceae"/>
    <x v="9"/>
    <s v="Ya'axnik"/>
    <n v="22.5"/>
    <n v="7.1619724391352904"/>
    <n v="4.5"/>
    <n v="8"/>
    <m/>
    <s v="C"/>
    <s v="S"/>
    <x v="0"/>
    <n v="1.1170107212763709"/>
    <s v="arbusto"/>
    <m/>
    <m/>
    <m/>
  </r>
  <r>
    <n v="2"/>
    <x v="2"/>
    <n v="2"/>
    <n v="32"/>
    <n v="33"/>
    <s v="Lamiaceae"/>
    <x v="9"/>
    <s v="Ya'axnik"/>
    <n v="37.5"/>
    <n v="11.93662073189215"/>
    <n v="8"/>
    <n v="12"/>
    <m/>
    <s v="C"/>
    <s v="S"/>
    <x v="0"/>
    <n v="1.0053096491487339"/>
    <s v="árbol"/>
    <n v="17"/>
    <s v="Vol = Exp(-9.52375084+1.81551953*LN(DIAMETRO)+1.03039019*LN(ALTURATOTAL))"/>
    <n v="8.5303045465210489E-2"/>
  </r>
  <r>
    <n v="5"/>
    <x v="0"/>
    <n v="4"/>
    <n v="31"/>
    <n v="33"/>
    <s v="Lamiaceae"/>
    <x v="9"/>
    <s v="Ya'axnik"/>
    <n v="16"/>
    <n v="5.0929581789406511"/>
    <n v="2.5"/>
    <n v="6"/>
    <m/>
    <s v="C"/>
    <s v="S"/>
    <x v="0"/>
    <n v="1.1780972450961724"/>
    <s v="arbusto"/>
    <m/>
    <m/>
    <m/>
  </r>
  <r>
    <n v="3"/>
    <x v="2"/>
    <n v="3"/>
    <n v="32"/>
    <n v="34"/>
    <s v="Lamiaceae"/>
    <x v="9"/>
    <s v="Ya'axnik"/>
    <n v="67"/>
    <n v="21.326762374313976"/>
    <n v="4.5"/>
    <n v="14"/>
    <m/>
    <s v="C"/>
    <s v="S"/>
    <x v="0"/>
    <n v="0.65645219627249407"/>
    <s v="árbol"/>
    <n v="17"/>
    <s v="Vol = Exp(-9.52375084+1.81551953*LN(DIAMETRO)+1.03039019*LN(ALTURATOTAL))"/>
    <n v="0.28677138376563549"/>
  </r>
  <r>
    <n v="2"/>
    <x v="2"/>
    <n v="3"/>
    <n v="34"/>
    <n v="35"/>
    <s v="Lamiaceae"/>
    <x v="9"/>
    <s v="Ya'axnik"/>
    <n v="40"/>
    <n v="12.732395447351628"/>
    <n v="8"/>
    <n v="10"/>
    <m/>
    <s v="C"/>
    <s v="S"/>
    <x v="0"/>
    <n v="0.78539816339744828"/>
    <s v="árbol"/>
    <n v="17"/>
    <s v="Vol = Exp(-9.52375084+1.81551953*LN(DIAMETRO)+1.03039019*LN(ALTURATOTAL))"/>
    <n v="7.9481060364469586E-2"/>
  </r>
  <r>
    <n v="2"/>
    <x v="2"/>
    <n v="3"/>
    <n v="35"/>
    <n v="36"/>
    <s v="Lamiaceae"/>
    <x v="9"/>
    <s v="Ya'axnik"/>
    <n v="36.5"/>
    <n v="11.618310845708359"/>
    <n v="2.5"/>
    <n v="9"/>
    <m/>
    <s v="C"/>
    <s v="S"/>
    <x v="0"/>
    <n v="0.7746392844467983"/>
    <s v="árbol"/>
    <n v="17"/>
    <s v="Vol = Exp(-9.52375084+1.81551953*LN(DIAMETRO)+1.03039019*LN(ALTURATOTAL))"/>
    <n v="6.0383403395902875E-2"/>
  </r>
  <r>
    <n v="3"/>
    <x v="2"/>
    <n v="3"/>
    <n v="34"/>
    <n v="36"/>
    <s v="Lamiaceae"/>
    <x v="9"/>
    <s v="Ya'axnik"/>
    <n v="34.5"/>
    <n v="10.981691073340778"/>
    <n v="7"/>
    <n v="13"/>
    <m/>
    <s v="C"/>
    <s v="S"/>
    <x v="0"/>
    <n v="1.1837885361352845"/>
    <s v="árbol"/>
    <n v="17"/>
    <s v="Vol = Exp(-9.52375084+1.81551953*LN(DIAMETRO)+1.03039019*LN(ALTURATOTAL))"/>
    <n v="7.9623114841205614E-2"/>
  </r>
  <r>
    <n v="2"/>
    <x v="2"/>
    <n v="3"/>
    <n v="36"/>
    <n v="37"/>
    <s v="Lamiaceae"/>
    <x v="9"/>
    <s v="Ya'axnik"/>
    <n v="120"/>
    <n v="38.197186342054884"/>
    <n v="2"/>
    <n v="10"/>
    <m/>
    <s v="CB"/>
    <s v="S"/>
    <x v="0"/>
    <n v="0.26179938779914941"/>
    <s v="árbol"/>
    <n v="17"/>
    <s v="Vol = Exp(-9.52375084+1.81551953*LN(DIAMETRO)+1.03039019*LN(ALTURATOTAL))"/>
    <n v="0.58409919616064987"/>
  </r>
  <r>
    <n v="3"/>
    <x v="2"/>
    <n v="3"/>
    <n v="35"/>
    <n v="37"/>
    <s v="Lamiaceae"/>
    <x v="9"/>
    <s v="Ya'axnik"/>
    <n v="37"/>
    <n v="11.777465788800255"/>
    <n v="6"/>
    <n v="12"/>
    <m/>
    <s v="C"/>
    <s v="S"/>
    <x v="0"/>
    <n v="1.0188949146777708"/>
    <s v="árbol"/>
    <n v="17"/>
    <s v="Vol = Exp(-9.52375084+1.81551953*LN(DIAMETRO)+1.03039019*LN(ALTURATOTAL))"/>
    <n v="8.3249356682039422E-2"/>
  </r>
  <r>
    <n v="2"/>
    <x v="2"/>
    <n v="3"/>
    <s v="36A"/>
    <n v="38"/>
    <s v="Lamiaceae"/>
    <x v="9"/>
    <s v="Ya'axnik"/>
    <n v="52"/>
    <n v="16.552114081557114"/>
    <n v="5.5"/>
    <n v="9"/>
    <m/>
    <s v="C"/>
    <s v="S"/>
    <x v="1"/>
    <n v="0.54373719004438736"/>
    <s v="árbol"/>
    <n v="17"/>
    <s v="Vol = Exp(-9.52375084+1.81551953*LN(DIAMETRO)+1.03039019*LN(ALTURATOTAL))"/>
    <n v="0.11481059415829332"/>
  </r>
  <r>
    <n v="3"/>
    <x v="2"/>
    <n v="3"/>
    <n v="36"/>
    <n v="38"/>
    <s v="Lamiaceae"/>
    <x v="9"/>
    <s v="Ya'axnik"/>
    <n v="31.5"/>
    <n v="10.026761414789407"/>
    <n v="4"/>
    <n v="12"/>
    <m/>
    <s v="C"/>
    <s v="S"/>
    <x v="0"/>
    <n v="1.1967972013675401"/>
    <s v="árbol"/>
    <n v="17"/>
    <s v="Vol = Exp(-9.52375084+1.81551953*LN(DIAMETRO)+1.03039019*LN(ALTURATOTAL))"/>
    <n v="6.2157294315506713E-2"/>
  </r>
  <r>
    <n v="2"/>
    <x v="2"/>
    <n v="3"/>
    <n v="37"/>
    <n v="39"/>
    <s v="Lamiaceae"/>
    <x v="9"/>
    <s v="Ya'axnik"/>
    <n v="33"/>
    <n v="10.504226244065093"/>
    <n v="5"/>
    <n v="10"/>
    <m/>
    <s v="C"/>
    <s v="S"/>
    <x v="0"/>
    <n v="0.95199777381508877"/>
    <s v="árbol"/>
    <n v="17"/>
    <s v="Vol = Exp(-9.52375084+1.81551953*LN(DIAMETRO)+1.03039019*LN(ALTURATOTAL))"/>
    <n v="5.6051103143577655E-2"/>
  </r>
  <r>
    <n v="3"/>
    <x v="2"/>
    <n v="3"/>
    <n v="37"/>
    <n v="39"/>
    <s v="Lamiaceae"/>
    <x v="9"/>
    <s v="Ya'axnik"/>
    <n v="31.5"/>
    <n v="10.026761414789407"/>
    <n v="4"/>
    <n v="9"/>
    <m/>
    <s v="C"/>
    <s v="S"/>
    <x v="0"/>
    <n v="0.89759790102565518"/>
    <s v="árbol"/>
    <n v="17"/>
    <s v="Vol = Exp(-9.52375084+1.81551953*LN(DIAMETRO)+1.03039019*LN(ALTURATOTAL))"/>
    <n v="4.6212179647431767E-2"/>
  </r>
  <r>
    <n v="5"/>
    <x v="2"/>
    <n v="4"/>
    <n v="37"/>
    <n v="39"/>
    <s v="Lamiaceae"/>
    <x v="9"/>
    <s v="Ya'axnik"/>
    <n v="32"/>
    <n v="10.185916357881302"/>
    <n v="5"/>
    <n v="10"/>
    <m/>
    <s v="C"/>
    <s v="S"/>
    <x v="0"/>
    <n v="0.98174770424681035"/>
    <s v="árbol"/>
    <n v="17"/>
    <s v="Vol = Exp(-9.52375084+1.81551953*LN(DIAMETRO)+1.03039019*LN(ALTURATOTAL))"/>
    <n v="5.3005584899578816E-2"/>
  </r>
  <r>
    <n v="12"/>
    <x v="0"/>
    <n v="4"/>
    <n v="27"/>
    <n v="39"/>
    <s v="Lamiaceae"/>
    <x v="9"/>
    <s v="Ya'axnik"/>
    <n v="18.5"/>
    <n v="5.8887328944001274"/>
    <n v="10"/>
    <n v="12"/>
    <m/>
    <s v="C"/>
    <s v="S"/>
    <x v="0"/>
    <n v="2.0377898293555416"/>
    <s v="arbusto"/>
    <m/>
    <m/>
    <m/>
  </r>
  <r>
    <n v="2"/>
    <x v="2"/>
    <n v="3"/>
    <n v="38"/>
    <n v="40"/>
    <s v="Lamiaceae"/>
    <x v="9"/>
    <s v="Ya'axnik"/>
    <n v="50"/>
    <n v="15.915494309189533"/>
    <n v="8"/>
    <n v="14"/>
    <m/>
    <s v="C"/>
    <s v="S"/>
    <x v="0"/>
    <n v="0.87964594300514209"/>
    <s v="árbol"/>
    <n v="17"/>
    <s v="Vol = Exp(-9.52375084+1.81551953*LN(DIAMETRO)+1.03039019*LN(ALTURATOTAL))"/>
    <n v="0.16856778033591691"/>
  </r>
  <r>
    <n v="3"/>
    <x v="2"/>
    <n v="3"/>
    <n v="38"/>
    <n v="40"/>
    <s v="Lamiaceae"/>
    <x v="9"/>
    <s v="Ya'axnik"/>
    <n v="36"/>
    <n v="11.459155902616464"/>
    <n v="6"/>
    <n v="11"/>
    <m/>
    <s v="C"/>
    <s v="S"/>
    <x v="0"/>
    <n v="0.95993108859688125"/>
    <s v="árbol"/>
    <n v="17"/>
    <s v="Vol = Exp(-9.52375084+1.81551953*LN(DIAMETRO)+1.03039019*LN(ALTURATOTAL))"/>
    <n v="7.2417020336136742E-2"/>
  </r>
  <r>
    <n v="5"/>
    <x v="2"/>
    <n v="4"/>
    <n v="38"/>
    <n v="40"/>
    <s v="Lamiaceae"/>
    <x v="9"/>
    <s v="Ya'axnik"/>
    <n v="36"/>
    <n v="11.459155902616464"/>
    <n v="7"/>
    <n v="11"/>
    <m/>
    <s v="C"/>
    <s v="S"/>
    <x v="0"/>
    <n v="0.95993108859688125"/>
    <s v="árbol"/>
    <n v="17"/>
    <s v="Vol = Exp(-9.52375084+1.81551953*LN(DIAMETRO)+1.03039019*LN(ALTURATOTAL))"/>
    <n v="7.2417020336136742E-2"/>
  </r>
  <r>
    <n v="3"/>
    <x v="2"/>
    <n v="3"/>
    <n v="39"/>
    <n v="41"/>
    <s v="Lamiaceae"/>
    <x v="9"/>
    <s v="Ya'axnik"/>
    <n v="49"/>
    <n v="15.597184423005743"/>
    <n v="9"/>
    <n v="13"/>
    <m/>
    <s v="C"/>
    <s v="S"/>
    <x v="0"/>
    <n v="0.83348376523810841"/>
    <s v="árbol"/>
    <n v="17"/>
    <s v="Vol = Exp(-9.52375084+1.81551953*LN(DIAMETRO)+1.03039019*LN(ALTURATOTAL))"/>
    <n v="0.15055062236980352"/>
  </r>
  <r>
    <n v="3"/>
    <x v="2"/>
    <n v="3"/>
    <n v="41"/>
    <n v="43"/>
    <s v="Lamiaceae"/>
    <x v="9"/>
    <s v="Ya'axnik"/>
    <n v="52"/>
    <n v="16.552114081557114"/>
    <n v="6"/>
    <n v="13"/>
    <m/>
    <s v="C"/>
    <s v="S"/>
    <x v="0"/>
    <n v="0.78539816339744839"/>
    <s v="árbol"/>
    <n v="17"/>
    <s v="Vol = Exp(-9.52375084+1.81551953*LN(DIAMETRO)+1.03039019*LN(ALTURATOTAL))"/>
    <n v="0.16770119075276024"/>
  </r>
  <r>
    <n v="4"/>
    <x v="2"/>
    <n v="4"/>
    <n v="42"/>
    <n v="44"/>
    <s v="Lamiaceae"/>
    <x v="9"/>
    <s v="Ya'axnik"/>
    <n v="37"/>
    <n v="11.777465788800255"/>
    <n v="1.6"/>
    <n v="12"/>
    <m/>
    <s v="C"/>
    <s v="S"/>
    <x v="0"/>
    <n v="1.0188949146777708"/>
    <s v="árbol"/>
    <n v="17"/>
    <s v="Vol = Exp(-9.52375084+1.81551953*LN(DIAMETRO)+1.03039019*LN(ALTURATOTAL))"/>
    <n v="8.3249356682039422E-2"/>
  </r>
  <r>
    <n v="3"/>
    <x v="2"/>
    <n v="3"/>
    <n v="43"/>
    <n v="45"/>
    <s v="Lamiaceae"/>
    <x v="9"/>
    <s v="Ya'axnik"/>
    <n v="40"/>
    <n v="12.732395447351628"/>
    <n v="2.5"/>
    <n v="12"/>
    <m/>
    <s v="CB"/>
    <s v="S"/>
    <x v="0"/>
    <n v="0.94247779607693793"/>
    <s v="árbol"/>
    <n v="17"/>
    <s v="Vol = Exp(-9.52375084+1.81551953*LN(DIAMETRO)+1.03039019*LN(ALTURATOTAL))"/>
    <n v="9.5907204328978965E-2"/>
  </r>
  <r>
    <n v="4"/>
    <x v="2"/>
    <n v="4"/>
    <n v="43"/>
    <n v="45"/>
    <s v="Lamiaceae"/>
    <x v="9"/>
    <s v="Ya'axnik"/>
    <n v="57"/>
    <n v="18.143663512476071"/>
    <n v="3.5"/>
    <n v="12"/>
    <m/>
    <s v="C"/>
    <s v="S"/>
    <x v="0"/>
    <n v="0.66138792707153538"/>
    <s v="árbol"/>
    <n v="17"/>
    <s v="Vol = Exp(-9.52375084+1.81551953*LN(DIAMETRO)+1.03039019*LN(ALTURATOTAL))"/>
    <n v="0.18243372332483015"/>
  </r>
  <r>
    <n v="3"/>
    <x v="2"/>
    <n v="3"/>
    <s v="43A"/>
    <n v="46"/>
    <s v="Lamiaceae"/>
    <x v="9"/>
    <s v="Ya'axnik"/>
    <n v="50"/>
    <n v="15.915494309189533"/>
    <n v="3"/>
    <n v="13"/>
    <m/>
    <s v="C"/>
    <s v="S"/>
    <x v="1"/>
    <n v="0.81681408993334625"/>
    <s v="árbol"/>
    <n v="17"/>
    <s v="Vol = Exp(-9.52375084+1.81551953*LN(DIAMETRO)+1.03039019*LN(ALTURATOTAL))"/>
    <n v="0.15617509764181392"/>
  </r>
  <r>
    <n v="2"/>
    <x v="2"/>
    <n v="3"/>
    <n v="45"/>
    <n v="47"/>
    <s v="Lamiaceae"/>
    <x v="9"/>
    <s v="Ya'axnik"/>
    <n v="58.5"/>
    <n v="18.621128341751756"/>
    <n v="6"/>
    <n v="13"/>
    <m/>
    <s v="CB"/>
    <s v="S"/>
    <x v="0"/>
    <n v="0.69813170079773179"/>
    <s v="árbol"/>
    <n v="17"/>
    <s v="Vol = Exp(-9.52375084+1.81551953*LN(DIAMETRO)+1.03039019*LN(ALTURATOTAL))"/>
    <n v="0.20768472214000741"/>
  </r>
  <r>
    <n v="3"/>
    <x v="2"/>
    <n v="3"/>
    <s v="43B"/>
    <n v="47"/>
    <s v="Lamiaceae"/>
    <x v="9"/>
    <s v="Ya'axnik"/>
    <n v="58"/>
    <n v="18.461973398659861"/>
    <n v="4"/>
    <n v="11"/>
    <m/>
    <s v="C"/>
    <s v="S"/>
    <x v="1"/>
    <n v="0.59581929637047792"/>
    <s v="árbol"/>
    <n v="17"/>
    <s v="Vol = Exp(-9.52375084+1.81551953*LN(DIAMETRO)+1.03039019*LN(ALTURATOTAL))"/>
    <n v="0.17213969484156214"/>
  </r>
  <r>
    <n v="2"/>
    <x v="2"/>
    <n v="3"/>
    <s v="45A"/>
    <n v="48"/>
    <s v="Lamiaceae"/>
    <x v="9"/>
    <s v="Ya'axnik"/>
    <n v="51"/>
    <n v="16.233804195373324"/>
    <n v="4"/>
    <n v="12"/>
    <m/>
    <s v="C"/>
    <s v="S"/>
    <x v="1"/>
    <n v="0.73919827143289252"/>
    <s v="árbol"/>
    <n v="17"/>
    <s v="Vol = Exp(-9.52375084+1.81551953*LN(DIAMETRO)+1.03039019*LN(ALTURATOTAL))"/>
    <n v="0.14907576019673047"/>
  </r>
  <r>
    <n v="3"/>
    <x v="2"/>
    <n v="3"/>
    <s v="43C"/>
    <n v="48"/>
    <s v="Lamiaceae"/>
    <x v="9"/>
    <s v="Ya'axnik"/>
    <n v="46"/>
    <n v="14.642254764454371"/>
    <n v="8"/>
    <n v="12"/>
    <m/>
    <s v="C"/>
    <s v="S"/>
    <x v="1"/>
    <n v="0.81954590963211993"/>
    <s v="árbol"/>
    <n v="17"/>
    <s v="Vol = Exp(-9.52375084+1.81551953*LN(DIAMETRO)+1.03039019*LN(ALTURATOTAL))"/>
    <n v="0.12360878744721161"/>
  </r>
  <r>
    <n v="3"/>
    <x v="2"/>
    <n v="3"/>
    <s v="43D"/>
    <n v="49"/>
    <s v="Lamiaceae"/>
    <x v="9"/>
    <s v="Ya'axnik"/>
    <n v="47"/>
    <n v="14.960564650638162"/>
    <n v="7"/>
    <n v="11"/>
    <m/>
    <s v="C"/>
    <s v="S"/>
    <x v="1"/>
    <n v="0.73526636573378135"/>
    <s v="árbol"/>
    <n v="17"/>
    <s v="Vol = Exp(-9.52375084+1.81551953*LN(DIAMETRO)+1.03039019*LN(ALTURATOTAL))"/>
    <n v="0.11750852741246427"/>
  </r>
  <r>
    <n v="3"/>
    <x v="2"/>
    <n v="3"/>
    <s v="43E"/>
    <n v="50"/>
    <s v="Lamiaceae"/>
    <x v="9"/>
    <s v="Ya'axnik"/>
    <n v="54"/>
    <n v="17.188733853924695"/>
    <n v="6"/>
    <n v="11"/>
    <m/>
    <s v="C"/>
    <s v="S"/>
    <x v="1"/>
    <n v="0.63995405906458758"/>
    <s v="árbol"/>
    <n v="17"/>
    <s v="Vol = Exp(-9.52375084+1.81551953*LN(DIAMETRO)+1.03039019*LN(ALTURATOTAL))"/>
    <n v="0.15119511904599825"/>
  </r>
  <r>
    <n v="3"/>
    <x v="2"/>
    <n v="3"/>
    <s v="43F"/>
    <n v="51"/>
    <s v="Lamiaceae"/>
    <x v="9"/>
    <s v="Ya'axnik"/>
    <n v="40"/>
    <n v="12.732395447351628"/>
    <n v="7"/>
    <n v="12"/>
    <m/>
    <s v="C"/>
    <s v="S"/>
    <x v="1"/>
    <n v="0.94247779607693793"/>
    <s v="árbol"/>
    <n v="17"/>
    <s v="Vol = Exp(-9.52375084+1.81551953*LN(DIAMETRO)+1.03039019*LN(ALTURATOTAL))"/>
    <n v="9.5907204328978965E-2"/>
  </r>
  <r>
    <n v="3"/>
    <x v="2"/>
    <n v="3"/>
    <s v="43G"/>
    <n v="52"/>
    <s v="Lamiaceae"/>
    <x v="9"/>
    <s v="Ya'axnik"/>
    <n v="49.5"/>
    <n v="15.756339366097638"/>
    <n v="4"/>
    <n v="13"/>
    <m/>
    <s v="C"/>
    <s v="S"/>
    <x v="1"/>
    <n v="0.82506473730641039"/>
    <s v="árbol"/>
    <n v="17"/>
    <s v="Vol = Exp(-9.52375084+1.81551953*LN(DIAMETRO)+1.03039019*LN(ALTURATOTAL))"/>
    <n v="0.15335127695104184"/>
  </r>
  <r>
    <n v="3"/>
    <x v="2"/>
    <n v="3"/>
    <n v="44"/>
    <n v="53"/>
    <s v="Lamiaceae"/>
    <x v="9"/>
    <s v="Ya'axnik"/>
    <n v="59.5"/>
    <n v="18.939438227935547"/>
    <n v="3"/>
    <n v="14"/>
    <m/>
    <s v="C"/>
    <s v="S"/>
    <x v="0"/>
    <n v="0.73919827143289241"/>
    <s v="árbol"/>
    <n v="17"/>
    <s v="Vol = Exp(-9.52375084+1.81551953*LN(DIAMETRO)+1.03039019*LN(ALTURATOTAL))"/>
    <n v="0.2311700420480558"/>
  </r>
  <r>
    <n v="3"/>
    <x v="2"/>
    <n v="4"/>
    <n v="52"/>
    <n v="61"/>
    <s v="Lamiaceae"/>
    <x v="9"/>
    <s v="Ya'axnik"/>
    <n v="36"/>
    <n v="11.459155902616464"/>
    <n v="6"/>
    <n v="10"/>
    <m/>
    <s v="C"/>
    <s v="S"/>
    <x v="0"/>
    <n v="0.87266462599716477"/>
    <s v="árbol"/>
    <n v="17"/>
    <s v="Vol = Exp(-9.52375084+1.81551953*LN(DIAMETRO)+1.03039019*LN(ALTURATOTAL))"/>
    <n v="6.5643243928823439E-2"/>
  </r>
  <r>
    <n v="5"/>
    <x v="2"/>
    <n v="1"/>
    <n v="1"/>
    <n v="1"/>
    <s v="Rutaceae "/>
    <x v="72"/>
    <s v="Zapote blanco"/>
    <n v="31.5"/>
    <n v="10.026761414789407"/>
    <n v="4.5"/>
    <n v="9"/>
    <m/>
    <s v="C"/>
    <s v="S"/>
    <x v="0"/>
    <n v="0.89759790102565518"/>
    <s v="árbol"/>
    <n v="17"/>
    <s v="Vol = Exp(-9.52375084+1.81551953*LN(DIAMETRO)+1.03039019*LN(ALTURATOTAL))"/>
    <n v="4.6212179647431767E-2"/>
  </r>
  <r>
    <n v="2"/>
    <x v="2"/>
    <n v="3"/>
    <n v="33"/>
    <n v="34"/>
    <s v="Sapotaceae"/>
    <x v="73"/>
    <s v="Zapote faisán"/>
    <n v="65.5"/>
    <n v="20.84929754503829"/>
    <n v="8"/>
    <n v="14"/>
    <m/>
    <s v="C"/>
    <s v="S"/>
    <x v="0"/>
    <n v="0.67148545267568094"/>
    <s v="árbol"/>
    <n v="17"/>
    <s v="Vol = Exp(-9.52375084+1.81551953*LN(DIAMETRO)+1.03039019*LN(ALTURATOTAL))"/>
    <n v="0.27522184108988007"/>
  </r>
  <r>
    <n v="3"/>
    <x v="2"/>
    <n v="4"/>
    <n v="46"/>
    <n v="55"/>
    <s v="Sapotaceae"/>
    <x v="73"/>
    <s v="Zapote faisán"/>
    <n v="36"/>
    <n v="11.459155902616464"/>
    <n v="7"/>
    <n v="10"/>
    <m/>
    <s v="C"/>
    <s v="S"/>
    <x v="0"/>
    <n v="0.87266462599716477"/>
    <s v="árbol"/>
    <n v="17"/>
    <s v="Vol = Exp(-9.52375084+1.81551953*LN(DIAMETRO)+1.03039019*LN(ALTURATOTAL))"/>
    <n v="6.564324392882343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52">
  <r>
    <n v="6"/>
    <x v="0"/>
    <n v="1"/>
    <n v="1"/>
    <n v="1"/>
    <s v="Lauraceae"/>
    <x v="0"/>
    <s v="Aguacatillo"/>
    <n v="22"/>
    <n v="7.0028174960433951"/>
    <n v="3.5"/>
    <n v="7.5"/>
    <m/>
    <s v="C"/>
    <s v="S"/>
    <s v="un fuste"/>
    <n v="7.5"/>
    <n v="5"/>
    <m/>
    <m/>
    <m/>
    <m/>
  </r>
  <r>
    <n v="7"/>
    <x v="0"/>
    <n v="1"/>
    <n v="1"/>
    <n v="1"/>
    <s v="Lauraceae"/>
    <x v="0"/>
    <s v="Aguacatillo"/>
    <n v="30"/>
    <n v="9.5492965855137211"/>
    <n v="6"/>
    <n v="9"/>
    <m/>
    <s v="C"/>
    <s v="S"/>
    <s v="un fuste"/>
    <n v="10"/>
    <n v="10"/>
    <m/>
    <m/>
    <m/>
    <m/>
  </r>
  <r>
    <n v="1"/>
    <x v="1"/>
    <m/>
    <n v="1"/>
    <n v="1"/>
    <s v="Lauraceae"/>
    <x v="0"/>
    <s v="Aguacatillo"/>
    <m/>
    <m/>
    <m/>
    <n v="6"/>
    <e v="#REF!"/>
    <m/>
    <s v="S"/>
    <s v="un fuste"/>
    <n v="5"/>
    <n v="5"/>
    <m/>
    <m/>
    <m/>
    <m/>
  </r>
  <r>
    <n v="1"/>
    <x v="1"/>
    <m/>
    <n v="2"/>
    <n v="2"/>
    <s v="Lauraceae"/>
    <x v="0"/>
    <s v="Aguacatillo"/>
    <m/>
    <m/>
    <m/>
    <n v="0.7"/>
    <e v="#REF!"/>
    <m/>
    <s v="S"/>
    <s v="un fuste"/>
    <n v="2.5"/>
    <n v="5"/>
    <m/>
    <m/>
    <m/>
    <m/>
  </r>
  <r>
    <n v="1"/>
    <x v="1"/>
    <m/>
    <n v="3"/>
    <n v="3"/>
    <s v="Lauraceae"/>
    <x v="0"/>
    <s v="Aguacatillo"/>
    <m/>
    <m/>
    <m/>
    <n v="0.5"/>
    <e v="#REF!"/>
    <m/>
    <s v="S"/>
    <s v="un fuste"/>
    <n v="2.5"/>
    <n v="5"/>
    <m/>
    <m/>
    <m/>
    <m/>
  </r>
  <r>
    <n v="1"/>
    <x v="1"/>
    <m/>
    <n v="4"/>
    <n v="4"/>
    <s v="Lauraceae"/>
    <x v="0"/>
    <s v="Aguacatillo"/>
    <m/>
    <m/>
    <m/>
    <n v="0.2"/>
    <e v="#REF!"/>
    <m/>
    <s v="S"/>
    <s v="un fuste"/>
    <n v="2.5"/>
    <n v="5"/>
    <m/>
    <m/>
    <m/>
    <m/>
  </r>
  <r>
    <n v="1"/>
    <x v="1"/>
    <m/>
    <n v="5"/>
    <n v="5"/>
    <s v="Myrtaceae"/>
    <x v="1"/>
    <s v="Granada cimarrona"/>
    <m/>
    <m/>
    <m/>
    <n v="0.5"/>
    <e v="#REF!"/>
    <m/>
    <s v="S"/>
    <s v="un fuste"/>
    <n v="2.5"/>
    <n v="5"/>
    <m/>
    <m/>
    <m/>
    <m/>
  </r>
  <r>
    <n v="6"/>
    <x v="0"/>
    <n v="1"/>
    <n v="2"/>
    <n v="2"/>
    <s v="Lauraceae"/>
    <x v="0"/>
    <s v="Aguacatillo"/>
    <n v="22"/>
    <n v="7.0028174960433951"/>
    <n v="4"/>
    <n v="7.5"/>
    <m/>
    <s v="C"/>
    <s v="S"/>
    <s v="un fuste"/>
    <n v="7.5"/>
    <n v="5"/>
    <m/>
    <m/>
    <m/>
    <m/>
  </r>
  <r>
    <n v="10"/>
    <x v="0"/>
    <n v="1"/>
    <n v="2"/>
    <n v="2"/>
    <s v="Lauraceae"/>
    <x v="0"/>
    <s v="Aguacatillo"/>
    <n v="17.5"/>
    <n v="5.5704230082163368"/>
    <n v="5"/>
    <n v="8"/>
    <m/>
    <s v="C"/>
    <s v="S"/>
    <s v="un fuste"/>
    <n v="7.5"/>
    <n v="5"/>
    <m/>
    <m/>
    <m/>
    <m/>
  </r>
  <r>
    <n v="1"/>
    <x v="1"/>
    <m/>
    <n v="6"/>
    <n v="6"/>
    <s v="Sapindaceae"/>
    <x v="2"/>
    <s v="Salatxiw"/>
    <m/>
    <m/>
    <m/>
    <n v="0.7"/>
    <e v="#REF!"/>
    <m/>
    <s v="S"/>
    <s v="un fuste"/>
    <n v="2.5"/>
    <n v="5"/>
    <m/>
    <m/>
    <m/>
    <m/>
  </r>
  <r>
    <n v="1"/>
    <x v="1"/>
    <m/>
    <n v="7"/>
    <n v="7"/>
    <s v="Sapindaceae"/>
    <x v="3"/>
    <s v="Bejuco tres lomos"/>
    <m/>
    <m/>
    <m/>
    <n v="1.7"/>
    <e v="#REF!"/>
    <m/>
    <s v="S"/>
    <s v="un fuste"/>
    <n v="2.5"/>
    <n v="5"/>
    <m/>
    <m/>
    <m/>
    <m/>
  </r>
  <r>
    <n v="1"/>
    <x v="1"/>
    <m/>
    <n v="8"/>
    <n v="8"/>
    <s v="Malpighiaceae"/>
    <x v="4"/>
    <s v="Hiraea"/>
    <m/>
    <m/>
    <m/>
    <n v="2.5"/>
    <e v="#REF!"/>
    <m/>
    <s v="S"/>
    <s v="un fuste"/>
    <n v="2.5"/>
    <n v="5"/>
    <m/>
    <m/>
    <m/>
    <m/>
  </r>
  <r>
    <n v="1"/>
    <x v="1"/>
    <m/>
    <n v="9"/>
    <n v="9"/>
    <s v="Leguminosae"/>
    <x v="5"/>
    <s v="Cacao che"/>
    <m/>
    <m/>
    <m/>
    <n v="2"/>
    <e v="#REF!"/>
    <m/>
    <s v="S"/>
    <s v="un fuste"/>
    <n v="2.5"/>
    <n v="5"/>
    <m/>
    <m/>
    <m/>
    <m/>
  </r>
  <r>
    <n v="1"/>
    <x v="1"/>
    <m/>
    <n v="10"/>
    <n v="10"/>
    <s v="Leguminosae"/>
    <x v="6"/>
    <s v="Tsimin"/>
    <m/>
    <m/>
    <m/>
    <n v="0.8"/>
    <e v="#REF!"/>
    <m/>
    <s v="S"/>
    <s v="un fuste"/>
    <n v="2.5"/>
    <n v="5"/>
    <m/>
    <m/>
    <m/>
    <m/>
  </r>
  <r>
    <n v="1"/>
    <x v="1"/>
    <m/>
    <n v="11"/>
    <n v="11"/>
    <s v="Leguminosae"/>
    <x v="5"/>
    <s v="Cacao che"/>
    <m/>
    <m/>
    <m/>
    <n v="0.9"/>
    <e v="#REF!"/>
    <m/>
    <s v="S"/>
    <s v="un fuste"/>
    <n v="2.5"/>
    <n v="5"/>
    <m/>
    <m/>
    <m/>
    <m/>
  </r>
  <r>
    <n v="3"/>
    <x v="0"/>
    <n v="1"/>
    <n v="3"/>
    <n v="3"/>
    <s v="Lauraceae"/>
    <x v="0"/>
    <s v="Aguacatillo"/>
    <n v="17.5"/>
    <n v="5.5704230082163368"/>
    <n v="3"/>
    <n v="8"/>
    <m/>
    <s v="C"/>
    <s v="S"/>
    <s v="un fuste"/>
    <n v="7.5"/>
    <n v="5"/>
    <m/>
    <m/>
    <m/>
    <m/>
  </r>
  <r>
    <n v="7"/>
    <x v="0"/>
    <n v="1"/>
    <n v="3"/>
    <n v="3"/>
    <s v="Lauraceae"/>
    <x v="0"/>
    <s v="Aguacatillo"/>
    <n v="18"/>
    <n v="5.7295779513082321"/>
    <n v="5"/>
    <n v="9"/>
    <m/>
    <s v="C"/>
    <s v="S"/>
    <s v="un fuste"/>
    <n v="10"/>
    <n v="5"/>
    <m/>
    <m/>
    <m/>
    <m/>
  </r>
  <r>
    <n v="11"/>
    <x v="0"/>
    <n v="1"/>
    <n v="3"/>
    <n v="3"/>
    <s v="Lauraceae"/>
    <x v="0"/>
    <s v="Aguacatillo"/>
    <n v="17.5"/>
    <n v="5.5704230082163368"/>
    <n v="3.3"/>
    <n v="7"/>
    <m/>
    <s v="C"/>
    <s v="S"/>
    <s v="un fuste"/>
    <n v="7.5"/>
    <n v="5"/>
    <m/>
    <m/>
    <m/>
    <m/>
  </r>
  <r>
    <n v="1"/>
    <x v="1"/>
    <m/>
    <n v="12"/>
    <n v="12"/>
    <s v="Annonaceae"/>
    <x v="7"/>
    <s v="Ek elemuy"/>
    <m/>
    <m/>
    <m/>
    <n v="0.7"/>
    <e v="#REF!"/>
    <m/>
    <s v="S"/>
    <s v="un fuste"/>
    <n v="2.5"/>
    <n v="5"/>
    <m/>
    <m/>
    <m/>
    <m/>
  </r>
  <r>
    <n v="1"/>
    <x v="1"/>
    <m/>
    <n v="13"/>
    <n v="13"/>
    <s v="Zamiaceae"/>
    <x v="8"/>
    <s v="Palma zamia"/>
    <m/>
    <m/>
    <m/>
    <n v="0.15"/>
    <e v="#REF!"/>
    <m/>
    <s v="S"/>
    <s v="un fuste"/>
    <n v="2.5"/>
    <n v="5"/>
    <m/>
    <m/>
    <m/>
    <m/>
  </r>
  <r>
    <n v="1"/>
    <x v="1"/>
    <m/>
    <n v="14"/>
    <n v="14"/>
    <s v="Lauraceae"/>
    <x v="0"/>
    <s v="Aguacatillo"/>
    <m/>
    <m/>
    <m/>
    <n v="0.3"/>
    <e v="#REF!"/>
    <m/>
    <s v="S"/>
    <s v="un fuste"/>
    <n v="2.5"/>
    <n v="5"/>
    <m/>
    <m/>
    <m/>
    <m/>
  </r>
  <r>
    <n v="1"/>
    <x v="1"/>
    <m/>
    <n v="15"/>
    <n v="15"/>
    <s v="Lauraceae"/>
    <x v="0"/>
    <s v="Aguacatillo"/>
    <m/>
    <m/>
    <m/>
    <n v="2"/>
    <e v="#REF!"/>
    <m/>
    <s v="S"/>
    <s v="un fuste"/>
    <n v="2.5"/>
    <n v="5"/>
    <m/>
    <m/>
    <m/>
    <m/>
  </r>
  <r>
    <n v="1"/>
    <x v="1"/>
    <m/>
    <n v="16"/>
    <n v="16"/>
    <s v="Leguminosae"/>
    <x v="5"/>
    <s v="Cacao che"/>
    <m/>
    <m/>
    <m/>
    <n v="4"/>
    <e v="#REF!"/>
    <m/>
    <s v="S"/>
    <s v="un fuste"/>
    <n v="5"/>
    <n v="5"/>
    <m/>
    <m/>
    <m/>
    <m/>
  </r>
  <r>
    <n v="1"/>
    <x v="1"/>
    <m/>
    <n v="17"/>
    <n v="17"/>
    <s v="Leguminosae"/>
    <x v="5"/>
    <s v="Cacao che"/>
    <m/>
    <m/>
    <m/>
    <n v="4"/>
    <e v="#REF!"/>
    <m/>
    <s v="S"/>
    <s v="un fuste"/>
    <n v="5"/>
    <n v="5"/>
    <m/>
    <m/>
    <m/>
    <m/>
  </r>
  <r>
    <n v="1"/>
    <x v="1"/>
    <m/>
    <n v="18"/>
    <n v="18"/>
    <s v="Lauraceae"/>
    <x v="0"/>
    <s v="Aguacatillo"/>
    <m/>
    <m/>
    <m/>
    <n v="0.15"/>
    <e v="#REF!"/>
    <m/>
    <s v="S"/>
    <s v="un fuste"/>
    <n v="2.5"/>
    <n v="5"/>
    <m/>
    <m/>
    <m/>
    <m/>
  </r>
  <r>
    <n v="1"/>
    <x v="1"/>
    <m/>
    <n v="19"/>
    <n v="19"/>
    <s v="Lauraceae"/>
    <x v="0"/>
    <s v="Aguacatillo"/>
    <m/>
    <m/>
    <m/>
    <n v="0.7"/>
    <e v="#REF!"/>
    <m/>
    <s v="S"/>
    <s v="un fuste"/>
    <n v="2.5"/>
    <n v="5"/>
    <m/>
    <m/>
    <m/>
    <m/>
  </r>
  <r>
    <n v="1"/>
    <x v="1"/>
    <m/>
    <n v="20"/>
    <n v="20"/>
    <s v="Lauraceae"/>
    <x v="0"/>
    <s v="Aguacatillo"/>
    <m/>
    <m/>
    <m/>
    <n v="0.3"/>
    <e v="#REF!"/>
    <m/>
    <s v="S"/>
    <s v="un fuste"/>
    <n v="2.5"/>
    <n v="5"/>
    <m/>
    <m/>
    <m/>
    <m/>
  </r>
  <r>
    <n v="1"/>
    <x v="1"/>
    <m/>
    <n v="21"/>
    <n v="21"/>
    <s v="Lamiaceae"/>
    <x v="9"/>
    <s v="Ya'axnik"/>
    <m/>
    <m/>
    <m/>
    <n v="0.1"/>
    <e v="#REF!"/>
    <m/>
    <s v="S"/>
    <s v="un fuste"/>
    <n v="2.5"/>
    <n v="5"/>
    <m/>
    <m/>
    <m/>
    <m/>
  </r>
  <r>
    <n v="1"/>
    <x v="0"/>
    <n v="2"/>
    <n v="8"/>
    <n v="8"/>
    <s v="Lauraceae"/>
    <x v="0"/>
    <s v="Aguacatillo"/>
    <n v="18"/>
    <n v="5.7295779513082321"/>
    <n v="4.5"/>
    <n v="8"/>
    <m/>
    <s v="C"/>
    <s v="S"/>
    <s v="un fuste"/>
    <n v="7.5"/>
    <n v="5"/>
    <m/>
    <m/>
    <m/>
    <m/>
  </r>
  <r>
    <n v="2"/>
    <x v="1"/>
    <m/>
    <n v="1"/>
    <n v="1"/>
    <s v="Lauraceae"/>
    <x v="0"/>
    <s v="Aguacatillo"/>
    <m/>
    <m/>
    <m/>
    <n v="1.7"/>
    <e v="#REF!"/>
    <m/>
    <m/>
    <s v="un fuste"/>
    <n v="2.5"/>
    <n v="5"/>
    <m/>
    <m/>
    <m/>
    <m/>
  </r>
  <r>
    <n v="7"/>
    <x v="0"/>
    <n v="4"/>
    <n v="9"/>
    <n v="9"/>
    <s v="Lauraceae"/>
    <x v="0"/>
    <s v="Aguacatillo"/>
    <n v="17"/>
    <n v="5.4112680651244416"/>
    <n v="3"/>
    <n v="5"/>
    <m/>
    <s v="C"/>
    <s v="S"/>
    <s v="un fuste"/>
    <n v="5"/>
    <n v="5"/>
    <m/>
    <m/>
    <m/>
    <m/>
  </r>
  <r>
    <n v="2"/>
    <x v="1"/>
    <m/>
    <n v="2"/>
    <n v="2"/>
    <s v="Lauraceae"/>
    <x v="0"/>
    <s v="Aguacatillo"/>
    <m/>
    <m/>
    <m/>
    <n v="3.5"/>
    <e v="#REF!"/>
    <m/>
    <m/>
    <s v="un fuste"/>
    <n v="2.5"/>
    <n v="5"/>
    <m/>
    <m/>
    <m/>
    <m/>
  </r>
  <r>
    <n v="2"/>
    <x v="1"/>
    <m/>
    <n v="3"/>
    <n v="3"/>
    <s v="Leguminosae"/>
    <x v="5"/>
    <s v="Cacao che"/>
    <m/>
    <m/>
    <m/>
    <n v="3"/>
    <e v="#REF!"/>
    <m/>
    <m/>
    <s v="un fuste"/>
    <n v="2.5"/>
    <n v="5"/>
    <m/>
    <m/>
    <m/>
    <m/>
  </r>
  <r>
    <n v="2"/>
    <x v="1"/>
    <m/>
    <n v="4"/>
    <n v="4"/>
    <s v="Lauraceae"/>
    <x v="0"/>
    <s v="Aguacatillo"/>
    <m/>
    <m/>
    <m/>
    <n v="1.7"/>
    <e v="#REF!"/>
    <m/>
    <m/>
    <s v="un fuste"/>
    <n v="2.5"/>
    <n v="5"/>
    <m/>
    <m/>
    <m/>
    <m/>
  </r>
  <r>
    <n v="2"/>
    <x v="1"/>
    <m/>
    <n v="5"/>
    <n v="5"/>
    <s v="Leguminosae"/>
    <x v="5"/>
    <s v="Cacao che"/>
    <m/>
    <m/>
    <m/>
    <n v="3.5"/>
    <e v="#REF!"/>
    <m/>
    <m/>
    <s v="un fuste"/>
    <n v="2.5"/>
    <n v="5"/>
    <m/>
    <m/>
    <m/>
    <m/>
  </r>
  <r>
    <n v="2"/>
    <x v="0"/>
    <n v="3"/>
    <n v="10"/>
    <n v="10"/>
    <s v="Lauraceae"/>
    <x v="0"/>
    <s v="Aguacatillo"/>
    <n v="18.5"/>
    <n v="5.8887328944001274"/>
    <n v="4"/>
    <n v="8"/>
    <m/>
    <s v="C"/>
    <s v="S"/>
    <s v="un fuste"/>
    <n v="7.5"/>
    <n v="5"/>
    <m/>
    <m/>
    <m/>
    <m/>
  </r>
  <r>
    <n v="10"/>
    <x v="0"/>
    <n v="1"/>
    <n v="10"/>
    <n v="10"/>
    <s v="Lauraceae"/>
    <x v="0"/>
    <s v="Aguacatillo"/>
    <n v="16"/>
    <n v="5.0929581789406511"/>
    <n v="3.5"/>
    <n v="7"/>
    <m/>
    <s v="C"/>
    <s v="S"/>
    <s v="un fuste"/>
    <n v="7.5"/>
    <n v="5"/>
    <m/>
    <m/>
    <m/>
    <m/>
  </r>
  <r>
    <n v="2"/>
    <x v="1"/>
    <m/>
    <n v="6"/>
    <n v="6"/>
    <s v="Rubiaceae"/>
    <x v="10"/>
    <s v="Cruceta"/>
    <m/>
    <m/>
    <m/>
    <n v="1.8"/>
    <e v="#REF!"/>
    <m/>
    <m/>
    <s v="un fuste"/>
    <n v="2.5"/>
    <n v="5"/>
    <m/>
    <m/>
    <m/>
    <m/>
  </r>
  <r>
    <n v="2"/>
    <x v="1"/>
    <m/>
    <n v="7"/>
    <n v="7"/>
    <s v="Rubiaceae"/>
    <x v="10"/>
    <s v="Cruceta"/>
    <m/>
    <m/>
    <m/>
    <n v="1.8"/>
    <e v="#REF!"/>
    <m/>
    <m/>
    <s v="un fuste"/>
    <n v="2.5"/>
    <n v="5"/>
    <m/>
    <m/>
    <m/>
    <m/>
  </r>
  <r>
    <n v="2"/>
    <x v="1"/>
    <m/>
    <n v="8"/>
    <n v="8"/>
    <s v="Araceae"/>
    <x v="11"/>
    <s v="Baston de viejo "/>
    <m/>
    <m/>
    <m/>
    <n v="4"/>
    <e v="#REF!"/>
    <m/>
    <m/>
    <s v="un fuste"/>
    <n v="5"/>
    <n v="5"/>
    <m/>
    <m/>
    <m/>
    <m/>
  </r>
  <r>
    <n v="2"/>
    <x v="1"/>
    <m/>
    <n v="9"/>
    <n v="9"/>
    <s v="Leguminosae"/>
    <x v="5"/>
    <s v="Cacao che"/>
    <m/>
    <m/>
    <m/>
    <n v="1"/>
    <e v="#REF!"/>
    <m/>
    <m/>
    <s v="un fuste"/>
    <n v="2.5"/>
    <n v="5"/>
    <m/>
    <m/>
    <m/>
    <m/>
  </r>
  <r>
    <n v="5"/>
    <x v="0"/>
    <n v="1"/>
    <n v="10"/>
    <n v="11"/>
    <s v="Lauraceae"/>
    <x v="0"/>
    <s v="Aguacatillo"/>
    <n v="17"/>
    <n v="5.4112680651244416"/>
    <n v="4"/>
    <n v="8"/>
    <m/>
    <s v="C"/>
    <s v="S"/>
    <s v="un fuste"/>
    <n v="7.5"/>
    <n v="5"/>
    <m/>
    <m/>
    <m/>
    <m/>
  </r>
  <r>
    <n v="2"/>
    <x v="1"/>
    <m/>
    <n v="10"/>
    <n v="10"/>
    <s v="Rubiaceae"/>
    <x v="10"/>
    <s v="Cruceta"/>
    <m/>
    <m/>
    <m/>
    <n v="2.2999999999999998"/>
    <e v="#REF!"/>
    <m/>
    <m/>
    <s v="un fuste"/>
    <n v="2.5"/>
    <n v="5"/>
    <m/>
    <m/>
    <m/>
    <m/>
  </r>
  <r>
    <n v="2"/>
    <x v="1"/>
    <m/>
    <n v="11"/>
    <n v="11"/>
    <s v="Leguminosae"/>
    <x v="5"/>
    <s v="Cacao che"/>
    <m/>
    <m/>
    <m/>
    <n v="1"/>
    <e v="#REF!"/>
    <m/>
    <m/>
    <s v="un fuste"/>
    <n v="2.5"/>
    <n v="5"/>
    <m/>
    <m/>
    <m/>
    <m/>
  </r>
  <r>
    <n v="2"/>
    <x v="1"/>
    <m/>
    <n v="12"/>
    <n v="12"/>
    <s v="Sapindaceae"/>
    <x v="2"/>
    <s v="Salatxiw"/>
    <m/>
    <m/>
    <m/>
    <n v="1.7"/>
    <e v="#REF!"/>
    <m/>
    <m/>
    <s v="un fuste"/>
    <n v="2.5"/>
    <n v="5"/>
    <m/>
    <m/>
    <m/>
    <m/>
  </r>
  <r>
    <n v="2"/>
    <x v="1"/>
    <m/>
    <n v="13"/>
    <n v="13"/>
    <s v="Sapindaceae"/>
    <x v="2"/>
    <s v="Salatxiw"/>
    <m/>
    <m/>
    <m/>
    <n v="7"/>
    <e v="#REF!"/>
    <m/>
    <m/>
    <s v="un fuste"/>
    <n v="7.5"/>
    <n v="5"/>
    <m/>
    <m/>
    <m/>
    <m/>
  </r>
  <r>
    <n v="2"/>
    <x v="0"/>
    <n v="4"/>
    <n v="12"/>
    <n v="12"/>
    <s v="Lauraceae"/>
    <x v="0"/>
    <s v="Aguacatillo"/>
    <n v="21"/>
    <n v="6.6845076098596046"/>
    <n v="4"/>
    <n v="9"/>
    <m/>
    <s v="C"/>
    <s v="S"/>
    <s v="un fuste"/>
    <n v="10"/>
    <n v="5"/>
    <m/>
    <m/>
    <m/>
    <m/>
  </r>
  <r>
    <n v="2"/>
    <x v="1"/>
    <m/>
    <n v="14"/>
    <n v="14"/>
    <s v="Myrtaceae"/>
    <x v="12"/>
    <s v="Guayabillo"/>
    <m/>
    <m/>
    <m/>
    <n v="0.6"/>
    <e v="#REF!"/>
    <m/>
    <m/>
    <s v="un fuste"/>
    <n v="2.5"/>
    <n v="5"/>
    <m/>
    <m/>
    <m/>
    <m/>
  </r>
  <r>
    <n v="2"/>
    <x v="1"/>
    <m/>
    <n v="15"/>
    <n v="15"/>
    <s v="Myrtaceae"/>
    <x v="12"/>
    <s v="Guayabillo"/>
    <m/>
    <m/>
    <m/>
    <n v="0.4"/>
    <e v="#REF!"/>
    <m/>
    <m/>
    <s v="un fuste"/>
    <n v="2.5"/>
    <n v="5"/>
    <m/>
    <m/>
    <m/>
    <m/>
  </r>
  <r>
    <n v="2"/>
    <x v="1"/>
    <m/>
    <n v="16"/>
    <n v="16"/>
    <s v="Myrtaceae"/>
    <x v="12"/>
    <s v="Guayabillo"/>
    <m/>
    <m/>
    <m/>
    <n v="0.15"/>
    <e v="#REF!"/>
    <m/>
    <m/>
    <s v="un fuste"/>
    <n v="2.5"/>
    <n v="5"/>
    <m/>
    <m/>
    <m/>
    <m/>
  </r>
  <r>
    <n v="2"/>
    <x v="1"/>
    <m/>
    <n v="17"/>
    <n v="17"/>
    <s v="Myrtaceae"/>
    <x v="12"/>
    <s v="Guayabillo"/>
    <m/>
    <m/>
    <m/>
    <n v="0.4"/>
    <e v="#REF!"/>
    <m/>
    <m/>
    <s v="un fuste"/>
    <n v="2.5"/>
    <n v="5"/>
    <m/>
    <m/>
    <m/>
    <m/>
  </r>
  <r>
    <n v="2"/>
    <x v="1"/>
    <m/>
    <n v="18"/>
    <n v="18"/>
    <s v="Polygonaceae"/>
    <x v="13"/>
    <s v="Boob"/>
    <m/>
    <m/>
    <m/>
    <n v="0.6"/>
    <e v="#REF!"/>
    <m/>
    <m/>
    <s v="un fuste"/>
    <n v="2.5"/>
    <n v="5"/>
    <m/>
    <m/>
    <m/>
    <m/>
  </r>
  <r>
    <n v="2"/>
    <x v="1"/>
    <m/>
    <n v="19"/>
    <n v="19"/>
    <s v="Lauraceae"/>
    <x v="0"/>
    <s v="Aguacatillo"/>
    <m/>
    <m/>
    <m/>
    <n v="0.6"/>
    <e v="#REF!"/>
    <m/>
    <m/>
    <s v="un fuste"/>
    <n v="2.5"/>
    <n v="5"/>
    <m/>
    <m/>
    <m/>
    <m/>
  </r>
  <r>
    <n v="1"/>
    <x v="0"/>
    <n v="3"/>
    <n v="14"/>
    <n v="14"/>
    <s v="Lauraceae"/>
    <x v="0"/>
    <s v="Aguacatillo"/>
    <n v="18"/>
    <n v="5.7295779513082321"/>
    <n v="1.5"/>
    <n v="5"/>
    <m/>
    <s v="C"/>
    <s v="S"/>
    <s v="un fuste"/>
    <n v="5"/>
    <n v="5"/>
    <m/>
    <m/>
    <m/>
    <m/>
  </r>
  <r>
    <n v="2"/>
    <x v="1"/>
    <m/>
    <n v="20"/>
    <n v="20"/>
    <s v="Lauraceae"/>
    <x v="0"/>
    <s v="Aguacatillo"/>
    <m/>
    <m/>
    <m/>
    <n v="0.4"/>
    <e v="#REF!"/>
    <m/>
    <m/>
    <s v="un fuste"/>
    <n v="2.5"/>
    <n v="5"/>
    <m/>
    <m/>
    <m/>
    <m/>
  </r>
  <r>
    <n v="2"/>
    <x v="1"/>
    <m/>
    <n v="21"/>
    <n v="21"/>
    <s v="Lauraceae"/>
    <x v="0"/>
    <s v="Aguacatillo"/>
    <m/>
    <m/>
    <m/>
    <n v="0.3"/>
    <e v="#REF!"/>
    <m/>
    <m/>
    <s v="un fuste"/>
    <n v="2.5"/>
    <n v="5"/>
    <m/>
    <m/>
    <m/>
    <m/>
  </r>
  <r>
    <n v="2"/>
    <x v="1"/>
    <m/>
    <n v="22"/>
    <n v="22"/>
    <s v="Rubiaceae"/>
    <x v="14"/>
    <s v="ka’an chak che"/>
    <m/>
    <m/>
    <m/>
    <n v="13"/>
    <e v="#REF!"/>
    <m/>
    <m/>
    <s v="un fuste"/>
    <n v="12.5"/>
    <n v="5"/>
    <m/>
    <m/>
    <m/>
    <m/>
  </r>
  <r>
    <n v="3"/>
    <x v="1"/>
    <m/>
    <n v="1"/>
    <n v="1"/>
    <s v="Lauraceae"/>
    <x v="0"/>
    <s v="Aguacatillo"/>
    <m/>
    <m/>
    <m/>
    <n v="8"/>
    <e v="#REF!"/>
    <m/>
    <s v="S"/>
    <s v="un fuste"/>
    <n v="7.5"/>
    <n v="5"/>
    <m/>
    <m/>
    <m/>
    <m/>
  </r>
  <r>
    <n v="10"/>
    <x v="0"/>
    <n v="1"/>
    <n v="15"/>
    <n v="15"/>
    <s v="Lauraceae"/>
    <x v="0"/>
    <s v="Aguacatillo"/>
    <n v="26.5"/>
    <n v="8.4352119838704525"/>
    <n v="6"/>
    <n v="12"/>
    <m/>
    <s v="C"/>
    <s v="S"/>
    <s v="un fuste"/>
    <n v="12.5"/>
    <n v="10"/>
    <m/>
    <m/>
    <m/>
    <m/>
  </r>
  <r>
    <n v="3"/>
    <x v="1"/>
    <m/>
    <n v="2"/>
    <n v="2"/>
    <s v="Lauraceae"/>
    <x v="0"/>
    <s v="Aguacatillo"/>
    <m/>
    <m/>
    <m/>
    <n v="8"/>
    <e v="#REF!"/>
    <m/>
    <s v="S"/>
    <s v="un fuste"/>
    <n v="7.5"/>
    <n v="5"/>
    <m/>
    <m/>
    <m/>
    <m/>
  </r>
  <r>
    <n v="3"/>
    <x v="1"/>
    <m/>
    <n v="3"/>
    <n v="3"/>
    <s v="Annonaceae"/>
    <x v="7"/>
    <s v="Ek elemuy"/>
    <m/>
    <m/>
    <m/>
    <n v="3.5"/>
    <e v="#REF!"/>
    <m/>
    <s v="S"/>
    <s v="un fuste"/>
    <n v="2.5"/>
    <n v="5"/>
    <m/>
    <m/>
    <m/>
    <m/>
  </r>
  <r>
    <n v="3"/>
    <x v="1"/>
    <m/>
    <n v="4"/>
    <n v="4"/>
    <s v="Rubiaceae"/>
    <x v="15"/>
    <s v="Tasta'ab"/>
    <m/>
    <m/>
    <m/>
    <n v="3.5"/>
    <e v="#REF!"/>
    <m/>
    <s v="S"/>
    <s v="un fuste"/>
    <n v="2.5"/>
    <n v="5"/>
    <m/>
    <m/>
    <m/>
    <m/>
  </r>
  <r>
    <n v="3"/>
    <x v="0"/>
    <n v="4"/>
    <n v="16"/>
    <n v="16"/>
    <s v="Lauraceae"/>
    <x v="0"/>
    <s v="Aguacatillo"/>
    <n v="17.5"/>
    <n v="5.5704230082163368"/>
    <n v="3.5"/>
    <n v="9"/>
    <m/>
    <s v="C"/>
    <s v="S"/>
    <s v="un fuste"/>
    <n v="10"/>
    <n v="5"/>
    <m/>
    <m/>
    <m/>
    <m/>
  </r>
  <r>
    <n v="3"/>
    <x v="1"/>
    <m/>
    <n v="5"/>
    <n v="5"/>
    <s v="Lauraceae"/>
    <x v="0"/>
    <s v="Aguacatillo"/>
    <m/>
    <m/>
    <m/>
    <n v="5"/>
    <e v="#REF!"/>
    <m/>
    <s v="S"/>
    <s v="un fuste"/>
    <n v="5"/>
    <n v="5"/>
    <m/>
    <m/>
    <m/>
    <m/>
  </r>
  <r>
    <n v="3"/>
    <x v="1"/>
    <m/>
    <n v="6"/>
    <n v="6"/>
    <s v="Lauraceae"/>
    <x v="0"/>
    <s v="Aguacatillo"/>
    <m/>
    <m/>
    <m/>
    <n v="4"/>
    <e v="#REF!"/>
    <m/>
    <s v="S"/>
    <s v="un fuste"/>
    <n v="5"/>
    <n v="5"/>
    <m/>
    <m/>
    <m/>
    <m/>
  </r>
  <r>
    <n v="3"/>
    <x v="1"/>
    <m/>
    <n v="7"/>
    <n v="7"/>
    <s v="Myrtaceae"/>
    <x v="1"/>
    <s v="Granada cimarrona"/>
    <m/>
    <m/>
    <m/>
    <n v="0.6"/>
    <e v="#REF!"/>
    <m/>
    <s v="S"/>
    <s v="un fuste"/>
    <n v="2.5"/>
    <n v="5"/>
    <m/>
    <m/>
    <m/>
    <m/>
  </r>
  <r>
    <n v="3"/>
    <x v="1"/>
    <m/>
    <n v="8"/>
    <n v="8"/>
    <s v="Primulaceae"/>
    <x v="16"/>
    <s v="Pimienta de monte"/>
    <m/>
    <m/>
    <m/>
    <n v="0.15"/>
    <e v="#REF!"/>
    <m/>
    <s v="S"/>
    <s v="un fuste"/>
    <n v="2.5"/>
    <n v="5"/>
    <m/>
    <m/>
    <m/>
    <m/>
  </r>
  <r>
    <n v="3"/>
    <x v="1"/>
    <m/>
    <n v="9"/>
    <n v="9"/>
    <s v="Myrtaceae"/>
    <x v="12"/>
    <s v="Guayabillo"/>
    <m/>
    <m/>
    <m/>
    <n v="0.8"/>
    <e v="#REF!"/>
    <m/>
    <s v="S"/>
    <s v="un fuste"/>
    <n v="2.5"/>
    <n v="5"/>
    <m/>
    <m/>
    <m/>
    <m/>
  </r>
  <r>
    <n v="3"/>
    <x v="1"/>
    <m/>
    <n v="10"/>
    <n v="10"/>
    <s v="Lauraceae"/>
    <x v="0"/>
    <s v="Aguacatillo"/>
    <m/>
    <m/>
    <m/>
    <n v="0.2"/>
    <e v="#REF!"/>
    <m/>
    <s v="S"/>
    <s v="un fuste"/>
    <n v="2.5"/>
    <n v="5"/>
    <m/>
    <m/>
    <m/>
    <m/>
  </r>
  <r>
    <n v="1"/>
    <x v="0"/>
    <n v="3"/>
    <n v="19"/>
    <n v="19"/>
    <s v="Lauraceae"/>
    <x v="0"/>
    <s v="Aguacatillo"/>
    <n v="24"/>
    <n v="7.6394372684109761"/>
    <n v="6"/>
    <n v="10"/>
    <m/>
    <s v="C"/>
    <s v="S"/>
    <s v="un fuste"/>
    <n v="10"/>
    <n v="10"/>
    <m/>
    <m/>
    <m/>
    <m/>
  </r>
  <r>
    <n v="9"/>
    <x v="0"/>
    <n v="2"/>
    <n v="19"/>
    <n v="19"/>
    <s v="Lauraceae"/>
    <x v="0"/>
    <s v="Aguacatillo"/>
    <n v="20.5"/>
    <n v="6.5253526667677093"/>
    <n v="3.5"/>
    <n v="8"/>
    <m/>
    <s v="C"/>
    <s v="S"/>
    <s v="un fuste"/>
    <n v="7.5"/>
    <n v="5"/>
    <m/>
    <m/>
    <m/>
    <m/>
  </r>
  <r>
    <n v="3"/>
    <x v="1"/>
    <m/>
    <n v="11"/>
    <n v="11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2"/>
    <n v="12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3"/>
    <n v="13"/>
    <s v="Lauraceae"/>
    <x v="0"/>
    <s v="Aguacatillo"/>
    <m/>
    <m/>
    <m/>
    <n v="0.2"/>
    <e v="#REF!"/>
    <m/>
    <s v="S"/>
    <s v="un fuste"/>
    <n v="2.5"/>
    <n v="5"/>
    <m/>
    <m/>
    <m/>
    <m/>
  </r>
  <r>
    <n v="4"/>
    <x v="2"/>
    <n v="2"/>
    <n v="19"/>
    <n v="20"/>
    <s v="Lauraceae"/>
    <x v="0"/>
    <s v="Aguacatillo"/>
    <n v="31.5"/>
    <n v="10.026761414789407"/>
    <n v="6"/>
    <n v="9"/>
    <m/>
    <s v="C"/>
    <s v="S"/>
    <s v="un fuste"/>
    <n v="10"/>
    <n v="10"/>
    <n v="9"/>
    <s v="Vol = Exp(-9.45811109+1.82568462*LN(DIAMETRO)+1.00281859*LN(ALTURATOTAL))"/>
    <n v="4.7547789333731237E-2"/>
    <n v="7.8960746141466566E-3"/>
  </r>
  <r>
    <n v="8"/>
    <x v="2"/>
    <n v="2"/>
    <n v="18"/>
    <n v="20"/>
    <s v="Lauraceae"/>
    <x v="0"/>
    <s v="Aguacatillo"/>
    <n v="34"/>
    <n v="10.822536130248883"/>
    <n v="4"/>
    <n v="12"/>
    <m/>
    <s v="C"/>
    <s v="S"/>
    <s v="un fuste"/>
    <n v="12.5"/>
    <n v="10"/>
    <n v="9"/>
    <s v="Vol = Exp(-9.45811109+1.82568462*LN(DIAMETRO)+1.00281859*LN(ALTURATOTAL))"/>
    <n v="7.2941751612467562E-2"/>
    <n v="9.1991557107115509E-3"/>
  </r>
  <r>
    <n v="12"/>
    <x v="0"/>
    <n v="2"/>
    <n v="15"/>
    <n v="20"/>
    <s v="Lauraceae"/>
    <x v="0"/>
    <s v="Aguacatillo"/>
    <n v="17.5"/>
    <n v="5.5704230082163368"/>
    <n v="6"/>
    <n v="9"/>
    <m/>
    <s v="C"/>
    <s v="S"/>
    <s v="un fuste"/>
    <n v="10"/>
    <n v="5"/>
    <m/>
    <m/>
    <m/>
    <m/>
  </r>
  <r>
    <n v="3"/>
    <x v="1"/>
    <m/>
    <n v="14"/>
    <n v="14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5"/>
    <n v="15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16"/>
    <n v="16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17"/>
    <n v="17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18"/>
    <n v="18"/>
    <s v="Lauraceae"/>
    <x v="0"/>
    <s v="Aguacatillo"/>
    <m/>
    <m/>
    <m/>
    <n v="0.15"/>
    <e v="#REF!"/>
    <m/>
    <s v="S"/>
    <s v="un fuste"/>
    <n v="2.5"/>
    <n v="5"/>
    <m/>
    <m/>
    <m/>
    <m/>
  </r>
  <r>
    <n v="6"/>
    <x v="0"/>
    <n v="3"/>
    <n v="19"/>
    <n v="22"/>
    <s v="Lauraceae"/>
    <x v="0"/>
    <s v="Aguacatillo"/>
    <n v="23.5"/>
    <n v="7.4802823253190809"/>
    <n v="3"/>
    <n v="8"/>
    <m/>
    <s v="C"/>
    <s v="S"/>
    <s v="un fuste"/>
    <n v="7.5"/>
    <n v="5"/>
    <m/>
    <m/>
    <m/>
    <m/>
  </r>
  <r>
    <n v="3"/>
    <x v="1"/>
    <m/>
    <n v="19"/>
    <n v="19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20"/>
    <n v="20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21"/>
    <n v="21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22"/>
    <n v="22"/>
    <s v="Lauraceae"/>
    <x v="0"/>
    <s v="Aguacatillo"/>
    <m/>
    <m/>
    <m/>
    <n v="0.2"/>
    <e v="#REF!"/>
    <m/>
    <s v="S"/>
    <s v="un fuste"/>
    <n v="2.5"/>
    <n v="5"/>
    <m/>
    <m/>
    <m/>
    <m/>
  </r>
  <r>
    <n v="3"/>
    <x v="1"/>
    <m/>
    <n v="23"/>
    <n v="23"/>
    <s v="Lauraceae"/>
    <x v="0"/>
    <s v="Aguacatillo"/>
    <m/>
    <m/>
    <m/>
    <n v="0.2"/>
    <e v="#REF!"/>
    <m/>
    <s v="S"/>
    <s v="un fuste"/>
    <n v="2.5"/>
    <n v="5"/>
    <m/>
    <m/>
    <m/>
    <m/>
  </r>
  <r>
    <n v="1"/>
    <x v="0"/>
    <n v="4"/>
    <n v="26"/>
    <n v="26"/>
    <s v="Lauraceae"/>
    <x v="0"/>
    <s v="Aguacatillo"/>
    <n v="22"/>
    <n v="7.0028174960433951"/>
    <n v="7"/>
    <n v="10"/>
    <m/>
    <s v="C"/>
    <s v="S"/>
    <s v="un fuste"/>
    <n v="10"/>
    <n v="5"/>
    <m/>
    <m/>
    <m/>
    <m/>
  </r>
  <r>
    <n v="6"/>
    <x v="0"/>
    <n v="4"/>
    <n v="23"/>
    <n v="26"/>
    <s v="Lauraceae"/>
    <x v="0"/>
    <s v="Aguacatillo"/>
    <n v="19"/>
    <n v="6.0478878374920226"/>
    <n v="4"/>
    <n v="10"/>
    <m/>
    <s v="C"/>
    <s v="S"/>
    <s v="un fuste"/>
    <n v="10"/>
    <n v="5"/>
    <m/>
    <m/>
    <m/>
    <m/>
  </r>
  <r>
    <n v="3"/>
    <x v="1"/>
    <m/>
    <n v="24"/>
    <n v="24"/>
    <s v="Lauraceae"/>
    <x v="0"/>
    <s v="Aguacatillo"/>
    <m/>
    <m/>
    <m/>
    <n v="0.15"/>
    <e v="#REF!"/>
    <m/>
    <s v="S"/>
    <s v="un fuste"/>
    <n v="2.5"/>
    <n v="5"/>
    <m/>
    <m/>
    <m/>
    <m/>
  </r>
  <r>
    <n v="3"/>
    <x v="1"/>
    <m/>
    <n v="25"/>
    <n v="25"/>
    <s v="Lauraceae"/>
    <x v="0"/>
    <s v="Aguacatillo"/>
    <m/>
    <m/>
    <m/>
    <n v="0.15"/>
    <e v="#REF!"/>
    <m/>
    <s v="S"/>
    <s v="un fuste"/>
    <n v="2.5"/>
    <n v="5"/>
    <m/>
    <m/>
    <m/>
    <m/>
  </r>
  <r>
    <n v="6"/>
    <x v="0"/>
    <n v="4"/>
    <n v="24"/>
    <n v="27"/>
    <s v="Lauraceae"/>
    <x v="0"/>
    <s v="Aguacatillo"/>
    <n v="17.5"/>
    <n v="5.5704230082163368"/>
    <n v="4.5"/>
    <n v="9"/>
    <m/>
    <s v="C"/>
    <s v="S"/>
    <s v="un fuste"/>
    <n v="10"/>
    <n v="5"/>
    <m/>
    <m/>
    <m/>
    <m/>
  </r>
  <r>
    <n v="3"/>
    <x v="1"/>
    <m/>
    <n v="26"/>
    <n v="26"/>
    <s v="Lauraceae"/>
    <x v="0"/>
    <s v="Aguacatillo"/>
    <m/>
    <m/>
    <m/>
    <n v="0.15"/>
    <e v="#REF!"/>
    <m/>
    <s v="S"/>
    <s v="un fuste"/>
    <n v="2.5"/>
    <n v="5"/>
    <m/>
    <m/>
    <m/>
    <m/>
  </r>
  <r>
    <n v="6"/>
    <x v="0"/>
    <n v="4"/>
    <n v="26"/>
    <n v="29"/>
    <s v="Lauraceae"/>
    <x v="0"/>
    <s v="Aguacatillo"/>
    <n v="20.5"/>
    <n v="6.5253526667677093"/>
    <n v="5"/>
    <n v="9"/>
    <m/>
    <s v="C"/>
    <s v="S"/>
    <s v="un fuste"/>
    <n v="10"/>
    <n v="5"/>
    <m/>
    <m/>
    <m/>
    <m/>
  </r>
  <r>
    <n v="10"/>
    <x v="0"/>
    <n v="3"/>
    <n v="33"/>
    <n v="33"/>
    <s v="Lauraceae"/>
    <x v="0"/>
    <s v="Aguacatillo"/>
    <n v="19"/>
    <n v="6.0478878374920226"/>
    <n v="5"/>
    <n v="11"/>
    <m/>
    <s v="C"/>
    <s v="S"/>
    <s v="un fuste"/>
    <n v="10"/>
    <n v="5"/>
    <m/>
    <m/>
    <m/>
    <m/>
  </r>
  <r>
    <n v="11"/>
    <x v="0"/>
    <n v="3"/>
    <n v="35"/>
    <n v="35"/>
    <s v="Lauraceae"/>
    <x v="0"/>
    <s v="Aguacatillo"/>
    <n v="19.5"/>
    <n v="6.2070427805839179"/>
    <n v="3"/>
    <n v="8"/>
    <m/>
    <s v="C"/>
    <s v="S"/>
    <s v="un fuste"/>
    <n v="7.5"/>
    <n v="5"/>
    <m/>
    <m/>
    <m/>
    <m/>
  </r>
  <r>
    <n v="12"/>
    <x v="0"/>
    <n v="4"/>
    <n v="25"/>
    <n v="37"/>
    <s v="Lauraceae"/>
    <x v="0"/>
    <s v="Aguacatillo"/>
    <n v="16.5"/>
    <n v="5.2521131220325463"/>
    <n v="2"/>
    <n v="7"/>
    <m/>
    <s v="C"/>
    <s v="S"/>
    <s v="un fuste"/>
    <n v="7.5"/>
    <n v="5"/>
    <m/>
    <m/>
    <m/>
    <m/>
  </r>
  <r>
    <n v="11"/>
    <x v="0"/>
    <n v="4"/>
    <n v="38"/>
    <n v="38"/>
    <s v="Lauraceae"/>
    <x v="0"/>
    <s v="Aguacatillo"/>
    <n v="20.5"/>
    <n v="6.5253526667677093"/>
    <n v="7"/>
    <n v="10"/>
    <m/>
    <s v="C"/>
    <s v="S"/>
    <s v="un fuste"/>
    <n v="10"/>
    <n v="5"/>
    <m/>
    <m/>
    <m/>
    <m/>
  </r>
  <r>
    <n v="10"/>
    <x v="0"/>
    <n v="4"/>
    <n v="39"/>
    <n v="39"/>
    <s v="Lauraceae"/>
    <x v="0"/>
    <s v="Aguacatillo"/>
    <n v="26.5"/>
    <n v="8.4352119838704525"/>
    <n v="2.5"/>
    <n v="11"/>
    <m/>
    <s v="C"/>
    <s v="S"/>
    <s v="un fuste"/>
    <n v="10"/>
    <n v="10"/>
    <m/>
    <m/>
    <m/>
    <m/>
  </r>
  <r>
    <n v="7"/>
    <x v="2"/>
    <n v="4"/>
    <n v="40"/>
    <n v="43"/>
    <s v="Lauraceae"/>
    <x v="0"/>
    <s v="Aguacatillo"/>
    <n v="33"/>
    <n v="10.504226244065093"/>
    <n v="4"/>
    <n v="10"/>
    <m/>
    <s v="C"/>
    <s v="S"/>
    <s v="un fuste"/>
    <n v="10"/>
    <n v="10"/>
    <n v="9"/>
    <s v="Vol = Exp(-9.45811109+1.82568462*LN(DIAMETRO)+1.00281859*LN(ALTURATOTAL))"/>
    <n v="5.753098414258366E-2"/>
    <n v="8.6659866513537007E-3"/>
  </r>
  <r>
    <n v="9"/>
    <x v="0"/>
    <n v="4"/>
    <n v="43"/>
    <n v="43"/>
    <s v="Lauraceae"/>
    <x v="0"/>
    <s v="Aguacatillo"/>
    <n v="18"/>
    <n v="5.7295779513082321"/>
    <n v="4.5"/>
    <n v="9"/>
    <m/>
    <s v="C"/>
    <s v="S"/>
    <s v="un fuste"/>
    <n v="10"/>
    <n v="5"/>
    <m/>
    <m/>
    <m/>
    <m/>
  </r>
  <r>
    <n v="7"/>
    <x v="2"/>
    <n v="4"/>
    <n v="41"/>
    <n v="44"/>
    <s v="Lauraceae"/>
    <x v="0"/>
    <s v="Aguacatillo"/>
    <n v="33"/>
    <n v="10.504226244065093"/>
    <n v="4"/>
    <n v="14"/>
    <m/>
    <s v="C"/>
    <s v="S"/>
    <s v="un fuste"/>
    <n v="15"/>
    <n v="10"/>
    <n v="9"/>
    <s v="Vol = Exp(-9.45811109+1.82568462*LN(DIAMETRO)+1.00281859*LN(ALTURATOTAL))"/>
    <n v="8.0619799541885084E-2"/>
    <n v="8.6659866513537007E-3"/>
  </r>
  <r>
    <n v="9"/>
    <x v="0"/>
    <n v="4"/>
    <n v="44"/>
    <n v="44"/>
    <s v="Lauraceae"/>
    <x v="0"/>
    <s v="Aguacatillo"/>
    <n v="18.5"/>
    <n v="5.8887328944001274"/>
    <n v="5"/>
    <n v="5"/>
    <m/>
    <s v="C"/>
    <s v="S"/>
    <s v="un fuste"/>
    <n v="5"/>
    <n v="5"/>
    <m/>
    <m/>
    <m/>
    <m/>
  </r>
  <r>
    <n v="12"/>
    <x v="0"/>
    <n v="4"/>
    <n v="34"/>
    <n v="51"/>
    <s v="Lauraceae"/>
    <x v="0"/>
    <s v="Aguacatillo"/>
    <n v="18"/>
    <n v="5.7295779513082321"/>
    <n v="3"/>
    <n v="9"/>
    <m/>
    <s v="C"/>
    <s v="S"/>
    <s v="un fuste"/>
    <n v="10"/>
    <n v="5"/>
    <m/>
    <m/>
    <m/>
    <m/>
  </r>
  <r>
    <n v="3"/>
    <x v="1"/>
    <m/>
    <n v="27"/>
    <n v="27"/>
    <s v="Lauraceae"/>
    <x v="0"/>
    <s v="Aguacatillo"/>
    <m/>
    <m/>
    <m/>
    <n v="0.15"/>
    <e v="#REF!"/>
    <m/>
    <s v="S"/>
    <s v="un fuste"/>
    <n v="2.5"/>
    <n v="5"/>
    <m/>
    <m/>
    <m/>
    <m/>
  </r>
  <r>
    <n v="4"/>
    <x v="0"/>
    <n v="1"/>
    <n v="7"/>
    <n v="8"/>
    <s v="Leguminosae"/>
    <x v="17"/>
    <s v="Ahmuk "/>
    <n v="16.5"/>
    <n v="5.2521131220325463"/>
    <n v="1.8"/>
    <n v="10"/>
    <m/>
    <s v="C"/>
    <s v="S"/>
    <s v="un fuste"/>
    <n v="10"/>
    <n v="5"/>
    <m/>
    <m/>
    <m/>
    <m/>
  </r>
  <r>
    <n v="3"/>
    <x v="1"/>
    <m/>
    <n v="28"/>
    <n v="28"/>
    <s v="Sapindaceae"/>
    <x v="3"/>
    <s v="Bejuco tres lomos"/>
    <m/>
    <m/>
    <m/>
    <n v="4"/>
    <e v="#REF!"/>
    <m/>
    <s v="S"/>
    <s v="un fuste"/>
    <n v="5"/>
    <n v="5"/>
    <m/>
    <m/>
    <m/>
    <m/>
  </r>
  <r>
    <n v="3"/>
    <x v="1"/>
    <m/>
    <n v="29"/>
    <n v="29"/>
    <s v="Sapotaceae"/>
    <x v="18"/>
    <s v="Chicozapote"/>
    <m/>
    <m/>
    <m/>
    <n v="1.7"/>
    <e v="#REF!"/>
    <m/>
    <s v="S"/>
    <s v="un fuste"/>
    <n v="2.5"/>
    <n v="5"/>
    <m/>
    <m/>
    <m/>
    <m/>
  </r>
  <r>
    <n v="1"/>
    <x v="0"/>
    <n v="1"/>
    <n v="6"/>
    <n v="6"/>
    <s v="Apocynaceae"/>
    <x v="19"/>
    <s v="Akits"/>
    <n v="23"/>
    <n v="7.3211273822271856"/>
    <n v="5"/>
    <n v="10"/>
    <m/>
    <s v="C"/>
    <s v="S"/>
    <s v="un fuste"/>
    <n v="10"/>
    <n v="5"/>
    <m/>
    <m/>
    <m/>
    <m/>
  </r>
  <r>
    <n v="7"/>
    <x v="2"/>
    <n v="2"/>
    <n v="9"/>
    <n v="12"/>
    <s v="Apocynaceae"/>
    <x v="19"/>
    <s v="Akits"/>
    <n v="37"/>
    <n v="11.777465788800255"/>
    <n v="3"/>
    <n v="10"/>
    <m/>
    <s v="C"/>
    <s v="S"/>
    <s v="un fuste"/>
    <n v="10"/>
    <n v="10"/>
    <n v="17"/>
    <s v="Vol = Exp(-9.52375084+1.81551953*LN(DIAMETRO)+1.03039019*LN(ALTURATOTAL))"/>
    <n v="6.8991137736137118E-2"/>
    <n v="1.0894155854640236E-2"/>
  </r>
  <r>
    <n v="4"/>
    <x v="0"/>
    <n v="2"/>
    <n v="15"/>
    <n v="16"/>
    <s v="Apocynaceae"/>
    <x v="19"/>
    <s v="Akits"/>
    <n v="21.5"/>
    <n v="6.8436625529514998"/>
    <n v="10"/>
    <n v="12"/>
    <m/>
    <s v="C"/>
    <s v="S"/>
    <s v="un fuste"/>
    <n v="12.5"/>
    <n v="5"/>
    <m/>
    <m/>
    <m/>
    <m/>
  </r>
  <r>
    <n v="6"/>
    <x v="0"/>
    <n v="3"/>
    <n v="17"/>
    <n v="20"/>
    <s v="Apocynaceae"/>
    <x v="19"/>
    <s v="Akits"/>
    <n v="19.5"/>
    <n v="6.2070427805839179"/>
    <n v="3"/>
    <n v="8"/>
    <m/>
    <s v="C"/>
    <s v="S"/>
    <s v="un fuste"/>
    <n v="7.5"/>
    <n v="5"/>
    <m/>
    <m/>
    <m/>
    <m/>
  </r>
  <r>
    <n v="6"/>
    <x v="0"/>
    <n v="4"/>
    <n v="22"/>
    <n v="25"/>
    <s v="Apocynaceae"/>
    <x v="19"/>
    <s v="Akits"/>
    <n v="22.5"/>
    <n v="7.1619724391352904"/>
    <n v="2"/>
    <n v="9"/>
    <m/>
    <s v="C"/>
    <s v="S"/>
    <s v="un fuste"/>
    <n v="10"/>
    <n v="5"/>
    <m/>
    <m/>
    <m/>
    <m/>
  </r>
  <r>
    <n v="11"/>
    <x v="0"/>
    <n v="4"/>
    <n v="39"/>
    <n v="39"/>
    <s v="Apocynaceae"/>
    <x v="19"/>
    <s v="Akits"/>
    <n v="17.5"/>
    <n v="5.5704230082163368"/>
    <n v="2.5"/>
    <n v="7"/>
    <m/>
    <s v="C"/>
    <s v="S"/>
    <s v="un fuste"/>
    <n v="7.5"/>
    <n v="5"/>
    <m/>
    <m/>
    <m/>
    <m/>
  </r>
  <r>
    <n v="6"/>
    <x v="2"/>
    <n v="2"/>
    <n v="4"/>
    <n v="5"/>
    <s v="Moraceae"/>
    <x v="20"/>
    <s v="Akúun"/>
    <n v="34"/>
    <n v="10.822536130248883"/>
    <n v="3"/>
    <n v="10"/>
    <m/>
    <s v="C"/>
    <s v="S"/>
    <s v="un fuste"/>
    <n v="10"/>
    <n v="10"/>
    <n v="17"/>
    <s v="Vol = Exp(-9.52375084+1.81551953*LN(DIAMETRO)+1.03039019*LN(ALTURATOTAL))"/>
    <n v="5.9172829084870877E-2"/>
    <n v="9.1991557107115509E-3"/>
  </r>
  <r>
    <n v="6"/>
    <x v="2"/>
    <n v="1"/>
    <n v="2"/>
    <n v="2"/>
    <s v="Moraceae"/>
    <x v="21"/>
    <s v="Álamo"/>
    <n v="48.5"/>
    <n v="15.438029479913848"/>
    <n v="4.5"/>
    <n v="9"/>
    <m/>
    <s v="C"/>
    <s v="S"/>
    <s v="un fuste"/>
    <n v="10"/>
    <n v="15"/>
    <n v="6"/>
    <s v="Vol = Exp(-9.75894522+1.90722681*LN(DIAMETRO)+1.01257027*LN(ALTURATOTAL))"/>
    <n v="9.8831596293402643E-2"/>
    <n v="1.8718610744395538E-2"/>
  </r>
  <r>
    <n v="4"/>
    <x v="2"/>
    <n v="1"/>
    <n v="3"/>
    <n v="3"/>
    <s v="Moraceae"/>
    <x v="21"/>
    <s v="Álamo"/>
    <n v="85"/>
    <n v="27.056340325622209"/>
    <n v="1.5"/>
    <n v="12"/>
    <m/>
    <s v="C"/>
    <s v="S"/>
    <s v="un fuste"/>
    <n v="12.5"/>
    <n v="25"/>
    <n v="6"/>
    <s v="Vol = Exp(-9.75894522+1.90722681*LN(DIAMETRO)+1.01257027*LN(ALTURATOTAL))"/>
    <n v="0.38561393926958815"/>
    <n v="5.7494723191947199E-2"/>
  </r>
  <r>
    <n v="10"/>
    <x v="0"/>
    <n v="1"/>
    <n v="3"/>
    <n v="3"/>
    <s v="Moraceae"/>
    <x v="21"/>
    <s v="Álamo"/>
    <n v="17"/>
    <n v="5.4112680651244416"/>
    <n v="4.5"/>
    <n v="7"/>
    <m/>
    <s v="C"/>
    <s v="S"/>
    <s v="un fuste"/>
    <n v="7.5"/>
    <n v="5"/>
    <m/>
    <m/>
    <m/>
    <m/>
  </r>
  <r>
    <n v="12"/>
    <x v="0"/>
    <n v="1"/>
    <n v="5"/>
    <n v="6"/>
    <s v="Moraceae"/>
    <x v="21"/>
    <s v="Álamo"/>
    <n v="16.5"/>
    <n v="5.2521131220325463"/>
    <n v="3"/>
    <n v="7"/>
    <m/>
    <s v="C"/>
    <s v="S"/>
    <s v="un fuste"/>
    <n v="7.5"/>
    <n v="5"/>
    <m/>
    <m/>
    <m/>
    <m/>
  </r>
  <r>
    <n v="4"/>
    <x v="2"/>
    <n v="1"/>
    <n v="9"/>
    <n v="9"/>
    <s v="Moraceae"/>
    <x v="21"/>
    <s v="Álamo"/>
    <n v="64.5"/>
    <n v="20.5309876588545"/>
    <n v="8"/>
    <n v="12"/>
    <m/>
    <s v="C"/>
    <s v="S"/>
    <s v="un fuste"/>
    <n v="12.5"/>
    <n v="20"/>
    <n v="6"/>
    <s v="Vol = Exp(-9.75894522+1.90722681*LN(DIAMETRO)+1.01257027*LN(ALTURATOTAL))"/>
    <n v="0.2278001594369968"/>
    <n v="3.3106217599902878E-2"/>
  </r>
  <r>
    <n v="10"/>
    <x v="0"/>
    <n v="1"/>
    <n v="9"/>
    <n v="9"/>
    <s v="Moraceae"/>
    <x v="21"/>
    <s v="Álamo"/>
    <n v="30"/>
    <n v="9.5492965855137211"/>
    <n v="8"/>
    <n v="11"/>
    <m/>
    <s v="C"/>
    <s v="S"/>
    <s v="un fuste"/>
    <n v="10"/>
    <n v="10"/>
    <m/>
    <m/>
    <m/>
    <m/>
  </r>
  <r>
    <n v="7"/>
    <x v="2"/>
    <n v="1"/>
    <n v="7"/>
    <n v="10"/>
    <s v="Moraceae"/>
    <x v="21"/>
    <s v="Álamo"/>
    <n v="69"/>
    <n v="21.963382146681557"/>
    <n v="4"/>
    <n v="14"/>
    <m/>
    <s v="C"/>
    <s v="S"/>
    <s v="un fuste"/>
    <n v="15"/>
    <n v="20"/>
    <n v="6"/>
    <s v="Vol = Exp(-9.75894522+1.90722681*LN(DIAMETRO)+1.01257027*LN(ALTURATOTAL))"/>
    <n v="0.30283344419188174"/>
    <n v="3.7886834203025688E-2"/>
  </r>
  <r>
    <n v="4"/>
    <x v="2"/>
    <n v="1"/>
    <n v="13"/>
    <n v="13"/>
    <s v="Moraceae"/>
    <x v="21"/>
    <s v="Álamo"/>
    <n v="42"/>
    <n v="13.369015219719209"/>
    <n v="6"/>
    <n v="11"/>
    <m/>
    <s v="C"/>
    <s v="S"/>
    <s v="un fuste"/>
    <n v="10"/>
    <n v="15"/>
    <n v="6"/>
    <s v="Vol = Exp(-9.75894522+1.90722681*LN(DIAMETRO)+1.01257027*LN(ALTURATOTAL))"/>
    <n v="9.2035253807010123E-2"/>
    <n v="1.4037465980705171E-2"/>
  </r>
  <r>
    <n v="4"/>
    <x v="2"/>
    <n v="1"/>
    <n v="14"/>
    <n v="14"/>
    <s v="Moraceae"/>
    <x v="21"/>
    <s v="Álamo"/>
    <n v="33"/>
    <n v="10.504226244065093"/>
    <n v="7"/>
    <n v="9"/>
    <m/>
    <s v="C"/>
    <s v="S"/>
    <s v="un fuste"/>
    <n v="10"/>
    <n v="10"/>
    <n v="6"/>
    <s v="Vol = Exp(-9.75894522+1.90722681*LN(DIAMETRO)+1.01257027*LN(ALTURATOTAL))"/>
    <n v="4.7419226868973763E-2"/>
    <n v="8.6659866513537007E-3"/>
  </r>
  <r>
    <n v="9"/>
    <x v="2"/>
    <n v="3"/>
    <n v="15"/>
    <n v="15"/>
    <s v="Moraceae"/>
    <x v="21"/>
    <s v="Álamo"/>
    <n v="32.5"/>
    <n v="10.345071300973197"/>
    <n v="3"/>
    <n v="10"/>
    <m/>
    <s v="C"/>
    <s v="S"/>
    <s v="un fuste"/>
    <n v="10"/>
    <n v="10"/>
    <n v="6"/>
    <s v="Vol = Exp(-9.75894522+1.90722681*LN(DIAMETRO)+1.01257027*LN(ALTURATOTAL))"/>
    <n v="5.1243776178304466E-2"/>
    <n v="8.4053704320407232E-3"/>
  </r>
  <r>
    <n v="3"/>
    <x v="1"/>
    <m/>
    <n v="30"/>
    <n v="30"/>
    <s v="Sapindaceae"/>
    <x v="3"/>
    <s v="Bejuco tres lomos"/>
    <m/>
    <m/>
    <m/>
    <n v="0.3"/>
    <e v="#REF!"/>
    <m/>
    <s v="S"/>
    <s v="un fuste"/>
    <n v="2.5"/>
    <n v="5"/>
    <m/>
    <m/>
    <m/>
    <m/>
  </r>
  <r>
    <n v="4"/>
    <x v="1"/>
    <m/>
    <n v="1"/>
    <n v="1"/>
    <s v="Polygonaceae"/>
    <x v="22"/>
    <s v="Toyub"/>
    <m/>
    <m/>
    <m/>
    <n v="1.3"/>
    <e v="#REF!"/>
    <m/>
    <m/>
    <s v="un fuste"/>
    <n v="2.5"/>
    <n v="5"/>
    <m/>
    <m/>
    <m/>
    <m/>
  </r>
  <r>
    <n v="11"/>
    <x v="0"/>
    <n v="2"/>
    <n v="17"/>
    <n v="17"/>
    <s v="Moraceae"/>
    <x v="21"/>
    <s v="Álamo"/>
    <n v="20"/>
    <n v="6.366197723675814"/>
    <n v="6"/>
    <n v="10"/>
    <m/>
    <s v="C"/>
    <s v="S"/>
    <s v="un fuste"/>
    <n v="10"/>
    <n v="5"/>
    <m/>
    <m/>
    <m/>
    <m/>
  </r>
  <r>
    <n v="4"/>
    <x v="2"/>
    <n v="2"/>
    <n v="18"/>
    <n v="18"/>
    <s v="Moraceae"/>
    <x v="21"/>
    <s v="Álamo"/>
    <n v="71"/>
    <n v="22.600001919049138"/>
    <n v="6"/>
    <n v="12"/>
    <m/>
    <s v="CB"/>
    <s v="Sámago"/>
    <s v="un fuste"/>
    <n v="12.5"/>
    <n v="25"/>
    <n v="6"/>
    <s v="Vol = Exp(-9.75894522+1.90722681*LN(DIAMETRO)+1.01257027*LN(ALTURATOTAL))"/>
    <n v="0.27357901184777428"/>
    <n v="4.0115003406312216E-2"/>
  </r>
  <r>
    <n v="9"/>
    <x v="2"/>
    <n v="4"/>
    <n v="18"/>
    <n v="18"/>
    <s v="Moraceae"/>
    <x v="21"/>
    <s v="Álamo"/>
    <n v="33.5"/>
    <n v="10.663381187156988"/>
    <n v="6"/>
    <n v="10"/>
    <m/>
    <s v="CB"/>
    <s v="S"/>
    <s v="un fuste"/>
    <n v="10"/>
    <n v="10"/>
    <n v="6"/>
    <s v="Vol = Exp(-9.75894522+1.90722681*LN(DIAMETRO)+1.01257027*LN(ALTURATOTAL))"/>
    <n v="5.4292893590092241E-2"/>
    <n v="8.9305817442439771E-3"/>
  </r>
  <r>
    <n v="4"/>
    <x v="2"/>
    <n v="2"/>
    <s v="18A"/>
    <n v="19"/>
    <s v="Moraceae"/>
    <x v="21"/>
    <s v="Álamo"/>
    <n v="49"/>
    <n v="15.597184423005743"/>
    <n v="1.8"/>
    <n v="10"/>
    <m/>
    <s v="C"/>
    <s v="S"/>
    <e v="#VALUE!"/>
    <n v="10"/>
    <n v="15"/>
    <n v="6"/>
    <s v="Vol = Exp(-9.75894522+1.90722681*LN(DIAMETRO)+1.01257027*LN(ALTURATOTAL))"/>
    <n v="0.1121305426632917"/>
    <n v="1.9106550918182034E-2"/>
  </r>
  <r>
    <n v="9"/>
    <x v="2"/>
    <n v="4"/>
    <s v="18A"/>
    <n v="19"/>
    <s v="Moraceae"/>
    <x v="21"/>
    <s v="Álamo"/>
    <n v="50.5"/>
    <n v="16.074649252281429"/>
    <n v="3"/>
    <n v="12"/>
    <m/>
    <s v="C"/>
    <s v="S"/>
    <e v="#VALUE!"/>
    <n v="12.5"/>
    <n v="15"/>
    <n v="6"/>
    <s v="Vol = Exp(-9.75894522+1.90722681*LN(DIAMETRO)+1.01257027*LN(ALTURATOTAL))"/>
    <n v="0.1428486706678897"/>
    <n v="2.0294244681005304E-2"/>
  </r>
  <r>
    <n v="9"/>
    <x v="0"/>
    <n v="2"/>
    <n v="20"/>
    <n v="20"/>
    <s v="Moraceae"/>
    <x v="21"/>
    <s v="Álamo"/>
    <n v="16"/>
    <n v="5.0929581789406511"/>
    <n v="5"/>
    <n v="8"/>
    <m/>
    <s v="C"/>
    <s v="S"/>
    <s v="un fuste"/>
    <n v="7.5"/>
    <n v="5"/>
    <m/>
    <m/>
    <m/>
    <m/>
  </r>
  <r>
    <n v="9"/>
    <x v="0"/>
    <n v="2"/>
    <n v="21"/>
    <n v="21"/>
    <s v="Moraceae"/>
    <x v="21"/>
    <s v="Álamo"/>
    <n v="21"/>
    <n v="6.6845076098596046"/>
    <n v="7.5"/>
    <n v="10"/>
    <m/>
    <s v="C"/>
    <s v="S"/>
    <s v="un fuste"/>
    <n v="10"/>
    <n v="5"/>
    <m/>
    <m/>
    <m/>
    <m/>
  </r>
  <r>
    <n v="8"/>
    <x v="0"/>
    <n v="4"/>
    <n v="23"/>
    <n v="23"/>
    <s v="Moraceae"/>
    <x v="21"/>
    <s v="Álamo"/>
    <n v="18"/>
    <n v="5.7295779513082321"/>
    <n v="8"/>
    <n v="9"/>
    <m/>
    <s v="C"/>
    <s v="S"/>
    <s v="un fuste"/>
    <n v="10"/>
    <n v="5"/>
    <m/>
    <m/>
    <m/>
    <m/>
  </r>
  <r>
    <n v="2"/>
    <x v="2"/>
    <n v="2"/>
    <n v="23"/>
    <n v="24"/>
    <s v="Moraceae"/>
    <x v="21"/>
    <s v="Álamo"/>
    <n v="60"/>
    <n v="19.098593171027442"/>
    <n v="7"/>
    <n v="13"/>
    <m/>
    <s v="C"/>
    <s v="S"/>
    <s v="un fuste"/>
    <n v="12.5"/>
    <n v="20"/>
    <n v="6"/>
    <s v="Vol = Exp(-9.75894522+1.90722681*LN(DIAMETRO)+1.01257027*LN(ALTURATOTAL))"/>
    <n v="0.21520384868480516"/>
    <n v="2.8647889756541162E-2"/>
  </r>
  <r>
    <n v="7"/>
    <x v="2"/>
    <n v="3"/>
    <n v="29"/>
    <n v="32"/>
    <s v="Moraceae"/>
    <x v="21"/>
    <s v="Álamo"/>
    <n v="58"/>
    <n v="18.461973398659861"/>
    <n v="8"/>
    <n v="15"/>
    <m/>
    <s v="C"/>
    <s v="S"/>
    <s v="un fuste"/>
    <n v="15"/>
    <n v="20"/>
    <n v="6"/>
    <s v="Vol = Exp(-9.75894522+1.90722681*LN(DIAMETRO)+1.01257027*LN(ALTURATOTAL))"/>
    <n v="0.2331839026431152"/>
    <n v="2.6769861428056801E-2"/>
  </r>
  <r>
    <n v="1"/>
    <x v="2"/>
    <n v="4"/>
    <n v="31"/>
    <n v="34"/>
    <s v="Moraceae"/>
    <x v="21"/>
    <s v="Álamo"/>
    <n v="42"/>
    <n v="13.369015219719209"/>
    <n v="8"/>
    <n v="12"/>
    <m/>
    <s v="C"/>
    <s v="S"/>
    <s v="un fuste"/>
    <n v="12.5"/>
    <n v="15"/>
    <n v="6"/>
    <s v="Vol = Exp(-9.75894522+1.90722681*LN(DIAMETRO)+1.01257027*LN(ALTURATOTAL))"/>
    <n v="0.10051197058404412"/>
    <n v="1.4037465980705171E-2"/>
  </r>
  <r>
    <n v="9"/>
    <x v="0"/>
    <n v="3"/>
    <n v="34"/>
    <n v="34"/>
    <s v="Moraceae"/>
    <x v="21"/>
    <s v="Álamo"/>
    <n v="25.5"/>
    <n v="8.1169020976866619"/>
    <n v="7.5"/>
    <n v="9"/>
    <m/>
    <s v="C"/>
    <s v="S"/>
    <s v="un fuste"/>
    <n v="10"/>
    <n v="10"/>
    <m/>
    <m/>
    <m/>
    <m/>
  </r>
  <r>
    <n v="2"/>
    <x v="2"/>
    <n v="3"/>
    <n v="41"/>
    <n v="43"/>
    <s v="Moraceae"/>
    <x v="21"/>
    <s v="Álamo"/>
    <n v="92"/>
    <n v="29.284509528908742"/>
    <n v="8"/>
    <n v="13"/>
    <m/>
    <s v="C"/>
    <s v="S"/>
    <s v="un fuste"/>
    <n v="12.5"/>
    <n v="30"/>
    <n v="6"/>
    <s v="Vol = Exp(-9.75894522+1.90722681*LN(DIAMETRO)+1.01257027*LN(ALTURATOTAL))"/>
    <n v="0.48629644019637369"/>
    <n v="6.7354371916490102E-2"/>
  </r>
  <r>
    <n v="2"/>
    <x v="2"/>
    <n v="3"/>
    <n v="42"/>
    <n v="44"/>
    <s v="Moraceae"/>
    <x v="21"/>
    <s v="Álamo"/>
    <n v="102"/>
    <n v="32.467608390746648"/>
    <n v="3"/>
    <n v="13"/>
    <m/>
    <s v="C"/>
    <s v="S"/>
    <s v="un fuste"/>
    <n v="12.5"/>
    <n v="30"/>
    <n v="6"/>
    <s v="Vol = Exp(-9.75894522+1.90722681*LN(DIAMETRO)+1.01257027*LN(ALTURATOTAL))"/>
    <n v="0.59206364581031623"/>
    <n v="8.2792401396403953E-2"/>
  </r>
  <r>
    <n v="4"/>
    <x v="2"/>
    <n v="4"/>
    <n v="44"/>
    <n v="46"/>
    <s v="Moraceae"/>
    <x v="21"/>
    <s v="Álamo"/>
    <n v="81"/>
    <n v="25.783100780887047"/>
    <n v="2.5"/>
    <n v="12"/>
    <m/>
    <s v="C"/>
    <s v="S"/>
    <s v="un fuste"/>
    <n v="12.5"/>
    <n v="25"/>
    <n v="6"/>
    <s v="Vol = Exp(-9.75894522+1.90722681*LN(DIAMETRO)+1.01257027*LN(ALTURATOTAL))"/>
    <n v="0.35174425764411343"/>
    <n v="5.2210779081296267E-2"/>
  </r>
  <r>
    <n v="4"/>
    <x v="2"/>
    <n v="4"/>
    <n v="47"/>
    <n v="49"/>
    <s v="Moraceae"/>
    <x v="21"/>
    <s v="Álamo"/>
    <n v="36"/>
    <n v="11.459155902616464"/>
    <n v="6"/>
    <n v="12"/>
    <m/>
    <s v="C"/>
    <s v="S"/>
    <s v="un fuste"/>
    <n v="12.5"/>
    <n v="10"/>
    <n v="6"/>
    <s v="Vol = Exp(-9.75894522+1.90722681*LN(DIAMETRO)+1.01257027*LN(ALTURATOTAL))"/>
    <n v="7.49091856120465E-2"/>
    <n v="1.0313240312354817E-2"/>
  </r>
  <r>
    <n v="2"/>
    <x v="2"/>
    <n v="4"/>
    <n v="49"/>
    <n v="53"/>
    <s v="Moraceae"/>
    <x v="21"/>
    <s v="Álamo"/>
    <n v="134"/>
    <n v="42.653524748627952"/>
    <n v="5.5"/>
    <n v="13"/>
    <m/>
    <s v="CB"/>
    <s v="S"/>
    <s v="un fuste"/>
    <n v="12.5"/>
    <n v="45"/>
    <n v="6"/>
    <s v="Vol = Exp(-9.75894522+1.90722681*LN(DIAMETRO)+1.01257027*LN(ALTURATOTAL))"/>
    <n v="0.99628501018515359"/>
    <n v="0.14288930790790363"/>
  </r>
  <r>
    <n v="8"/>
    <x v="2"/>
    <n v="4"/>
    <n v="48"/>
    <n v="53"/>
    <s v="Moraceae"/>
    <x v="21"/>
    <s v="Álamo"/>
    <n v="61"/>
    <n v="19.416903057211233"/>
    <n v="3"/>
    <n v="12"/>
    <m/>
    <s v="C"/>
    <s v="S"/>
    <s v="un fuste"/>
    <n v="12.5"/>
    <n v="20"/>
    <n v="6"/>
    <s v="Vol = Exp(-9.75894522+1.90722681*LN(DIAMETRO)+1.01257027*LN(ALTURATOTAL))"/>
    <n v="0.20480575104841942"/>
    <n v="2.961077716224713E-2"/>
  </r>
  <r>
    <n v="2"/>
    <x v="2"/>
    <n v="4"/>
    <s v="49A"/>
    <n v="54"/>
    <s v="Moraceae"/>
    <x v="21"/>
    <s v="Álamo"/>
    <n v="80"/>
    <n v="25.464790894703256"/>
    <n v="5.5"/>
    <n v="13"/>
    <m/>
    <s v="C"/>
    <s v="S"/>
    <e v="#VALUE!"/>
    <n v="12.5"/>
    <n v="25"/>
    <n v="6"/>
    <s v="Vol = Exp(-9.75894522+1.90722681*LN(DIAMETRO)+1.01257027*LN(ALTURATOTAL))"/>
    <n v="0.37250880446471862"/>
    <n v="5.0929581789406514E-2"/>
  </r>
  <r>
    <n v="8"/>
    <x v="2"/>
    <n v="4"/>
    <n v="53"/>
    <n v="58"/>
    <s v="Moraceae"/>
    <x v="21"/>
    <s v="Álamo"/>
    <n v="41.5"/>
    <n v="13.209860276627314"/>
    <n v="4"/>
    <n v="12"/>
    <m/>
    <s v="C"/>
    <s v="S"/>
    <s v="un fuste"/>
    <n v="12.5"/>
    <n v="15"/>
    <n v="6"/>
    <s v="Vol = Exp(-9.75894522+1.90722681*LN(DIAMETRO)+1.01257027*LN(ALTURATOTAL))"/>
    <n v="9.8242166574490863E-2"/>
    <n v="1.3705230037000837E-2"/>
  </r>
  <r>
    <n v="4"/>
    <x v="2"/>
    <n v="1"/>
    <n v="1"/>
    <n v="1"/>
    <s v="Moraceae"/>
    <x v="23"/>
    <s v="Amatillo"/>
    <n v="40"/>
    <n v="12.732395447351628"/>
    <n v="7.5"/>
    <n v="11"/>
    <m/>
    <s v="C"/>
    <s v="S"/>
    <s v="un fuste"/>
    <n v="10"/>
    <n v="15"/>
    <n v="17"/>
    <s v="Vol = Exp(-9.52375084+1.81551953*LN(DIAMETRO)+1.03039019*LN(ALTURATOTAL))"/>
    <n v="8.76827716039211E-2"/>
    <n v="1.2732395447351628E-2"/>
  </r>
  <r>
    <n v="3"/>
    <x v="0"/>
    <n v="1"/>
    <n v="1"/>
    <n v="1"/>
    <s v="Moraceae"/>
    <x v="23"/>
    <s v="Amatillo"/>
    <n v="22.5"/>
    <n v="7.1619724391352904"/>
    <n v="3"/>
    <n v="7"/>
    <m/>
    <s v="C"/>
    <s v="S"/>
    <s v="un fuste"/>
    <n v="7.5"/>
    <n v="5"/>
    <m/>
    <m/>
    <m/>
    <m/>
  </r>
  <r>
    <n v="4"/>
    <x v="1"/>
    <m/>
    <n v="2"/>
    <n v="2"/>
    <s v="Lauraceae"/>
    <x v="0"/>
    <s v="Aguacatillo"/>
    <m/>
    <m/>
    <m/>
    <n v="2.2999999999999998"/>
    <e v="#REF!"/>
    <m/>
    <m/>
    <s v="un fuste"/>
    <n v="2.5"/>
    <n v="5"/>
    <m/>
    <m/>
    <m/>
    <m/>
  </r>
  <r>
    <n v="4"/>
    <x v="2"/>
    <n v="1"/>
    <n v="4"/>
    <n v="4"/>
    <s v="Moraceae"/>
    <x v="23"/>
    <s v="Amatillo"/>
    <n v="33"/>
    <n v="10.504226244065093"/>
    <n v="2.5"/>
    <n v="9"/>
    <m/>
    <s v="C"/>
    <s v="Sámago"/>
    <s v="un fuste"/>
    <n v="10"/>
    <n v="10"/>
    <n v="17"/>
    <s v="Vol = Exp(-9.52375084+1.81551953*LN(DIAMETRO)+1.03039019*LN(ALTURATOTAL))"/>
    <n v="5.0284726807398025E-2"/>
    <n v="8.6659866513537007E-3"/>
  </r>
  <r>
    <n v="4"/>
    <x v="2"/>
    <n v="1"/>
    <n v="6"/>
    <n v="6"/>
    <s v="Moraceae"/>
    <x v="23"/>
    <s v="Amatillo"/>
    <n v="36"/>
    <n v="11.459155902616464"/>
    <n v="8"/>
    <n v="12"/>
    <m/>
    <s v="C"/>
    <s v="S"/>
    <s v="un fuste"/>
    <n v="12.5"/>
    <n v="10"/>
    <n v="17"/>
    <s v="Vol = Exp(-9.52375084+1.81551953*LN(DIAMETRO)+1.03039019*LN(ALTURATOTAL))"/>
    <n v="7.9209562371578848E-2"/>
    <n v="1.0313240312354817E-2"/>
  </r>
  <r>
    <n v="9"/>
    <x v="0"/>
    <n v="1"/>
    <n v="7"/>
    <n v="7"/>
    <s v="Moraceae"/>
    <x v="23"/>
    <s v="Amatillo"/>
    <n v="23.5"/>
    <n v="7.4802823253190809"/>
    <n v="6"/>
    <n v="12"/>
    <m/>
    <s v="C"/>
    <s v="S"/>
    <s v="un fuste"/>
    <n v="12.5"/>
    <n v="5"/>
    <m/>
    <m/>
    <m/>
    <m/>
  </r>
  <r>
    <n v="3"/>
    <x v="2"/>
    <n v="1"/>
    <n v="9"/>
    <n v="9"/>
    <s v="Moraceae"/>
    <x v="23"/>
    <s v="Amatillo"/>
    <n v="35.5"/>
    <n v="11.300000959524569"/>
    <n v="8"/>
    <n v="10"/>
    <m/>
    <s v="C"/>
    <s v="S"/>
    <s v="un fuste"/>
    <n v="10"/>
    <n v="10"/>
    <n v="17"/>
    <s v="Vol = Exp(-9.52375084+1.81551953*LN(DIAMETRO)+1.03039019*LN(ALTURATOTAL))"/>
    <n v="6.3997395648830932E-2"/>
    <n v="1.0028750851578054E-2"/>
  </r>
  <r>
    <n v="6"/>
    <x v="0"/>
    <n v="2"/>
    <n v="10"/>
    <n v="10"/>
    <s v="Moraceae"/>
    <x v="23"/>
    <s v="Amatillo"/>
    <n v="22.5"/>
    <n v="7.1619724391352904"/>
    <n v="3"/>
    <n v="9"/>
    <m/>
    <s v="C"/>
    <s v="S"/>
    <s v="un fuste"/>
    <n v="10"/>
    <n v="5"/>
    <m/>
    <m/>
    <m/>
    <m/>
  </r>
  <r>
    <n v="9"/>
    <x v="0"/>
    <n v="1"/>
    <n v="11"/>
    <n v="11"/>
    <s v="Moraceae"/>
    <x v="23"/>
    <s v="Amatillo"/>
    <n v="21.5"/>
    <n v="6.8436625529514998"/>
    <n v="8.5"/>
    <n v="10"/>
    <m/>
    <s v="C"/>
    <s v="S"/>
    <s v="un fuste"/>
    <n v="10"/>
    <n v="5"/>
    <m/>
    <m/>
    <m/>
    <m/>
  </r>
  <r>
    <n v="3"/>
    <x v="2"/>
    <n v="1"/>
    <n v="13"/>
    <n v="13"/>
    <s v="Moraceae"/>
    <x v="23"/>
    <s v="Amatillo"/>
    <n v="60"/>
    <n v="19.098593171027442"/>
    <n v="5.5"/>
    <n v="11"/>
    <m/>
    <s v="C"/>
    <s v="S"/>
    <s v="un fuste"/>
    <n v="10"/>
    <n v="20"/>
    <n v="17"/>
    <s v="Vol = Exp(-9.52375084+1.81551953*LN(DIAMETRO)+1.03039019*LN(ALTURATOTAL))"/>
    <n v="0.18306755828121885"/>
    <n v="2.8647889756541162E-2"/>
  </r>
  <r>
    <n v="3"/>
    <x v="0"/>
    <n v="3"/>
    <n v="13"/>
    <n v="13"/>
    <s v="Moraceae"/>
    <x v="23"/>
    <s v="Amatillo"/>
    <n v="19"/>
    <n v="6.0478878374920226"/>
    <n v="8"/>
    <n v="9"/>
    <m/>
    <s v="C"/>
    <s v="S"/>
    <s v="un fuste"/>
    <n v="10"/>
    <n v="5"/>
    <m/>
    <m/>
    <m/>
    <m/>
  </r>
  <r>
    <n v="9"/>
    <x v="0"/>
    <n v="2"/>
    <n v="13"/>
    <n v="13"/>
    <s v="Moraceae"/>
    <x v="23"/>
    <s v="Amatillo"/>
    <n v="16"/>
    <n v="5.0929581789406511"/>
    <n v="6"/>
    <n v="8"/>
    <m/>
    <s v="C"/>
    <s v="S"/>
    <s v="un fuste"/>
    <n v="7.5"/>
    <n v="5"/>
    <m/>
    <m/>
    <m/>
    <m/>
  </r>
  <r>
    <n v="3"/>
    <x v="0"/>
    <n v="3"/>
    <n v="14"/>
    <n v="14"/>
    <s v="Moraceae"/>
    <x v="23"/>
    <s v="Amatillo"/>
    <n v="16.5"/>
    <n v="5.2521131220325463"/>
    <n v="4"/>
    <n v="6"/>
    <m/>
    <s v="C"/>
    <s v="S"/>
    <s v="un fuste"/>
    <n v="5"/>
    <n v="5"/>
    <m/>
    <m/>
    <m/>
    <m/>
  </r>
  <r>
    <n v="9"/>
    <x v="2"/>
    <n v="4"/>
    <n v="19"/>
    <n v="20"/>
    <s v="Moraceae"/>
    <x v="23"/>
    <s v="Amatillo"/>
    <n v="36"/>
    <n v="11.459155902616464"/>
    <n v="3"/>
    <n v="9"/>
    <m/>
    <s v="C"/>
    <s v="S"/>
    <s v="un fuste"/>
    <n v="10"/>
    <n v="10"/>
    <n v="17"/>
    <s v="Vol = Exp(-9.52375084+1.81551953*LN(DIAMETRO)+1.03039019*LN(ALTURATOTAL))"/>
    <n v="5.8890055727484625E-2"/>
    <n v="1.0313240312354817E-2"/>
  </r>
  <r>
    <n v="3"/>
    <x v="2"/>
    <n v="2"/>
    <n v="21"/>
    <n v="21"/>
    <s v="Moraceae"/>
    <x v="23"/>
    <s v="Amatillo"/>
    <n v="38.5"/>
    <n v="12.254930618075941"/>
    <n v="6"/>
    <n v="11"/>
    <m/>
    <s v="C"/>
    <s v="S"/>
    <s v="un fuste"/>
    <n v="10"/>
    <n v="10"/>
    <n v="17"/>
    <s v="Vol = Exp(-9.52375084+1.81551953*LN(DIAMETRO)+1.03039019*LN(ALTURATOTAL))"/>
    <n v="8.1804648924443071E-2"/>
    <n v="1.1795370719898092E-2"/>
  </r>
  <r>
    <n v="9"/>
    <x v="0"/>
    <n v="2"/>
    <n v="26"/>
    <n v="26"/>
    <s v="Moraceae"/>
    <x v="23"/>
    <s v="Amatillo"/>
    <n v="21"/>
    <n v="6.6845076098596046"/>
    <n v="5.5"/>
    <n v="9"/>
    <m/>
    <s v="C"/>
    <s v="S"/>
    <s v="un fuste"/>
    <n v="10"/>
    <n v="5"/>
    <m/>
    <m/>
    <m/>
    <m/>
  </r>
  <r>
    <n v="3"/>
    <x v="2"/>
    <n v="3"/>
    <n v="30"/>
    <n v="30"/>
    <s v="Moraceae"/>
    <x v="23"/>
    <s v="Amatillo"/>
    <n v="51.5"/>
    <n v="16.392959138465219"/>
    <n v="5"/>
    <n v="10"/>
    <m/>
    <s v="CB"/>
    <s v="S"/>
    <s v="un fuste"/>
    <n v="10"/>
    <n v="15"/>
    <n v="17"/>
    <s v="Vol = Exp(-9.52375084+1.81551953*LN(DIAMETRO)+1.03039019*LN(ALTURATOTAL))"/>
    <n v="0.12575113276693189"/>
    <n v="2.1105934890773968E-2"/>
  </r>
  <r>
    <n v="9"/>
    <x v="0"/>
    <n v="3"/>
    <n v="30"/>
    <n v="30"/>
    <s v="Moraceae"/>
    <x v="23"/>
    <s v="Amatillo"/>
    <n v="18.5"/>
    <n v="5.8887328944001274"/>
    <n v="3.5"/>
    <n v="8"/>
    <m/>
    <s v="C"/>
    <s v="S"/>
    <s v="un fuste"/>
    <n v="7.5"/>
    <n v="5"/>
    <m/>
    <m/>
    <m/>
    <m/>
  </r>
  <r>
    <n v="3"/>
    <x v="2"/>
    <n v="3"/>
    <s v="30A"/>
    <n v="31"/>
    <s v="Moraceae"/>
    <x v="23"/>
    <s v="Amatillo"/>
    <n v="44"/>
    <n v="14.00563499208679"/>
    <n v="3"/>
    <n v="9"/>
    <m/>
    <s v="C"/>
    <s v="S"/>
    <e v="#VALUE!"/>
    <n v="10"/>
    <n v="15"/>
    <n v="17"/>
    <s v="Vol = Exp(-9.52375084+1.81551953*LN(DIAMETRO)+1.03039019*LN(ALTURATOTAL))"/>
    <n v="8.4774416915525813E-2"/>
    <n v="1.5406198491295471E-2"/>
  </r>
  <r>
    <n v="3"/>
    <x v="2"/>
    <n v="3"/>
    <s v="30B"/>
    <n v="32"/>
    <s v="Moraceae"/>
    <x v="23"/>
    <s v="Amatillo"/>
    <n v="38.5"/>
    <n v="12.254930618075941"/>
    <n v="5"/>
    <n v="10"/>
    <m/>
    <s v="C"/>
    <s v="S"/>
    <e v="#VALUE!"/>
    <n v="10"/>
    <n v="10"/>
    <n v="17"/>
    <s v="Vol = Exp(-9.52375084+1.81551953*LN(DIAMETRO)+1.03039019*LN(ALTURATOTAL))"/>
    <n v="7.4152768215724821E-2"/>
    <n v="1.1795370719898092E-2"/>
  </r>
  <r>
    <n v="3"/>
    <x v="2"/>
    <n v="3"/>
    <n v="31"/>
    <n v="33"/>
    <s v="Moraceae"/>
    <x v="23"/>
    <s v="Amatillo"/>
    <n v="56"/>
    <n v="17.82535362629228"/>
    <n v="8"/>
    <n v="14"/>
    <m/>
    <s v="C"/>
    <s v="S"/>
    <s v="un fuste"/>
    <n v="15"/>
    <n v="20"/>
    <n v="17"/>
    <s v="Vol = Exp(-9.52375084+1.81551953*LN(DIAMETRO)+1.03039019*LN(ALTURATOTAL))"/>
    <n v="0.20707651602127494"/>
    <n v="2.4955495076809196E-2"/>
  </r>
  <r>
    <n v="4"/>
    <x v="1"/>
    <m/>
    <n v="3"/>
    <n v="3"/>
    <s v="Polygonaceae"/>
    <x v="22"/>
    <s v="Toyub"/>
    <m/>
    <m/>
    <m/>
    <n v="1"/>
    <e v="#REF!"/>
    <m/>
    <m/>
    <s v="un fuste"/>
    <n v="2.5"/>
    <n v="5"/>
    <m/>
    <m/>
    <m/>
    <m/>
  </r>
  <r>
    <n v="4"/>
    <x v="1"/>
    <m/>
    <n v="4"/>
    <n v="4"/>
    <s v="Apocynaceae"/>
    <x v="19"/>
    <s v="Akits"/>
    <m/>
    <m/>
    <m/>
    <n v="1.5"/>
    <e v="#REF!"/>
    <m/>
    <m/>
    <s v="un fuste"/>
    <n v="2.5"/>
    <n v="5"/>
    <m/>
    <m/>
    <m/>
    <m/>
  </r>
  <r>
    <n v="10"/>
    <x v="0"/>
    <n v="4"/>
    <n v="37"/>
    <n v="37"/>
    <s v="Moraceae"/>
    <x v="23"/>
    <s v="Amatillo"/>
    <n v="27"/>
    <n v="8.5943669269623477"/>
    <n v="6"/>
    <n v="12"/>
    <m/>
    <s v="C"/>
    <s v="S"/>
    <s v="un fuste"/>
    <n v="12.5"/>
    <n v="10"/>
    <m/>
    <m/>
    <m/>
    <m/>
  </r>
  <r>
    <n v="3"/>
    <x v="2"/>
    <n v="4"/>
    <n v="47"/>
    <n v="56"/>
    <s v="Moraceae"/>
    <x v="23"/>
    <s v="Amatillo"/>
    <n v="39"/>
    <n v="12.414085561167836"/>
    <n v="5.5"/>
    <n v="9"/>
    <m/>
    <s v="C"/>
    <s v="S"/>
    <s v="un fuste"/>
    <n v="10"/>
    <n v="10"/>
    <n v="17"/>
    <s v="Vol = Exp(-9.52375084+1.81551953*LN(DIAMETRO)+1.03039019*LN(ALTURATOTAL))"/>
    <n v="6.8100962199452261E-2"/>
    <n v="1.210373342213864E-2"/>
  </r>
  <r>
    <n v="4"/>
    <x v="2"/>
    <n v="4"/>
    <n v="55"/>
    <n v="57"/>
    <s v="Moraceae"/>
    <x v="23"/>
    <s v="Amatillo"/>
    <n v="38"/>
    <n v="12.095775674984045"/>
    <n v="6"/>
    <n v="8"/>
    <m/>
    <s v="C"/>
    <s v="SD"/>
    <s v="un fuste"/>
    <n v="7.5"/>
    <n v="10"/>
    <n v="17"/>
    <s v="Vol = Exp(-9.52375084+1.81551953*LN(DIAMETRO)+1.03039019*LN(ALTURATOTAL))"/>
    <n v="5.753939564851706E-2"/>
    <n v="1.1490986891234843E-2"/>
  </r>
  <r>
    <n v="4"/>
    <x v="1"/>
    <m/>
    <n v="5"/>
    <n v="5"/>
    <s v="Lauraceae"/>
    <x v="0"/>
    <s v="Aguacatillo"/>
    <m/>
    <m/>
    <m/>
    <n v="0.6"/>
    <e v="#REF!"/>
    <m/>
    <m/>
    <s v="un fuste"/>
    <n v="2.5"/>
    <n v="5"/>
    <m/>
    <m/>
    <m/>
    <m/>
  </r>
  <r>
    <n v="4"/>
    <x v="1"/>
    <m/>
    <n v="6"/>
    <n v="6"/>
    <s v="Sapindaceae"/>
    <x v="24"/>
    <s v="Bejuco alado"/>
    <m/>
    <m/>
    <m/>
    <n v="1.7"/>
    <e v="#REF!"/>
    <m/>
    <m/>
    <s v="un fuste"/>
    <n v="2.5"/>
    <n v="5"/>
    <m/>
    <m/>
    <m/>
    <m/>
  </r>
  <r>
    <n v="4"/>
    <x v="1"/>
    <m/>
    <n v="7"/>
    <n v="7"/>
    <s v="Sapindaceae"/>
    <x v="24"/>
    <s v="Bejuco alado"/>
    <m/>
    <m/>
    <m/>
    <n v="6"/>
    <e v="#REF!"/>
    <m/>
    <m/>
    <s v="un fuste"/>
    <n v="5"/>
    <n v="5"/>
    <m/>
    <m/>
    <m/>
    <m/>
  </r>
  <r>
    <n v="4"/>
    <x v="1"/>
    <m/>
    <n v="8"/>
    <n v="8"/>
    <s v="Anacardiaceae"/>
    <x v="25"/>
    <s v="Chechem"/>
    <m/>
    <m/>
    <m/>
    <n v="4"/>
    <e v="#REF!"/>
    <m/>
    <m/>
    <s v="un fuste"/>
    <n v="5"/>
    <n v="5"/>
    <m/>
    <m/>
    <m/>
    <m/>
  </r>
  <r>
    <n v="4"/>
    <x v="1"/>
    <m/>
    <n v="9"/>
    <n v="9"/>
    <s v="Bignoniaceae"/>
    <x v="26"/>
    <s v="Sool aak"/>
    <m/>
    <m/>
    <m/>
    <n v="6"/>
    <e v="#REF!"/>
    <m/>
    <m/>
    <s v="un fuste"/>
    <n v="5"/>
    <n v="5"/>
    <m/>
    <m/>
    <m/>
    <m/>
  </r>
  <r>
    <n v="4"/>
    <x v="1"/>
    <m/>
    <n v="10"/>
    <n v="10"/>
    <s v="Polygonaceae"/>
    <x v="22"/>
    <s v="Toyub"/>
    <m/>
    <m/>
    <m/>
    <n v="3.5"/>
    <e v="#REF!"/>
    <m/>
    <m/>
    <s v="un fuste"/>
    <n v="2.5"/>
    <n v="5"/>
    <m/>
    <m/>
    <m/>
    <m/>
  </r>
  <r>
    <n v="4"/>
    <x v="1"/>
    <m/>
    <n v="11"/>
    <n v="11"/>
    <s v="Bignoniaceae"/>
    <x v="26"/>
    <s v="Sool aak"/>
    <m/>
    <m/>
    <m/>
    <n v="6"/>
    <e v="#REF!"/>
    <m/>
    <m/>
    <s v="un fuste"/>
    <n v="5"/>
    <n v="5"/>
    <m/>
    <m/>
    <m/>
    <m/>
  </r>
  <r>
    <n v="4"/>
    <x v="1"/>
    <m/>
    <n v="12"/>
    <n v="12"/>
    <s v="Malvaceae"/>
    <x v="27"/>
    <s v="Ho'ol"/>
    <m/>
    <m/>
    <m/>
    <n v="0.8"/>
    <e v="#REF!"/>
    <m/>
    <m/>
    <s v="un fuste"/>
    <n v="2.5"/>
    <n v="5"/>
    <m/>
    <m/>
    <m/>
    <m/>
  </r>
  <r>
    <n v="4"/>
    <x v="1"/>
    <m/>
    <n v="13"/>
    <n v="13"/>
    <s v="Araliaceae"/>
    <x v="28"/>
    <s v="Sak chacaj"/>
    <m/>
    <m/>
    <m/>
    <n v="1.2"/>
    <e v="#REF!"/>
    <m/>
    <m/>
    <s v="un fuste"/>
    <n v="2.5"/>
    <n v="5"/>
    <m/>
    <m/>
    <m/>
    <m/>
  </r>
  <r>
    <n v="4"/>
    <x v="1"/>
    <m/>
    <n v="14"/>
    <n v="14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5"/>
    <n v="15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6"/>
    <n v="16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7"/>
    <n v="17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8"/>
    <n v="18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19"/>
    <n v="19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20"/>
    <n v="20"/>
    <s v="Poaceae"/>
    <x v="29"/>
    <s v="Carricillo"/>
    <m/>
    <m/>
    <m/>
    <n v="0.3"/>
    <e v="#REF!"/>
    <m/>
    <m/>
    <s v="un fuste"/>
    <n v="2.5"/>
    <n v="5"/>
    <m/>
    <m/>
    <m/>
    <m/>
  </r>
  <r>
    <n v="4"/>
    <x v="1"/>
    <m/>
    <n v="21"/>
    <n v="21"/>
    <s v="Poaceae"/>
    <x v="29"/>
    <s v="Carricillo"/>
    <m/>
    <m/>
    <m/>
    <n v="0.3"/>
    <e v="#REF!"/>
    <m/>
    <m/>
    <s v="un fuste"/>
    <n v="2.5"/>
    <n v="5"/>
    <m/>
    <m/>
    <m/>
    <m/>
  </r>
  <r>
    <n v="5"/>
    <x v="1"/>
    <m/>
    <n v="1"/>
    <n v="1"/>
    <s v="Araliaceae"/>
    <x v="28"/>
    <s v="Sak chacaj"/>
    <m/>
    <m/>
    <m/>
    <n v="6"/>
    <e v="#REF!"/>
    <m/>
    <s v="S"/>
    <s v="un fuste"/>
    <n v="5"/>
    <n v="5"/>
    <m/>
    <m/>
    <m/>
    <m/>
  </r>
  <r>
    <n v="5"/>
    <x v="1"/>
    <m/>
    <n v="2"/>
    <n v="2"/>
    <s v="Rubiaceae"/>
    <x v="15"/>
    <s v="Tasta'ab"/>
    <m/>
    <m/>
    <m/>
    <n v="5"/>
    <e v="#REF!"/>
    <m/>
    <s v="S"/>
    <s v="un fuste"/>
    <n v="5"/>
    <n v="5"/>
    <m/>
    <m/>
    <m/>
    <m/>
  </r>
  <r>
    <n v="5"/>
    <x v="1"/>
    <m/>
    <n v="3"/>
    <n v="3"/>
    <s v="Rubiaceae"/>
    <x v="15"/>
    <s v="Tasta'ab"/>
    <m/>
    <m/>
    <m/>
    <n v="4"/>
    <e v="#REF!"/>
    <m/>
    <s v="S"/>
    <s v="un fuste"/>
    <n v="5"/>
    <n v="5"/>
    <m/>
    <m/>
    <m/>
    <m/>
  </r>
  <r>
    <n v="5"/>
    <x v="1"/>
    <m/>
    <n v="4"/>
    <n v="4"/>
    <s v="Rubiaceae"/>
    <x v="15"/>
    <s v="Tasta'ab"/>
    <m/>
    <m/>
    <m/>
    <n v="6"/>
    <e v="#REF!"/>
    <m/>
    <s v="S"/>
    <s v="un fuste"/>
    <n v="5"/>
    <n v="5"/>
    <m/>
    <m/>
    <m/>
    <m/>
  </r>
  <r>
    <n v="5"/>
    <x v="1"/>
    <m/>
    <n v="5"/>
    <n v="5"/>
    <s v="Leguminosae"/>
    <x v="30"/>
    <s v="Katalox"/>
    <m/>
    <m/>
    <m/>
    <n v="6"/>
    <e v="#REF!"/>
    <m/>
    <s v="S"/>
    <s v="un fuste"/>
    <n v="5"/>
    <n v="5"/>
    <m/>
    <m/>
    <m/>
    <m/>
  </r>
  <r>
    <n v="5"/>
    <x v="1"/>
    <m/>
    <n v="6"/>
    <n v="6"/>
    <s v="Polygonaceae"/>
    <x v="13"/>
    <s v="Boob"/>
    <m/>
    <m/>
    <m/>
    <n v="0.8"/>
    <e v="#REF!"/>
    <m/>
    <s v="S"/>
    <s v="un fuste"/>
    <n v="2.5"/>
    <n v="5"/>
    <m/>
    <m/>
    <m/>
    <m/>
  </r>
  <r>
    <n v="5"/>
    <x v="1"/>
    <m/>
    <n v="7"/>
    <n v="7"/>
    <s v="Leguminosae"/>
    <x v="31"/>
    <s v="Kanasin"/>
    <m/>
    <m/>
    <m/>
    <n v="3"/>
    <e v="#REF!"/>
    <m/>
    <s v="S"/>
    <s v="un fuste"/>
    <n v="2.5"/>
    <n v="5"/>
    <m/>
    <m/>
    <m/>
    <m/>
  </r>
  <r>
    <n v="5"/>
    <x v="1"/>
    <m/>
    <n v="8"/>
    <n v="8"/>
    <s v="Leguminosae"/>
    <x v="31"/>
    <s v="Kanasin"/>
    <m/>
    <m/>
    <m/>
    <n v="3"/>
    <e v="#REF!"/>
    <m/>
    <s v="S"/>
    <s v="un fuste"/>
    <n v="2.5"/>
    <n v="5"/>
    <m/>
    <m/>
    <m/>
    <m/>
  </r>
  <r>
    <n v="5"/>
    <x v="1"/>
    <m/>
    <n v="9"/>
    <n v="9"/>
    <s v="Polygonaceae"/>
    <x v="13"/>
    <s v="Boob"/>
    <m/>
    <m/>
    <m/>
    <n v="0.15"/>
    <e v="#REF!"/>
    <m/>
    <s v="S"/>
    <s v="un fuste"/>
    <n v="2.5"/>
    <n v="5"/>
    <m/>
    <m/>
    <m/>
    <m/>
  </r>
  <r>
    <n v="5"/>
    <x v="1"/>
    <m/>
    <n v="10"/>
    <n v="10"/>
    <s v="Vitaceae "/>
    <x v="32"/>
    <s v="Bejuco Cissus"/>
    <m/>
    <m/>
    <m/>
    <n v="0.2"/>
    <e v="#REF!"/>
    <m/>
    <s v="S"/>
    <s v="un fuste"/>
    <n v="2.5"/>
    <n v="5"/>
    <m/>
    <m/>
    <m/>
    <m/>
  </r>
  <r>
    <n v="5"/>
    <x v="1"/>
    <m/>
    <n v="11"/>
    <n v="11"/>
    <s v="Sapindaceae"/>
    <x v="24"/>
    <s v="Bejuco alado"/>
    <m/>
    <m/>
    <m/>
    <n v="0.6"/>
    <e v="#REF!"/>
    <m/>
    <s v="S"/>
    <s v="un fuste"/>
    <n v="2.5"/>
    <n v="5"/>
    <m/>
    <m/>
    <m/>
    <m/>
  </r>
  <r>
    <n v="5"/>
    <x v="1"/>
    <m/>
    <n v="12"/>
    <n v="12"/>
    <s v="Sapindaceae"/>
    <x v="24"/>
    <s v="Bejuco alado"/>
    <m/>
    <m/>
    <m/>
    <n v="0.6"/>
    <e v="#REF!"/>
    <m/>
    <s v="S"/>
    <s v="un fuste"/>
    <n v="2.5"/>
    <n v="5"/>
    <m/>
    <m/>
    <m/>
    <m/>
  </r>
  <r>
    <n v="5"/>
    <x v="1"/>
    <m/>
    <n v="13"/>
    <n v="13"/>
    <s v="Sapindaceae"/>
    <x v="24"/>
    <s v="Bejuco alado"/>
    <m/>
    <m/>
    <m/>
    <n v="0.6"/>
    <e v="#REF!"/>
    <m/>
    <s v="S"/>
    <s v="un fuste"/>
    <n v="2.5"/>
    <n v="5"/>
    <m/>
    <m/>
    <m/>
    <m/>
  </r>
  <r>
    <n v="5"/>
    <x v="1"/>
    <m/>
    <n v="14"/>
    <n v="14"/>
    <s v="Vitaceae "/>
    <x v="32"/>
    <s v="Bejuco Cissus"/>
    <m/>
    <m/>
    <m/>
    <n v="0.2"/>
    <e v="#REF!"/>
    <m/>
    <s v="S"/>
    <s v="un fuste"/>
    <n v="2.5"/>
    <n v="5"/>
    <m/>
    <m/>
    <m/>
    <m/>
  </r>
  <r>
    <n v="5"/>
    <x v="1"/>
    <m/>
    <n v="15"/>
    <n v="15"/>
    <s v="Vitaceae "/>
    <x v="32"/>
    <s v="Bejuco Cissus"/>
    <m/>
    <m/>
    <m/>
    <n v="0.1"/>
    <e v="#REF!"/>
    <m/>
    <s v="S"/>
    <s v="un fuste"/>
    <n v="2.5"/>
    <n v="5"/>
    <m/>
    <m/>
    <m/>
    <m/>
  </r>
  <r>
    <n v="5"/>
    <x v="1"/>
    <m/>
    <n v="16"/>
    <n v="16"/>
    <s v="Vitaceae "/>
    <x v="32"/>
    <s v="Bejuco Cissus"/>
    <m/>
    <m/>
    <m/>
    <n v="0.1"/>
    <e v="#REF!"/>
    <m/>
    <s v="S"/>
    <s v="un fuste"/>
    <n v="2.5"/>
    <n v="5"/>
    <m/>
    <m/>
    <m/>
    <m/>
  </r>
  <r>
    <n v="5"/>
    <x v="1"/>
    <m/>
    <n v="17"/>
    <n v="17"/>
    <s v="Vitaceae "/>
    <x v="32"/>
    <s v="Bejuco Cissus"/>
    <m/>
    <m/>
    <m/>
    <n v="0.15"/>
    <e v="#REF!"/>
    <m/>
    <s v="S"/>
    <s v="un fuste"/>
    <n v="2.5"/>
    <n v="5"/>
    <m/>
    <m/>
    <m/>
    <m/>
  </r>
  <r>
    <n v="5"/>
    <x v="1"/>
    <m/>
    <n v="18"/>
    <n v="18"/>
    <s v="Vitaceae "/>
    <x v="32"/>
    <s v="Bejuco Cissus"/>
    <m/>
    <m/>
    <m/>
    <n v="0.1"/>
    <e v="#REF!"/>
    <m/>
    <s v="S"/>
    <s v="un fuste"/>
    <n v="2.5"/>
    <n v="5"/>
    <m/>
    <m/>
    <m/>
    <m/>
  </r>
  <r>
    <n v="5"/>
    <x v="1"/>
    <m/>
    <n v="19"/>
    <n v="19"/>
    <s v="Vitaceae "/>
    <x v="32"/>
    <s v="Bejuco Cissus"/>
    <m/>
    <m/>
    <m/>
    <n v="0.1"/>
    <e v="#REF!"/>
    <m/>
    <s v="S"/>
    <s v="un fuste"/>
    <n v="2.5"/>
    <n v="5"/>
    <m/>
    <m/>
    <m/>
    <m/>
  </r>
  <r>
    <n v="6"/>
    <x v="1"/>
    <m/>
    <n v="1"/>
    <n v="1"/>
    <s v="Sapindaceae"/>
    <x v="33"/>
    <s v="Sak poom"/>
    <m/>
    <m/>
    <m/>
    <n v="6"/>
    <e v="#REF!"/>
    <m/>
    <s v="S"/>
    <s v="un fuste"/>
    <n v="5"/>
    <n v="5"/>
    <m/>
    <m/>
    <m/>
    <m/>
  </r>
  <r>
    <n v="6"/>
    <x v="1"/>
    <m/>
    <n v="2"/>
    <n v="2"/>
    <s v="Sapindaceae"/>
    <x v="33"/>
    <s v="Sak poom"/>
    <m/>
    <m/>
    <m/>
    <n v="1.6"/>
    <e v="#REF!"/>
    <m/>
    <s v="S"/>
    <s v="un fuste"/>
    <n v="2.5"/>
    <n v="5"/>
    <m/>
    <m/>
    <m/>
    <m/>
  </r>
  <r>
    <n v="8"/>
    <x v="0"/>
    <n v="4"/>
    <n v="22"/>
    <n v="22"/>
    <s v="Capparaceae"/>
    <x v="34"/>
    <s v="Bo'kanche'"/>
    <n v="27"/>
    <n v="8.5943669269623477"/>
    <n v="7"/>
    <n v="11"/>
    <m/>
    <s v="C"/>
    <s v="S"/>
    <s v="un fuste"/>
    <n v="10"/>
    <n v="10"/>
    <m/>
    <m/>
    <m/>
    <m/>
  </r>
  <r>
    <n v="2"/>
    <x v="2"/>
    <n v="1"/>
    <n v="1"/>
    <n v="1"/>
    <s v="Polygonaceae"/>
    <x v="13"/>
    <s v="Boob"/>
    <n v="37"/>
    <n v="11.777465788800255"/>
    <n v="6"/>
    <n v="13"/>
    <m/>
    <s v="C"/>
    <s v="S"/>
    <s v="un fuste"/>
    <n v="12.5"/>
    <n v="10"/>
    <n v="16"/>
    <s v="Vol = Exp(-9.63519924+1.83658572*LN(DIAMETRO)+1.02444663*LN(ALTURATOTAL))"/>
    <n v="8.3895793672179933E-2"/>
    <n v="1.0894155854640236E-2"/>
  </r>
  <r>
    <n v="5"/>
    <x v="0"/>
    <n v="1"/>
    <n v="1"/>
    <n v="1"/>
    <s v="Polygonaceae"/>
    <x v="13"/>
    <s v="Boob"/>
    <n v="29.5"/>
    <n v="9.3901416424218258"/>
    <n v="5.5"/>
    <n v="9"/>
    <m/>
    <s v="CB"/>
    <s v="S"/>
    <s v="un fuste"/>
    <n v="10"/>
    <n v="10"/>
    <m/>
    <m/>
    <m/>
    <m/>
  </r>
  <r>
    <n v="4"/>
    <x v="2"/>
    <n v="1"/>
    <n v="2"/>
    <n v="2"/>
    <s v="Polygonaceae"/>
    <x v="13"/>
    <s v="Boob"/>
    <n v="33"/>
    <n v="10.504226244065093"/>
    <n v="8"/>
    <n v="11"/>
    <m/>
    <s v="C"/>
    <s v="S"/>
    <s v="un fuste"/>
    <n v="10"/>
    <n v="10"/>
    <n v="16"/>
    <s v="Vol = Exp(-9.63519924+1.83658572*LN(DIAMETRO)+1.02444663*LN(ALTURATOTAL))"/>
    <n v="5.7300712943972834E-2"/>
    <n v="8.6659866513537007E-3"/>
  </r>
  <r>
    <n v="5"/>
    <x v="2"/>
    <n v="1"/>
    <n v="2"/>
    <n v="2"/>
    <s v="Polygonaceae"/>
    <x v="13"/>
    <s v="Boob"/>
    <n v="43"/>
    <n v="13.687325105903"/>
    <n v="7"/>
    <n v="10"/>
    <m/>
    <s v="C"/>
    <s v="S"/>
    <s v="un fuste"/>
    <n v="10"/>
    <n v="15"/>
    <n v="16"/>
    <s v="Vol = Exp(-9.63519924+1.83658572*LN(DIAMETRO)+1.02444663*LN(ALTURATOTAL))"/>
    <n v="8.45043860324068E-2"/>
    <n v="1.4713874488845724E-2"/>
  </r>
  <r>
    <n v="1"/>
    <x v="0"/>
    <n v="1"/>
    <n v="2"/>
    <n v="2"/>
    <s v="Polygonaceae"/>
    <x v="13"/>
    <s v="Boob"/>
    <n v="28"/>
    <n v="8.91267681314614"/>
    <n v="3"/>
    <n v="7"/>
    <m/>
    <s v="C"/>
    <s v="S"/>
    <s v="un fuste"/>
    <n v="7.5"/>
    <n v="10"/>
    <m/>
    <m/>
    <m/>
    <m/>
  </r>
  <r>
    <n v="2"/>
    <x v="0"/>
    <n v="1"/>
    <n v="2"/>
    <n v="2"/>
    <s v="Polygonaceae"/>
    <x v="13"/>
    <s v="Boob"/>
    <n v="19"/>
    <n v="6.0478878374920226"/>
    <n v="5"/>
    <n v="6"/>
    <m/>
    <s v="C"/>
    <s v="SD"/>
    <s v="un fuste"/>
    <n v="5"/>
    <n v="5"/>
    <m/>
    <m/>
    <m/>
    <m/>
  </r>
  <r>
    <n v="5"/>
    <x v="0"/>
    <n v="1"/>
    <s v="1A"/>
    <n v="2"/>
    <s v="Polygonaceae"/>
    <x v="13"/>
    <s v="Boob"/>
    <n v="23"/>
    <n v="7.3211273822271856"/>
    <n v="5.5"/>
    <n v="9"/>
    <m/>
    <s v="C"/>
    <s v="S"/>
    <e v="#VALUE!"/>
    <n v="10"/>
    <n v="5"/>
    <m/>
    <m/>
    <m/>
    <m/>
  </r>
  <r>
    <n v="9"/>
    <x v="2"/>
    <n v="1"/>
    <n v="3"/>
    <n v="3"/>
    <s v="Polygonaceae"/>
    <x v="13"/>
    <s v="Boob"/>
    <n v="35.5"/>
    <n v="11.300000959524569"/>
    <n v="5.5"/>
    <n v="10"/>
    <m/>
    <s v="C"/>
    <s v="S"/>
    <s v="un fuste"/>
    <n v="10"/>
    <n v="10"/>
    <n v="16"/>
    <s v="Vol = Exp(-9.63519924+1.83658572*LN(DIAMETRO)+1.02444663*LN(ALTURATOTAL))"/>
    <n v="5.9429443989314337E-2"/>
    <n v="1.0028750851578054E-2"/>
  </r>
  <r>
    <n v="10"/>
    <x v="2"/>
    <n v="1"/>
    <n v="3"/>
    <n v="3"/>
    <s v="Polygonaceae"/>
    <x v="13"/>
    <s v="Boob"/>
    <n v="33.5"/>
    <n v="10.663381187156988"/>
    <n v="6"/>
    <n v="10"/>
    <m/>
    <s v="C"/>
    <s v="S"/>
    <s v="un fuste"/>
    <n v="10"/>
    <n v="10"/>
    <n v="16"/>
    <s v="Vol = Exp(-9.63519924+1.83658572*LN(DIAMETRO)+1.02444663*LN(ALTURATOTAL))"/>
    <n v="5.3425663706255927E-2"/>
    <n v="8.9305817442439771E-3"/>
  </r>
  <r>
    <n v="11"/>
    <x v="2"/>
    <n v="1"/>
    <n v="2"/>
    <n v="3"/>
    <s v="Polygonaceae"/>
    <x v="13"/>
    <s v="Boob"/>
    <n v="36"/>
    <n v="11.459155902616464"/>
    <n v="4"/>
    <n v="10"/>
    <m/>
    <s v="C"/>
    <s v="S"/>
    <s v="un fuste"/>
    <n v="10"/>
    <n v="10"/>
    <n v="16"/>
    <s v="Vol = Exp(-9.63519924+1.83658572*LN(DIAMETRO)+1.02444663*LN(ALTURATOTAL))"/>
    <n v="6.0975779374989041E-2"/>
    <n v="1.0313240312354817E-2"/>
  </r>
  <r>
    <n v="11"/>
    <x v="2"/>
    <n v="1"/>
    <n v="3"/>
    <n v="4"/>
    <s v="Polygonaceae"/>
    <x v="13"/>
    <s v="Boob"/>
    <n v="46"/>
    <n v="14.642254764454371"/>
    <n v="6"/>
    <n v="12"/>
    <m/>
    <s v="C"/>
    <s v="S"/>
    <s v="un fuste"/>
    <n v="12.5"/>
    <n v="15"/>
    <n v="16"/>
    <s v="Vol = Exp(-9.63519924+1.83658572*LN(DIAMETRO)+1.02444663*LN(ALTURATOTAL))"/>
    <n v="0.1152892094778195"/>
    <n v="1.6838592979122526E-2"/>
  </r>
  <r>
    <n v="1"/>
    <x v="0"/>
    <n v="1"/>
    <n v="4"/>
    <n v="4"/>
    <s v="Polygonaceae"/>
    <x v="13"/>
    <s v="Boob"/>
    <n v="21"/>
    <n v="6.6845076098596046"/>
    <n v="6"/>
    <n v="8"/>
    <m/>
    <s v="C"/>
    <s v="S"/>
    <s v="un fuste"/>
    <n v="7.5"/>
    <n v="5"/>
    <m/>
    <m/>
    <m/>
    <m/>
  </r>
  <r>
    <n v="6"/>
    <x v="1"/>
    <m/>
    <n v="3"/>
    <n v="3"/>
    <s v="Sapindaceae"/>
    <x v="33"/>
    <s v="Sak poom"/>
    <m/>
    <m/>
    <m/>
    <n v="4"/>
    <e v="#REF!"/>
    <m/>
    <s v="S"/>
    <s v="un fuste"/>
    <n v="5"/>
    <n v="5"/>
    <m/>
    <m/>
    <m/>
    <m/>
  </r>
  <r>
    <n v="2"/>
    <x v="2"/>
    <n v="1"/>
    <n v="5"/>
    <n v="5"/>
    <s v="Polygonaceae"/>
    <x v="13"/>
    <s v="Boob"/>
    <n v="35"/>
    <n v="11.140846016432674"/>
    <n v="8"/>
    <n v="12"/>
    <m/>
    <s v="C"/>
    <s v="S"/>
    <s v="un fuste"/>
    <n v="12.5"/>
    <n v="10"/>
    <n v="16"/>
    <s v="Vol = Exp(-9.63519924+1.83658572*LN(DIAMETRO)+1.02444663*LN(ALTURATOTAL))"/>
    <n v="6.9791847152597383E-2"/>
    <n v="9.7482402643785885E-3"/>
  </r>
  <r>
    <n v="9"/>
    <x v="2"/>
    <n v="1"/>
    <n v="5"/>
    <n v="5"/>
    <s v="Polygonaceae"/>
    <x v="13"/>
    <s v="Boob"/>
    <n v="32"/>
    <n v="10.185916357881302"/>
    <n v="4.5"/>
    <n v="9"/>
    <m/>
    <s v="C"/>
    <s v="S"/>
    <s v="un fuste"/>
    <n v="10"/>
    <n v="10"/>
    <n v="16"/>
    <s v="Vol = Exp(-9.63519924+1.83658572*LN(DIAMETRO)+1.02444663*LN(ALTURATOTAL))"/>
    <n v="4.408950883936872E-2"/>
    <n v="8.1487330863050413E-3"/>
  </r>
  <r>
    <n v="10"/>
    <x v="2"/>
    <n v="1"/>
    <n v="5"/>
    <n v="5"/>
    <s v="Polygonaceae"/>
    <x v="13"/>
    <s v="Boob"/>
    <n v="32"/>
    <n v="10.185916357881302"/>
    <n v="4"/>
    <n v="10"/>
    <m/>
    <s v="C"/>
    <s v="S"/>
    <s v="un fuste"/>
    <n v="10"/>
    <n v="10"/>
    <n v="16"/>
    <s v="Vol = Exp(-9.63519924+1.83658572*LN(DIAMETRO)+1.02444663*LN(ALTURATOTAL))"/>
    <n v="4.9114685538601273E-2"/>
    <n v="8.1487330863050413E-3"/>
  </r>
  <r>
    <n v="11"/>
    <x v="2"/>
    <n v="1"/>
    <n v="4"/>
    <n v="5"/>
    <s v="Polygonaceae"/>
    <x v="13"/>
    <s v="Boob"/>
    <n v="31.5"/>
    <n v="10.026761414789407"/>
    <n v="6"/>
    <n v="11"/>
    <m/>
    <s v="C"/>
    <s v="S"/>
    <s v="un fuste"/>
    <n v="10"/>
    <n v="10"/>
    <n v="16"/>
    <s v="Vol = Exp(-9.63519924+1.83658572*LN(DIAMETRO)+1.02444663*LN(ALTURATOTAL))"/>
    <n v="5.2608361423648733E-2"/>
    <n v="7.8960746141466566E-3"/>
  </r>
  <r>
    <n v="8"/>
    <x v="0"/>
    <n v="1"/>
    <n v="5"/>
    <n v="5"/>
    <s v="Polygonaceae"/>
    <x v="13"/>
    <s v="Boob"/>
    <n v="22"/>
    <n v="7.0028174960433951"/>
    <n v="6"/>
    <n v="9"/>
    <m/>
    <s v="C"/>
    <s v="S"/>
    <s v="un fuste"/>
    <n v="10"/>
    <n v="5"/>
    <m/>
    <m/>
    <m/>
    <m/>
  </r>
  <r>
    <n v="11"/>
    <x v="0"/>
    <n v="1"/>
    <n v="5"/>
    <n v="5"/>
    <s v="Polygonaceae"/>
    <x v="13"/>
    <s v="Boob"/>
    <n v="16"/>
    <n v="5.0929581789406511"/>
    <n v="6"/>
    <n v="8"/>
    <m/>
    <s v="C"/>
    <s v="S"/>
    <s v="un fuste"/>
    <n v="7.5"/>
    <n v="5"/>
    <m/>
    <m/>
    <m/>
    <m/>
  </r>
  <r>
    <n v="6"/>
    <x v="1"/>
    <m/>
    <n v="4"/>
    <n v="4"/>
    <s v="Sapindaceae"/>
    <x v="33"/>
    <s v="Sak poom"/>
    <m/>
    <m/>
    <m/>
    <n v="2.5"/>
    <e v="#REF!"/>
    <m/>
    <s v="S"/>
    <s v="un fuste"/>
    <n v="2.5"/>
    <n v="5"/>
    <m/>
    <m/>
    <m/>
    <m/>
  </r>
  <r>
    <n v="6"/>
    <x v="1"/>
    <m/>
    <n v="5"/>
    <n v="5"/>
    <s v="Polygonaceae"/>
    <x v="13"/>
    <s v="Boob"/>
    <m/>
    <m/>
    <m/>
    <n v="3"/>
    <e v="#REF!"/>
    <m/>
    <s v="S"/>
    <s v="un fuste"/>
    <n v="2.5"/>
    <n v="5"/>
    <m/>
    <m/>
    <m/>
    <m/>
  </r>
  <r>
    <n v="11"/>
    <x v="0"/>
    <n v="1"/>
    <n v="6"/>
    <n v="6"/>
    <s v="Polygonaceae"/>
    <x v="13"/>
    <s v="Boob"/>
    <n v="15"/>
    <n v="4.7746482927568605"/>
    <n v="5"/>
    <n v="11"/>
    <m/>
    <s v="C"/>
    <s v="S"/>
    <s v="un fuste"/>
    <n v="10"/>
    <n v="5"/>
    <m/>
    <m/>
    <m/>
    <m/>
  </r>
  <r>
    <n v="6"/>
    <x v="1"/>
    <m/>
    <n v="6"/>
    <n v="6"/>
    <s v="Sapindaceae"/>
    <x v="33"/>
    <s v="Sak poom"/>
    <m/>
    <m/>
    <m/>
    <n v="2.5"/>
    <e v="#REF!"/>
    <m/>
    <s v="S"/>
    <s v="un fuste"/>
    <n v="2.5"/>
    <n v="5"/>
    <m/>
    <m/>
    <m/>
    <m/>
  </r>
  <r>
    <n v="5"/>
    <x v="2"/>
    <n v="1"/>
    <n v="7"/>
    <n v="7"/>
    <s v="Polygonaceae"/>
    <x v="13"/>
    <s v="Boob"/>
    <n v="40"/>
    <n v="12.732395447351628"/>
    <n v="6"/>
    <n v="9"/>
    <m/>
    <s v="C"/>
    <s v="S"/>
    <s v="un fuste"/>
    <n v="10"/>
    <n v="15"/>
    <n v="16"/>
    <s v="Vol = Exp(-9.63519924+1.83658572*LN(DIAMETRO)+1.02444663*LN(ALTURATOTAL))"/>
    <n v="6.6423048964348835E-2"/>
    <n v="1.2732395447351628E-2"/>
  </r>
  <r>
    <n v="11"/>
    <x v="2"/>
    <n v="2"/>
    <n v="6"/>
    <n v="7"/>
    <s v="Polygonaceae"/>
    <x v="13"/>
    <s v="Boob"/>
    <n v="45.5"/>
    <n v="14.483099821362476"/>
    <n v="7"/>
    <n v="10"/>
    <m/>
    <s v="C"/>
    <s v="S"/>
    <s v="un fuste"/>
    <n v="10"/>
    <n v="15"/>
    <n v="16"/>
    <s v="Vol = Exp(-9.63519924+1.83658572*LN(DIAMETRO)+1.02444663*LN(ALTURATOTAL))"/>
    <n v="9.3746371218650273E-2"/>
    <n v="1.6474526046799814E-2"/>
  </r>
  <r>
    <n v="11"/>
    <x v="0"/>
    <n v="1"/>
    <n v="7"/>
    <n v="7"/>
    <s v="Polygonaceae"/>
    <x v="13"/>
    <s v="Boob"/>
    <n v="19"/>
    <n v="6.0478878374920226"/>
    <n v="8"/>
    <n v="10"/>
    <m/>
    <s v="C"/>
    <s v="S"/>
    <s v="un fuste"/>
    <n v="10"/>
    <n v="5"/>
    <m/>
    <m/>
    <m/>
    <m/>
  </r>
  <r>
    <n v="6"/>
    <x v="1"/>
    <m/>
    <n v="7"/>
    <n v="7"/>
    <s v="Araliaceae"/>
    <x v="28"/>
    <s v="Sak chacaj"/>
    <m/>
    <m/>
    <m/>
    <n v="3"/>
    <e v="#REF!"/>
    <m/>
    <s v="S"/>
    <s v="un fuste"/>
    <n v="2.5"/>
    <n v="5"/>
    <m/>
    <m/>
    <m/>
    <m/>
  </r>
  <r>
    <n v="6"/>
    <x v="2"/>
    <n v="2"/>
    <n v="7"/>
    <n v="8"/>
    <s v="Polygonaceae"/>
    <x v="13"/>
    <s v="Boob"/>
    <n v="33"/>
    <n v="10.504226244065093"/>
    <n v="7"/>
    <n v="12"/>
    <m/>
    <s v="C"/>
    <s v="S"/>
    <s v="un fuste"/>
    <n v="12.5"/>
    <n v="10"/>
    <n v="16"/>
    <s v="Vol = Exp(-9.63519924+1.83658572*LN(DIAMETRO)+1.02444663*LN(ALTURATOTAL))"/>
    <n v="6.2642977111450393E-2"/>
    <n v="8.6659866513537007E-3"/>
  </r>
  <r>
    <n v="11"/>
    <x v="2"/>
    <n v="2"/>
    <n v="7"/>
    <n v="8"/>
    <s v="Polygonaceae"/>
    <x v="13"/>
    <s v="Boob"/>
    <n v="36"/>
    <n v="11.459155902616464"/>
    <n v="6"/>
    <n v="11"/>
    <m/>
    <s v="C"/>
    <s v="S"/>
    <s v="un fuste"/>
    <n v="10"/>
    <n v="10"/>
    <n v="16"/>
    <s v="Vol = Exp(-9.63519924+1.83658572*LN(DIAMETRO)+1.02444663*LN(ALTURATOTAL))"/>
    <n v="6.7229821297668677E-2"/>
    <n v="1.0313240312354817E-2"/>
  </r>
  <r>
    <n v="2"/>
    <x v="0"/>
    <n v="2"/>
    <n v="8"/>
    <n v="8"/>
    <s v="Polygonaceae"/>
    <x v="13"/>
    <s v="Boob"/>
    <n v="16"/>
    <n v="5.0929581789406511"/>
    <n v="3.5"/>
    <n v="7"/>
    <m/>
    <s v="C"/>
    <s v="S"/>
    <s v="un fuste"/>
    <n v="7.5"/>
    <n v="5"/>
    <m/>
    <m/>
    <m/>
    <m/>
  </r>
  <r>
    <n v="6"/>
    <x v="0"/>
    <n v="1"/>
    <n v="8"/>
    <n v="8"/>
    <s v="Polygonaceae"/>
    <x v="13"/>
    <s v="Boob"/>
    <n v="21.5"/>
    <n v="6.8436625529514998"/>
    <n v="6"/>
    <n v="11"/>
    <m/>
    <s v="C"/>
    <s v="S"/>
    <s v="un fuste"/>
    <n v="10"/>
    <n v="5"/>
    <m/>
    <m/>
    <m/>
    <m/>
  </r>
  <r>
    <n v="9"/>
    <x v="2"/>
    <n v="2"/>
    <n v="9"/>
    <n v="9"/>
    <s v="Polygonaceae"/>
    <x v="13"/>
    <s v="Boob"/>
    <n v="32"/>
    <n v="10.185916357881302"/>
    <n v="7"/>
    <n v="12"/>
    <m/>
    <s v="C"/>
    <s v="S"/>
    <s v="un fuste"/>
    <n v="12.5"/>
    <n v="10"/>
    <n v="16"/>
    <s v="Vol = Exp(-9.63519924+1.83658572*LN(DIAMETRO)+1.02444663*LN(ALTURATOTAL))"/>
    <n v="5.9200902635031444E-2"/>
    <n v="8.1487330863050413E-3"/>
  </r>
  <r>
    <n v="6"/>
    <x v="1"/>
    <m/>
    <n v="8"/>
    <n v="8"/>
    <s v="Araliaceae"/>
    <x v="28"/>
    <s v="Sak chacaj"/>
    <m/>
    <m/>
    <m/>
    <n v="8"/>
    <e v="#REF!"/>
    <m/>
    <s v="S"/>
    <s v="un fuste"/>
    <n v="7.5"/>
    <n v="5"/>
    <m/>
    <m/>
    <m/>
    <m/>
  </r>
  <r>
    <n v="3"/>
    <x v="2"/>
    <n v="1"/>
    <n v="10"/>
    <n v="10"/>
    <s v="Polygonaceae"/>
    <x v="13"/>
    <s v="Boob"/>
    <n v="42"/>
    <n v="13.369015219719209"/>
    <n v="5.5"/>
    <n v="9"/>
    <m/>
    <s v="C"/>
    <s v="S"/>
    <s v="un fuste"/>
    <n v="10"/>
    <n v="15"/>
    <n v="16"/>
    <s v="Vol = Exp(-9.63519924+1.83658572*LN(DIAMETRO)+1.02444663*LN(ALTURATOTAL))"/>
    <n v="7.2649858185882196E-2"/>
    <n v="1.4037465980705171E-2"/>
  </r>
  <r>
    <n v="10"/>
    <x v="2"/>
    <n v="3"/>
    <n v="10"/>
    <n v="10"/>
    <s v="Polygonaceae"/>
    <x v="13"/>
    <s v="Boob"/>
    <n v="47"/>
    <n v="14.960564650638162"/>
    <n v="4"/>
    <n v="10"/>
    <m/>
    <s v="C"/>
    <s v="S"/>
    <s v="un fuste"/>
    <n v="10"/>
    <n v="15"/>
    <n v="16"/>
    <s v="Vol = Exp(-9.63519924+1.83658572*LN(DIAMETRO)+1.02444663*LN(ALTURATOTAL))"/>
    <n v="9.9500544983716244E-2"/>
    <n v="1.7578663464499839E-2"/>
  </r>
  <r>
    <n v="6"/>
    <x v="2"/>
    <n v="3"/>
    <n v="10"/>
    <n v="11"/>
    <s v="Polygonaceae"/>
    <x v="13"/>
    <s v="Boob"/>
    <n v="35"/>
    <n v="11.140846016432674"/>
    <n v="6"/>
    <n v="13"/>
    <m/>
    <s v="C"/>
    <s v="S"/>
    <s v="un fuste"/>
    <n v="12.5"/>
    <n v="10"/>
    <n v="16"/>
    <s v="Vol = Exp(-9.63519924+1.83658572*LN(DIAMETRO)+1.02444663*LN(ALTURATOTAL))"/>
    <n v="7.5755926738959659E-2"/>
    <n v="9.7482402643785885E-3"/>
  </r>
  <r>
    <n v="9"/>
    <x v="2"/>
    <n v="3"/>
    <n v="11"/>
    <n v="11"/>
    <s v="Polygonaceae"/>
    <x v="13"/>
    <s v="Boob"/>
    <n v="35.5"/>
    <n v="11.300000959524569"/>
    <n v="5"/>
    <n v="10"/>
    <m/>
    <s v="C"/>
    <s v="S"/>
    <s v="un fuste"/>
    <n v="10"/>
    <n v="10"/>
    <n v="16"/>
    <s v="Vol = Exp(-9.63519924+1.83658572*LN(DIAMETRO)+1.02444663*LN(ALTURATOTAL))"/>
    <n v="5.9429443989314337E-2"/>
    <n v="1.0028750851578054E-2"/>
  </r>
  <r>
    <n v="10"/>
    <x v="2"/>
    <n v="3"/>
    <n v="11"/>
    <n v="11"/>
    <s v="Polygonaceae"/>
    <x v="13"/>
    <s v="Boob"/>
    <n v="36"/>
    <n v="11.459155902616464"/>
    <n v="5"/>
    <n v="12"/>
    <m/>
    <s v="C"/>
    <s v="S"/>
    <s v="un fuste"/>
    <n v="12.5"/>
    <n v="10"/>
    <n v="16"/>
    <s v="Vol = Exp(-9.63519924+1.83658572*LN(DIAMETRO)+1.02444663*LN(ALTURATOTAL))"/>
    <n v="7.3497796805331805E-2"/>
    <n v="1.0313240312354817E-2"/>
  </r>
  <r>
    <n v="6"/>
    <x v="2"/>
    <n v="4"/>
    <n v="11"/>
    <n v="12"/>
    <s v="Polygonaceae"/>
    <x v="13"/>
    <s v="Boob"/>
    <n v="34.5"/>
    <n v="10.981691073340778"/>
    <n v="3"/>
    <n v="10"/>
    <m/>
    <s v="C"/>
    <s v="S"/>
    <s v="un fuste"/>
    <n v="10"/>
    <n v="10"/>
    <n v="16"/>
    <s v="Vol = Exp(-9.63519924+1.83658572*LN(DIAMETRO)+1.02444663*LN(ALTURATOTAL))"/>
    <n v="5.6391156457334175E-2"/>
    <n v="9.4717085507564219E-3"/>
  </r>
  <r>
    <n v="9"/>
    <x v="2"/>
    <n v="3"/>
    <n v="12"/>
    <n v="12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3"/>
    <x v="0"/>
    <n v="3"/>
    <n v="12"/>
    <n v="12"/>
    <s v="Polygonaceae"/>
    <x v="13"/>
    <s v="Boob"/>
    <n v="17"/>
    <n v="5.4112680651244416"/>
    <n v="5"/>
    <n v="8"/>
    <m/>
    <s v="C"/>
    <s v="S"/>
    <s v="un fuste"/>
    <n v="7.5"/>
    <n v="5"/>
    <m/>
    <m/>
    <m/>
    <m/>
  </r>
  <r>
    <n v="6"/>
    <x v="1"/>
    <m/>
    <n v="9"/>
    <n v="9"/>
    <s v="Araliaceae"/>
    <x v="28"/>
    <s v="Sak chacaj"/>
    <m/>
    <m/>
    <m/>
    <n v="7"/>
    <e v="#REF!"/>
    <m/>
    <s v="S"/>
    <s v="un fuste"/>
    <n v="7.5"/>
    <n v="5"/>
    <m/>
    <m/>
    <m/>
    <m/>
  </r>
  <r>
    <n v="9"/>
    <x v="2"/>
    <n v="3"/>
    <n v="13"/>
    <n v="13"/>
    <s v="Polygonaceae"/>
    <x v="13"/>
    <s v="Boob"/>
    <n v="37"/>
    <n v="11.777465788800255"/>
    <n v="5.5"/>
    <n v="10"/>
    <m/>
    <s v="C"/>
    <s v="S"/>
    <s v="un fuste"/>
    <n v="10"/>
    <n v="10"/>
    <n v="16"/>
    <s v="Vol = Exp(-9.63519924+1.83658572*LN(DIAMETRO)+1.02444663*LN(ALTURATOTAL))"/>
    <n v="6.4122626594503129E-2"/>
    <n v="1.0894155854640236E-2"/>
  </r>
  <r>
    <n v="10"/>
    <x v="2"/>
    <n v="4"/>
    <n v="13"/>
    <n v="13"/>
    <s v="Polygonaceae"/>
    <x v="13"/>
    <s v="Boob"/>
    <n v="31.5"/>
    <n v="10.026761414789407"/>
    <n v="5"/>
    <n v="11"/>
    <m/>
    <s v="C"/>
    <s v="S"/>
    <s v="un fuste"/>
    <n v="10"/>
    <n v="10"/>
    <n v="16"/>
    <s v="Vol = Exp(-9.63519924+1.83658572*LN(DIAMETRO)+1.02444663*LN(ALTURATOTAL))"/>
    <n v="5.2608361423648733E-2"/>
    <n v="7.8960746141466566E-3"/>
  </r>
  <r>
    <n v="10"/>
    <x v="0"/>
    <n v="1"/>
    <n v="13"/>
    <n v="13"/>
    <s v="Polygonaceae"/>
    <x v="13"/>
    <s v="Boob"/>
    <n v="29.5"/>
    <n v="9.3901416424218258"/>
    <n v="5"/>
    <n v="10"/>
    <m/>
    <s v="C"/>
    <s v="S"/>
    <s v="un fuste"/>
    <n v="10"/>
    <n v="10"/>
    <m/>
    <m/>
    <m/>
    <m/>
  </r>
  <r>
    <n v="11"/>
    <x v="0"/>
    <n v="1"/>
    <n v="13"/>
    <n v="13"/>
    <s v="Polygonaceae"/>
    <x v="13"/>
    <s v="Boob"/>
    <n v="18.5"/>
    <n v="5.8887328944001274"/>
    <n v="6"/>
    <n v="8"/>
    <m/>
    <s v="C"/>
    <s v="S"/>
    <s v="un fuste"/>
    <n v="7.5"/>
    <n v="5"/>
    <m/>
    <m/>
    <m/>
    <m/>
  </r>
  <r>
    <n v="6"/>
    <x v="1"/>
    <m/>
    <n v="10"/>
    <n v="10"/>
    <s v="Rubiaceae"/>
    <x v="15"/>
    <s v="Tasta'ab"/>
    <m/>
    <m/>
    <m/>
    <n v="2"/>
    <e v="#REF!"/>
    <m/>
    <s v="S"/>
    <s v="un fuste"/>
    <n v="2.5"/>
    <n v="5"/>
    <m/>
    <m/>
    <m/>
    <m/>
  </r>
  <r>
    <n v="5"/>
    <x v="2"/>
    <n v="1"/>
    <n v="13"/>
    <n v="14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9"/>
    <x v="2"/>
    <n v="3"/>
    <n v="14"/>
    <n v="14"/>
    <s v="Polygonaceae"/>
    <x v="13"/>
    <s v="Boob"/>
    <n v="32"/>
    <n v="10.185916357881302"/>
    <n v="6"/>
    <n v="12"/>
    <m/>
    <s v="C"/>
    <s v="S"/>
    <s v="un fuste"/>
    <n v="12.5"/>
    <n v="10"/>
    <n v="16"/>
    <s v="Vol = Exp(-9.63519924+1.83658572*LN(DIAMETRO)+1.02444663*LN(ALTURATOTAL))"/>
    <n v="5.9200902635031444E-2"/>
    <n v="8.1487330863050413E-3"/>
  </r>
  <r>
    <n v="11"/>
    <x v="0"/>
    <n v="1"/>
    <n v="14"/>
    <n v="14"/>
    <s v="Polygonaceae"/>
    <x v="13"/>
    <s v="Boob"/>
    <n v="24"/>
    <n v="7.6394372684109761"/>
    <n v="6"/>
    <n v="8"/>
    <m/>
    <s v="C"/>
    <s v="S"/>
    <s v="un fuste"/>
    <n v="7.5"/>
    <n v="10"/>
    <m/>
    <m/>
    <m/>
    <m/>
  </r>
  <r>
    <n v="6"/>
    <x v="1"/>
    <m/>
    <n v="11"/>
    <n v="11"/>
    <s v="Leguminosae"/>
    <x v="31"/>
    <s v="Kanasin"/>
    <m/>
    <m/>
    <m/>
    <n v="1"/>
    <e v="#REF!"/>
    <m/>
    <s v="S"/>
    <s v="un fuste"/>
    <n v="2.5"/>
    <n v="5"/>
    <m/>
    <m/>
    <m/>
    <m/>
  </r>
  <r>
    <n v="4"/>
    <x v="0"/>
    <n v="2"/>
    <n v="14"/>
    <n v="15"/>
    <s v="Polygonaceae"/>
    <x v="13"/>
    <s v="Boob"/>
    <n v="22.5"/>
    <n v="7.1619724391352904"/>
    <n v="1.3"/>
    <n v="6"/>
    <m/>
    <s v="C"/>
    <s v="S"/>
    <s v="un fuste"/>
    <n v="5"/>
    <n v="5"/>
    <m/>
    <m/>
    <m/>
    <m/>
  </r>
  <r>
    <n v="11"/>
    <x v="0"/>
    <n v="2"/>
    <n v="15"/>
    <n v="15"/>
    <s v="Polygonaceae"/>
    <x v="13"/>
    <s v="Boob"/>
    <n v="18"/>
    <n v="5.7295779513082321"/>
    <n v="3.5"/>
    <n v="7"/>
    <m/>
    <s v="C"/>
    <s v="S"/>
    <s v="un fuste"/>
    <n v="7.5"/>
    <n v="5"/>
    <m/>
    <m/>
    <m/>
    <m/>
  </r>
  <r>
    <n v="6"/>
    <x v="1"/>
    <m/>
    <n v="12"/>
    <n v="12"/>
    <s v="Polygonaceae"/>
    <x v="13"/>
    <s v="Boob"/>
    <m/>
    <m/>
    <m/>
    <n v="2.2000000000000002"/>
    <e v="#REF!"/>
    <m/>
    <s v="S"/>
    <s v="un fuste"/>
    <n v="2.5"/>
    <n v="5"/>
    <m/>
    <m/>
    <m/>
    <m/>
  </r>
  <r>
    <n v="2"/>
    <x v="2"/>
    <n v="1"/>
    <n v="16"/>
    <n v="16"/>
    <s v="Polygonaceae"/>
    <x v="13"/>
    <s v="Boob"/>
    <n v="31.5"/>
    <n v="10.026761414789407"/>
    <n v="6"/>
    <n v="9"/>
    <m/>
    <s v="C"/>
    <s v="S"/>
    <s v="un fuste"/>
    <n v="10"/>
    <n v="10"/>
    <n v="16"/>
    <s v="Vol = Exp(-9.63519924+1.83658572*LN(DIAMETRO)+1.02444663*LN(ALTURATOTAL))"/>
    <n v="4.2832563889274963E-2"/>
    <n v="7.8960746141466566E-3"/>
  </r>
  <r>
    <n v="11"/>
    <x v="2"/>
    <n v="3"/>
    <n v="15"/>
    <n v="16"/>
    <s v="Polygonaceae"/>
    <x v="13"/>
    <s v="Boob"/>
    <n v="31.5"/>
    <n v="10.026761414789407"/>
    <n v="5"/>
    <n v="12"/>
    <m/>
    <s v="C"/>
    <s v="S"/>
    <s v="un fuste"/>
    <n v="12.5"/>
    <n v="10"/>
    <n v="16"/>
    <s v="Vol = Exp(-9.63519924+1.83658572*LN(DIAMETRO)+1.02444663*LN(ALTURATOTAL))"/>
    <n v="5.751314793857517E-2"/>
    <n v="7.8960746141466566E-3"/>
  </r>
  <r>
    <n v="6"/>
    <x v="1"/>
    <m/>
    <n v="13"/>
    <n v="13"/>
    <s v="Polygonaceae"/>
    <x v="13"/>
    <s v="Boob"/>
    <m/>
    <m/>
    <m/>
    <n v="1.9"/>
    <e v="#REF!"/>
    <m/>
    <s v="S"/>
    <s v="un fuste"/>
    <n v="2.5"/>
    <n v="5"/>
    <m/>
    <m/>
    <m/>
    <m/>
  </r>
  <r>
    <n v="6"/>
    <x v="2"/>
    <n v="4"/>
    <n v="16"/>
    <n v="17"/>
    <s v="Polygonaceae"/>
    <x v="13"/>
    <s v="Boob"/>
    <n v="34"/>
    <n v="10.822536130248883"/>
    <n v="5.5"/>
    <n v="11"/>
    <m/>
    <s v="C"/>
    <s v="S"/>
    <s v="un fuste"/>
    <n v="10"/>
    <n v="10"/>
    <n v="16"/>
    <s v="Vol = Exp(-9.63519924+1.83658572*LN(DIAMETRO)+1.02444663*LN(ALTURATOTAL))"/>
    <n v="6.0530089697250426E-2"/>
    <n v="9.1991557107115509E-3"/>
  </r>
  <r>
    <n v="11"/>
    <x v="2"/>
    <n v="3"/>
    <n v="16"/>
    <n v="17"/>
    <s v="Polygonaceae"/>
    <x v="13"/>
    <s v="Boob"/>
    <n v="35"/>
    <n v="11.140846016432674"/>
    <n v="6"/>
    <n v="13"/>
    <m/>
    <s v="C"/>
    <s v="S"/>
    <s v="un fuste"/>
    <n v="12.5"/>
    <n v="10"/>
    <n v="16"/>
    <s v="Vol = Exp(-9.63519924+1.83658572*LN(DIAMETRO)+1.02444663*LN(ALTURATOTAL))"/>
    <n v="7.5755926738959659E-2"/>
    <n v="9.7482402643785885E-3"/>
  </r>
  <r>
    <n v="7"/>
    <x v="2"/>
    <n v="2"/>
    <n v="15"/>
    <n v="18"/>
    <s v="Polygonaceae"/>
    <x v="13"/>
    <s v="Boob"/>
    <n v="49"/>
    <n v="15.597184423005743"/>
    <n v="9"/>
    <n v="13"/>
    <m/>
    <s v="C"/>
    <s v="S"/>
    <s v="un fuste"/>
    <n v="12.5"/>
    <n v="15"/>
    <n v="16"/>
    <s v="Vol = Exp(-9.63519924+1.83658572*LN(DIAMETRO)+1.02444663*LN(ALTURATOTAL))"/>
    <n v="0.14053784150461127"/>
    <n v="1.9106550918182034E-2"/>
  </r>
  <r>
    <n v="11"/>
    <x v="2"/>
    <n v="3"/>
    <n v="17"/>
    <n v="18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6"/>
    <x v="1"/>
    <m/>
    <n v="14"/>
    <n v="14"/>
    <s v="Polygonaceae"/>
    <x v="13"/>
    <s v="Boob"/>
    <m/>
    <m/>
    <m/>
    <n v="2.5"/>
    <e v="#REF!"/>
    <m/>
    <s v="S"/>
    <s v="un fuste"/>
    <n v="2.5"/>
    <n v="5"/>
    <m/>
    <m/>
    <m/>
    <m/>
  </r>
  <r>
    <n v="2"/>
    <x v="2"/>
    <n v="2"/>
    <n v="20"/>
    <n v="20"/>
    <s v="Polygonaceae"/>
    <x v="13"/>
    <s v="Boob"/>
    <n v="34.5"/>
    <n v="10.981691073340778"/>
    <n v="7"/>
    <n v="10"/>
    <m/>
    <s v="C"/>
    <s v="S"/>
    <s v="un fuste"/>
    <n v="10"/>
    <n v="10"/>
    <n v="16"/>
    <s v="Vol = Exp(-9.63519924+1.83658572*LN(DIAMETRO)+1.02444663*LN(ALTURATOTAL))"/>
    <n v="5.6391156457334175E-2"/>
    <n v="9.4717085507564219E-3"/>
  </r>
  <r>
    <n v="11"/>
    <x v="2"/>
    <n v="4"/>
    <n v="20"/>
    <n v="21"/>
    <s v="Polygonaceae"/>
    <x v="13"/>
    <s v="Boob"/>
    <n v="36"/>
    <n v="11.459155902616464"/>
    <n v="6"/>
    <n v="12"/>
    <m/>
    <s v="C"/>
    <s v="S"/>
    <s v="un fuste"/>
    <n v="12.5"/>
    <n v="10"/>
    <n v="16"/>
    <s v="Vol = Exp(-9.63519924+1.83658572*LN(DIAMETRO)+1.02444663*LN(ALTURATOTAL))"/>
    <n v="7.3497796805331805E-2"/>
    <n v="1.0313240312354817E-2"/>
  </r>
  <r>
    <n v="8"/>
    <x v="2"/>
    <n v="2"/>
    <n v="20"/>
    <n v="22"/>
    <s v="Polygonaceae"/>
    <x v="13"/>
    <s v="Boob"/>
    <n v="34"/>
    <n v="10.822536130248883"/>
    <n v="8"/>
    <n v="11"/>
    <m/>
    <s v="C"/>
    <s v="S"/>
    <s v="un fuste"/>
    <n v="10"/>
    <n v="10"/>
    <n v="16"/>
    <s v="Vol = Exp(-9.63519924+1.83658572*LN(DIAMETRO)+1.02444663*LN(ALTURATOTAL))"/>
    <n v="6.0530089697250426E-2"/>
    <n v="9.1991557107115509E-3"/>
  </r>
  <r>
    <n v="11"/>
    <x v="2"/>
    <n v="4"/>
    <n v="21"/>
    <n v="22"/>
    <s v="Polygonaceae"/>
    <x v="13"/>
    <s v="Boob"/>
    <n v="38.5"/>
    <n v="12.254930618075941"/>
    <n v="1.4"/>
    <n v="12"/>
    <m/>
    <s v="C"/>
    <s v="S"/>
    <s v="un fuste"/>
    <n v="12.5"/>
    <n v="10"/>
    <n v="16"/>
    <s v="Vol = Exp(-9.63519924+1.83658572*LN(DIAMETRO)+1.02444663*LN(ALTURATOTAL))"/>
    <n v="8.3143041429044176E-2"/>
    <n v="1.1795370719898092E-2"/>
  </r>
  <r>
    <n v="11"/>
    <x v="0"/>
    <n v="3"/>
    <n v="22"/>
    <n v="22"/>
    <s v="Polygonaceae"/>
    <x v="13"/>
    <s v="Boob"/>
    <n v="22"/>
    <n v="7.0028174960433951"/>
    <n v="3.5"/>
    <n v="8"/>
    <m/>
    <s v="C"/>
    <s v="S"/>
    <s v="un fuste"/>
    <n v="7.5"/>
    <n v="5"/>
    <m/>
    <m/>
    <m/>
    <m/>
  </r>
  <r>
    <n v="5"/>
    <x v="2"/>
    <n v="2"/>
    <n v="21"/>
    <n v="23"/>
    <s v="Polygonaceae"/>
    <x v="13"/>
    <s v="Boob"/>
    <n v="33"/>
    <n v="10.504226244065093"/>
    <n v="4"/>
    <n v="10"/>
    <m/>
    <s v="C"/>
    <s v="S"/>
    <s v="un fuste"/>
    <n v="10"/>
    <n v="10"/>
    <n v="16"/>
    <s v="Vol = Exp(-9.63519924+1.83658572*LN(DIAMETRO)+1.02444663*LN(ALTURATOTAL))"/>
    <n v="5.1970324523567132E-2"/>
    <n v="8.6659866513537007E-3"/>
  </r>
  <r>
    <n v="8"/>
    <x v="2"/>
    <n v="2"/>
    <n v="21"/>
    <n v="23"/>
    <s v="Polygonaceae"/>
    <x v="13"/>
    <s v="Boob"/>
    <n v="41.5"/>
    <n v="13.209860276627314"/>
    <n v="9"/>
    <n v="12"/>
    <m/>
    <s v="C"/>
    <s v="S"/>
    <s v="un fuste"/>
    <n v="12.5"/>
    <n v="15"/>
    <n v="16"/>
    <s v="Vol = Exp(-9.63519924+1.83658572*LN(DIAMETRO)+1.02444663*LN(ALTURATOTAL))"/>
    <n v="9.5427907409601123E-2"/>
    <n v="1.3705230037000837E-2"/>
  </r>
  <r>
    <n v="6"/>
    <x v="0"/>
    <n v="3"/>
    <n v="20"/>
    <n v="23"/>
    <s v="Polygonaceae"/>
    <x v="13"/>
    <s v="Boob"/>
    <n v="16.5"/>
    <n v="5.2521131220325463"/>
    <n v="5"/>
    <n v="8"/>
    <m/>
    <s v="C"/>
    <s v="S"/>
    <s v="un fuste"/>
    <n v="7.5"/>
    <n v="5"/>
    <m/>
    <m/>
    <m/>
    <m/>
  </r>
  <r>
    <n v="11"/>
    <x v="0"/>
    <n v="3"/>
    <n v="23"/>
    <n v="23"/>
    <s v="Polygonaceae"/>
    <x v="13"/>
    <s v="Boob"/>
    <n v="21.5"/>
    <n v="6.8436625529514998"/>
    <n v="3.5"/>
    <n v="8"/>
    <m/>
    <s v="C"/>
    <s v="S"/>
    <s v="un fuste"/>
    <n v="7.5"/>
    <n v="5"/>
    <m/>
    <m/>
    <m/>
    <m/>
  </r>
  <r>
    <n v="5"/>
    <x v="2"/>
    <n v="2"/>
    <n v="22"/>
    <n v="24"/>
    <s v="Polygonaceae"/>
    <x v="13"/>
    <s v="Boob"/>
    <n v="35"/>
    <n v="11.140846016432674"/>
    <n v="6"/>
    <n v="11"/>
    <m/>
    <s v="C"/>
    <s v="S"/>
    <s v="un fuste"/>
    <n v="10"/>
    <n v="10"/>
    <n v="16"/>
    <s v="Vol = Exp(-9.63519924+1.83658572*LN(DIAMETRO)+1.02444663*LN(ALTURATOTAL))"/>
    <n v="6.3839919236367462E-2"/>
    <n v="9.7482402643785885E-3"/>
  </r>
  <r>
    <n v="9"/>
    <x v="0"/>
    <n v="2"/>
    <n v="24"/>
    <n v="24"/>
    <s v="Polygonaceae"/>
    <x v="13"/>
    <s v="Boob"/>
    <n v="21"/>
    <n v="6.6845076098596046"/>
    <n v="3"/>
    <n v="9"/>
    <m/>
    <s v="C"/>
    <s v="S"/>
    <s v="un fuste"/>
    <n v="10"/>
    <n v="5"/>
    <m/>
    <m/>
    <m/>
    <m/>
  </r>
  <r>
    <n v="1"/>
    <x v="2"/>
    <n v="4"/>
    <n v="22"/>
    <n v="25"/>
    <s v="Polygonaceae"/>
    <x v="13"/>
    <s v="Boob"/>
    <n v="54.5"/>
    <n v="17.347888797016591"/>
    <n v="8"/>
    <n v="15"/>
    <m/>
    <s v="C"/>
    <s v="S"/>
    <s v="un fuste"/>
    <n v="15"/>
    <n v="15"/>
    <n v="16"/>
    <s v="Vol = Exp(-9.63519924+1.83658572*LN(DIAMETRO)+1.02444663*LN(ALTURATOTAL))"/>
    <n v="0.19783882699633751"/>
    <n v="2.36364984859351E-2"/>
  </r>
  <r>
    <n v="9"/>
    <x v="0"/>
    <n v="2"/>
    <n v="25"/>
    <n v="25"/>
    <s v="Polygonaceae"/>
    <x v="13"/>
    <s v="Boob"/>
    <n v="25"/>
    <n v="7.9577471545947667"/>
    <n v="5"/>
    <n v="9"/>
    <m/>
    <s v="C"/>
    <s v="S"/>
    <s v="un fuste"/>
    <n v="10"/>
    <n v="10"/>
    <m/>
    <m/>
    <m/>
    <m/>
  </r>
  <r>
    <n v="11"/>
    <x v="0"/>
    <n v="3"/>
    <n v="25"/>
    <n v="25"/>
    <s v="Polygonaceae"/>
    <x v="13"/>
    <s v="Boob"/>
    <n v="18"/>
    <n v="5.7295779513082321"/>
    <n v="5.5"/>
    <n v="5.5"/>
    <m/>
    <s v="C"/>
    <s v="S"/>
    <s v="un fuste"/>
    <n v="5"/>
    <n v="5"/>
    <m/>
    <m/>
    <m/>
    <m/>
  </r>
  <r>
    <n v="9"/>
    <x v="2"/>
    <n v="4"/>
    <n v="23"/>
    <n v="26"/>
    <s v="Polygonaceae"/>
    <x v="13"/>
    <s v="Boob"/>
    <n v="35.5"/>
    <n v="11.300000959524569"/>
    <n v="2.2000000000000002"/>
    <n v="9"/>
    <m/>
    <s v="C"/>
    <s v="S"/>
    <s v="un fuste"/>
    <n v="10"/>
    <n v="10"/>
    <n v="16"/>
    <s v="Vol = Exp(-9.63519924+1.83658572*LN(DIAMETRO)+1.02444663*LN(ALTURATOTAL))"/>
    <n v="5.3348911172938406E-2"/>
    <n v="1.0028750851578054E-2"/>
  </r>
  <r>
    <n v="9"/>
    <x v="2"/>
    <n v="4"/>
    <n v="25"/>
    <n v="28"/>
    <s v="Polygonaceae"/>
    <x v="13"/>
    <s v="Boob"/>
    <n v="37.200000000000003"/>
    <n v="11.841127766037014"/>
    <n v="4"/>
    <n v="10"/>
    <m/>
    <s v="C"/>
    <s v="S"/>
    <s v="un fuste"/>
    <n v="10"/>
    <n v="10"/>
    <n v="16"/>
    <s v="Vol = Exp(-9.63519924+1.83658572*LN(DIAMETRO)+1.02444663*LN(ALTURATOTAL))"/>
    <n v="6.4760642257022452E-2"/>
    <n v="1.1012248822414424E-2"/>
  </r>
  <r>
    <n v="4"/>
    <x v="2"/>
    <n v="2"/>
    <n v="28"/>
    <n v="29"/>
    <s v="Polygonaceae"/>
    <x v="13"/>
    <s v="Boob"/>
    <n v="48.5"/>
    <n v="15.438029479913848"/>
    <n v="3.5"/>
    <n v="13"/>
    <m/>
    <s v="C"/>
    <s v="S"/>
    <s v="un fuste"/>
    <n v="12.5"/>
    <n v="15"/>
    <n v="16"/>
    <s v="Vol = Exp(-9.63519924+1.83658572*LN(DIAMETRO)+1.02444663*LN(ALTURATOTAL))"/>
    <n v="0.13791531609601446"/>
    <n v="1.8718610744395538E-2"/>
  </r>
  <r>
    <n v="5"/>
    <x v="2"/>
    <n v="3"/>
    <n v="28"/>
    <n v="30"/>
    <s v="Polygonaceae"/>
    <x v="13"/>
    <s v="Boob"/>
    <n v="31.5"/>
    <n v="10.026761414789407"/>
    <n v="6"/>
    <n v="9"/>
    <m/>
    <s v="C"/>
    <s v="S"/>
    <s v="un fuste"/>
    <n v="10"/>
    <n v="10"/>
    <n v="16"/>
    <s v="Vol = Exp(-9.63519924+1.83658572*LN(DIAMETRO)+1.02444663*LN(ALTURATOTAL))"/>
    <n v="4.2832563889274963E-2"/>
    <n v="7.8960746141466566E-3"/>
  </r>
  <r>
    <n v="11"/>
    <x v="0"/>
    <n v="3"/>
    <n v="30"/>
    <n v="30"/>
    <s v="Polygonaceae"/>
    <x v="13"/>
    <s v="Boob"/>
    <n v="18.5"/>
    <n v="5.8887328944001274"/>
    <n v="3"/>
    <n v="6"/>
    <m/>
    <s v="C"/>
    <s v="S"/>
    <s v="un fuste"/>
    <n v="5"/>
    <n v="5"/>
    <m/>
    <m/>
    <m/>
    <m/>
  </r>
  <r>
    <n v="5"/>
    <x v="2"/>
    <n v="3"/>
    <n v="29"/>
    <n v="31"/>
    <s v="Polygonaceae"/>
    <x v="13"/>
    <s v="Boob"/>
    <n v="35"/>
    <n v="11.140846016432674"/>
    <n v="5.5"/>
    <n v="11"/>
    <m/>
    <s v="C"/>
    <s v="S"/>
    <s v="un fuste"/>
    <n v="10"/>
    <n v="10"/>
    <n v="16"/>
    <s v="Vol = Exp(-9.63519924+1.83658572*LN(DIAMETRO)+1.02444663*LN(ALTURATOTAL))"/>
    <n v="6.3839919236367462E-2"/>
    <n v="9.7482402643785885E-3"/>
  </r>
  <r>
    <n v="2"/>
    <x v="2"/>
    <n v="2"/>
    <n v="31"/>
    <n v="32"/>
    <s v="Polygonaceae"/>
    <x v="13"/>
    <s v="Boob"/>
    <n v="48"/>
    <n v="15.278874536821952"/>
    <n v="7"/>
    <n v="11"/>
    <m/>
    <s v="C"/>
    <s v="S"/>
    <s v="un fuste"/>
    <n v="10"/>
    <n v="15"/>
    <n v="16"/>
    <s v="Vol = Exp(-9.63519924+1.83658572*LN(DIAMETRO)+1.02444663*LN(ALTURATOTAL))"/>
    <n v="0.11403092739822697"/>
    <n v="1.8334649444186342E-2"/>
  </r>
  <r>
    <n v="5"/>
    <x v="2"/>
    <n v="3"/>
    <n v="30"/>
    <n v="32"/>
    <s v="Polygonaceae"/>
    <x v="13"/>
    <s v="Boob"/>
    <n v="34"/>
    <n v="10.822536130248883"/>
    <n v="6"/>
    <n v="10"/>
    <m/>
    <s v="C"/>
    <s v="S"/>
    <s v="un fuste"/>
    <n v="10"/>
    <n v="10"/>
    <n v="16"/>
    <s v="Vol = Exp(-9.63519924+1.83658572*LN(DIAMETRO)+1.02444663*LN(ALTURATOTAL))"/>
    <n v="5.489928909056653E-2"/>
    <n v="9.1991557107115509E-3"/>
  </r>
  <r>
    <n v="4"/>
    <x v="2"/>
    <n v="2"/>
    <n v="32"/>
    <n v="33"/>
    <s v="Polygonaceae"/>
    <x v="13"/>
    <s v="Boob"/>
    <n v="33"/>
    <n v="10.504226244065093"/>
    <n v="4"/>
    <n v="9"/>
    <m/>
    <s v="C"/>
    <s v="S"/>
    <s v="un fuste"/>
    <n v="10"/>
    <n v="10"/>
    <n v="16"/>
    <s v="Vol = Exp(-9.63519924+1.83658572*LN(DIAMETRO)+1.02444663*LN(ALTURATOTAL))"/>
    <n v="4.6652972676895367E-2"/>
    <n v="8.6659866513537007E-3"/>
  </r>
  <r>
    <n v="9"/>
    <x v="0"/>
    <n v="3"/>
    <n v="33"/>
    <n v="33"/>
    <s v="Polygonaceae"/>
    <x v="13"/>
    <s v="Boob"/>
    <n v="25.5"/>
    <n v="8.1169020976866619"/>
    <n v="7"/>
    <n v="10"/>
    <m/>
    <s v="C"/>
    <s v="S"/>
    <s v="un fuste"/>
    <n v="10"/>
    <n v="10"/>
    <m/>
    <m/>
    <m/>
    <m/>
  </r>
  <r>
    <n v="7"/>
    <x v="2"/>
    <n v="3"/>
    <n v="31"/>
    <n v="34"/>
    <s v="Polygonaceae"/>
    <x v="13"/>
    <s v="Boob"/>
    <n v="38.5"/>
    <n v="12.254930618075941"/>
    <n v="5"/>
    <n v="13"/>
    <m/>
    <s v="C"/>
    <s v="S"/>
    <s v="un fuste"/>
    <n v="12.5"/>
    <n v="10"/>
    <n v="16"/>
    <s v="Vol = Exp(-9.63519924+1.83658572*LN(DIAMETRO)+1.02444663*LN(ALTURATOTAL))"/>
    <n v="9.0248050629486057E-2"/>
    <n v="1.1795370719898092E-2"/>
  </r>
  <r>
    <n v="11"/>
    <x v="0"/>
    <n v="3"/>
    <n v="34"/>
    <n v="34"/>
    <s v="Polygonaceae"/>
    <x v="13"/>
    <s v="Boob"/>
    <n v="31"/>
    <n v="9.8676064716975116"/>
    <n v="6"/>
    <n v="11"/>
    <m/>
    <s v="C"/>
    <s v="S"/>
    <s v="un fuste"/>
    <n v="10"/>
    <n v="10"/>
    <m/>
    <m/>
    <m/>
    <m/>
  </r>
  <r>
    <n v="8"/>
    <x v="2"/>
    <n v="3"/>
    <n v="30"/>
    <n v="35"/>
    <s v="Polygonaceae"/>
    <x v="13"/>
    <s v="Boob"/>
    <n v="42"/>
    <n v="13.369015219719209"/>
    <n v="9"/>
    <n v="13"/>
    <m/>
    <s v="C"/>
    <s v="S"/>
    <s v="un fuste"/>
    <n v="12.5"/>
    <n v="15"/>
    <n v="16"/>
    <s v="Vol = Exp(-9.63519924+1.83658572*LN(DIAMETRO)+1.02444663*LN(ALTURATOTAL))"/>
    <n v="0.10588629712540945"/>
    <n v="1.4037465980705171E-2"/>
  </r>
  <r>
    <n v="9"/>
    <x v="0"/>
    <n v="3"/>
    <n v="35"/>
    <n v="35"/>
    <s v="Polygonaceae"/>
    <x v="13"/>
    <s v="Boob"/>
    <n v="21.5"/>
    <n v="6.8436625529514998"/>
    <n v="5"/>
    <n v="7"/>
    <m/>
    <s v="C"/>
    <s v="S"/>
    <s v="un fuste"/>
    <n v="7.5"/>
    <n v="5"/>
    <m/>
    <m/>
    <m/>
    <m/>
  </r>
  <r>
    <n v="4"/>
    <x v="2"/>
    <n v="3"/>
    <n v="37"/>
    <n v="38"/>
    <s v="Polygonaceae"/>
    <x v="13"/>
    <s v="Boob"/>
    <n v="32"/>
    <n v="10.185916357881302"/>
    <n v="4"/>
    <n v="10"/>
    <m/>
    <s v="C"/>
    <s v="S"/>
    <s v="un fuste"/>
    <n v="10"/>
    <n v="10"/>
    <n v="16"/>
    <s v="Vol = Exp(-9.63519924+1.83658572*LN(DIAMETRO)+1.02444663*LN(ALTURATOTAL))"/>
    <n v="4.9114685538601273E-2"/>
    <n v="8.1487330863050413E-3"/>
  </r>
  <r>
    <n v="9"/>
    <x v="0"/>
    <n v="3"/>
    <n v="39"/>
    <n v="39"/>
    <s v="Polygonaceae"/>
    <x v="13"/>
    <s v="Boob"/>
    <n v="19.5"/>
    <n v="6.2070427805839179"/>
    <n v="6"/>
    <n v="9"/>
    <m/>
    <s v="C"/>
    <s v="S"/>
    <s v="un fuste"/>
    <n v="10"/>
    <n v="5"/>
    <m/>
    <m/>
    <m/>
    <m/>
  </r>
  <r>
    <n v="9"/>
    <x v="0"/>
    <n v="3"/>
    <n v="40"/>
    <n v="40"/>
    <s v="Polygonaceae"/>
    <x v="13"/>
    <s v="Boob"/>
    <n v="16"/>
    <n v="5.0929581789406511"/>
    <n v="4"/>
    <n v="8"/>
    <m/>
    <s v="C"/>
    <s v="S"/>
    <s v="un fuste"/>
    <n v="7.5"/>
    <n v="5"/>
    <m/>
    <m/>
    <m/>
    <m/>
  </r>
  <r>
    <n v="2"/>
    <x v="2"/>
    <n v="3"/>
    <n v="44"/>
    <n v="46"/>
    <s v="Polygonaceae"/>
    <x v="13"/>
    <s v="Boob"/>
    <n v="36"/>
    <n v="11.459155902616464"/>
    <n v="5.5"/>
    <n v="10"/>
    <m/>
    <s v="C"/>
    <s v="S"/>
    <s v="un fuste"/>
    <n v="10"/>
    <n v="10"/>
    <n v="16"/>
    <s v="Vol = Exp(-9.63519924+1.83658572*LN(DIAMETRO)+1.02444663*LN(ALTURATOTAL))"/>
    <n v="6.0975779374989041E-2"/>
    <n v="1.0313240312354817E-2"/>
  </r>
  <r>
    <n v="9"/>
    <x v="0"/>
    <n v="4"/>
    <n v="48"/>
    <n v="48"/>
    <s v="Polygonaceae"/>
    <x v="13"/>
    <s v="Boob"/>
    <n v="24.5"/>
    <n v="7.7985922115028714"/>
    <n v="7"/>
    <n v="9"/>
    <m/>
    <s v="C"/>
    <s v="S"/>
    <s v="un fuste"/>
    <n v="10"/>
    <n v="10"/>
    <m/>
    <m/>
    <m/>
    <m/>
  </r>
  <r>
    <n v="9"/>
    <x v="0"/>
    <n v="4"/>
    <n v="49"/>
    <n v="49"/>
    <s v="Polygonaceae"/>
    <x v="13"/>
    <s v="Boob"/>
    <n v="21.5"/>
    <n v="6.8436625529514998"/>
    <n v="6"/>
    <n v="8"/>
    <m/>
    <s v="C"/>
    <s v="S"/>
    <s v="un fuste"/>
    <n v="7.5"/>
    <n v="5"/>
    <m/>
    <m/>
    <m/>
    <m/>
  </r>
  <r>
    <n v="8"/>
    <x v="2"/>
    <n v="4"/>
    <n v="47"/>
    <n v="52"/>
    <s v="Polygonaceae"/>
    <x v="13"/>
    <s v="Boob"/>
    <n v="31.5"/>
    <n v="10.026761414789407"/>
    <n v="6"/>
    <n v="10"/>
    <m/>
    <s v="C"/>
    <s v="S"/>
    <s v="un fuste"/>
    <n v="10"/>
    <n v="10"/>
    <n v="16"/>
    <s v="Vol = Exp(-9.63519924+1.83658572*LN(DIAMETRO)+1.02444663*LN(ALTURATOTAL))"/>
    <n v="4.771447815166701E-2"/>
    <n v="7.8960746141466566E-3"/>
  </r>
  <r>
    <n v="3"/>
    <x v="2"/>
    <n v="4"/>
    <n v="45"/>
    <n v="54"/>
    <s v="Polygonaceae"/>
    <x v="13"/>
    <s v="Boob"/>
    <n v="37.5"/>
    <n v="11.93662073189215"/>
    <n v="6"/>
    <n v="13"/>
    <m/>
    <s v="C"/>
    <s v="S"/>
    <s v="un fuste"/>
    <n v="12.5"/>
    <n v="10"/>
    <n v="16"/>
    <s v="Vol = Exp(-9.63519924+1.83658572*LN(DIAMETRO)+1.02444663*LN(ALTURATOTAL))"/>
    <n v="8.5989741535008518E-2"/>
    <n v="1.1190581936148891E-2"/>
  </r>
  <r>
    <n v="8"/>
    <x v="2"/>
    <n v="4"/>
    <n v="51"/>
    <n v="56"/>
    <s v="Polygonaceae"/>
    <x v="13"/>
    <s v="Boob"/>
    <n v="35"/>
    <n v="11.140846016432674"/>
    <n v="6"/>
    <n v="9"/>
    <m/>
    <s v="C"/>
    <s v="S"/>
    <s v="un fuste"/>
    <n v="10"/>
    <n v="10"/>
    <n v="16"/>
    <s v="Vol = Exp(-9.63519924+1.83658572*LN(DIAMETRO)+1.02444663*LN(ALTURATOTAL))"/>
    <n v="5.197704975750627E-2"/>
    <n v="9.7482402643785885E-3"/>
  </r>
  <r>
    <n v="8"/>
    <x v="2"/>
    <n v="4"/>
    <n v="52"/>
    <n v="57"/>
    <s v="Polygonaceae"/>
    <x v="13"/>
    <s v="Boob"/>
    <n v="37.5"/>
    <n v="11.93662073189215"/>
    <n v="4"/>
    <n v="13"/>
    <m/>
    <s v="C"/>
    <s v="S"/>
    <s v="un fuste"/>
    <n v="12.5"/>
    <n v="10"/>
    <n v="16"/>
    <s v="Vol = Exp(-9.63519924+1.83658572*LN(DIAMETRO)+1.02444663*LN(ALTURATOTAL))"/>
    <n v="8.5989741535008518E-2"/>
    <n v="1.1190581936148891E-2"/>
  </r>
  <r>
    <n v="3"/>
    <x v="2"/>
    <n v="4"/>
    <n v="51"/>
    <n v="60"/>
    <s v="Polygonaceae"/>
    <x v="13"/>
    <s v="Boob"/>
    <n v="49"/>
    <n v="15.597184423005743"/>
    <n v="5"/>
    <n v="13"/>
    <m/>
    <s v="C"/>
    <s v="S"/>
    <s v="un fuste"/>
    <n v="12.5"/>
    <n v="15"/>
    <n v="16"/>
    <s v="Vol = Exp(-9.63519924+1.83658572*LN(DIAMETRO)+1.02444663*LN(ALTURATOTAL))"/>
    <n v="0.14053784150461127"/>
    <n v="1.9106550918182034E-2"/>
  </r>
  <r>
    <n v="3"/>
    <x v="2"/>
    <n v="4"/>
    <n v="53"/>
    <n v="62"/>
    <s v="Polygonaceae"/>
    <x v="13"/>
    <s v="Boob"/>
    <n v="36.5"/>
    <n v="11.618310845708359"/>
    <n v="6"/>
    <n v="11"/>
    <m/>
    <s v="C"/>
    <s v="S"/>
    <s v="un fuste"/>
    <n v="10"/>
    <n v="10"/>
    <n v="16"/>
    <s v="Vol = Exp(-9.63519924+1.83658572*LN(DIAMETRO)+1.02444663*LN(ALTURATOTAL))"/>
    <n v="6.8954684113488304E-2"/>
    <n v="1.0601708646708877E-2"/>
  </r>
  <r>
    <n v="6"/>
    <x v="1"/>
    <m/>
    <n v="15"/>
    <n v="15"/>
    <s v="Polygonaceae"/>
    <x v="13"/>
    <s v="Boob"/>
    <m/>
    <m/>
    <m/>
    <n v="2.5"/>
    <e v="#REF!"/>
    <m/>
    <s v="S"/>
    <s v="un fuste"/>
    <n v="2.5"/>
    <n v="5"/>
    <m/>
    <m/>
    <m/>
    <m/>
  </r>
  <r>
    <n v="6"/>
    <x v="1"/>
    <m/>
    <n v="16"/>
    <n v="16"/>
    <s v="Polygonaceae"/>
    <x v="13"/>
    <s v="Boob"/>
    <m/>
    <m/>
    <m/>
    <n v="7"/>
    <e v="#REF!"/>
    <m/>
    <s v="S"/>
    <s v="un fuste"/>
    <n v="7.5"/>
    <n v="5"/>
    <m/>
    <m/>
    <m/>
    <m/>
  </r>
  <r>
    <n v="6"/>
    <x v="1"/>
    <m/>
    <n v="17"/>
    <n v="17"/>
    <s v="Myrtaceae"/>
    <x v="1"/>
    <s v="Granada cimarrona"/>
    <m/>
    <m/>
    <m/>
    <n v="3"/>
    <e v="#REF!"/>
    <m/>
    <s v="S"/>
    <s v="un fuste"/>
    <n v="2.5"/>
    <n v="5"/>
    <m/>
    <m/>
    <m/>
    <m/>
  </r>
  <r>
    <n v="6"/>
    <x v="1"/>
    <m/>
    <n v="18"/>
    <n v="18"/>
    <s v="Rubiaceae"/>
    <x v="35"/>
    <s v="Café de Monte"/>
    <m/>
    <m/>
    <m/>
    <n v="0.8"/>
    <e v="#REF!"/>
    <m/>
    <s v="S"/>
    <s v="un fuste"/>
    <n v="2.5"/>
    <n v="5"/>
    <m/>
    <m/>
    <m/>
    <m/>
  </r>
  <r>
    <n v="6"/>
    <x v="1"/>
    <m/>
    <n v="19"/>
    <n v="19"/>
    <s v="Rubiaceae"/>
    <x v="35"/>
    <s v="Café de Monte"/>
    <m/>
    <m/>
    <m/>
    <n v="0.7"/>
    <e v="#REF!"/>
    <m/>
    <s v="S"/>
    <s v="un fuste"/>
    <n v="2.5"/>
    <n v="5"/>
    <m/>
    <m/>
    <m/>
    <m/>
  </r>
  <r>
    <n v="6"/>
    <x v="1"/>
    <m/>
    <n v="20"/>
    <n v="20"/>
    <s v="Rubiaceae"/>
    <x v="35"/>
    <s v="Café de Monte"/>
    <m/>
    <m/>
    <m/>
    <n v="0.5"/>
    <e v="#REF!"/>
    <m/>
    <s v="S"/>
    <s v="un fuste"/>
    <n v="2.5"/>
    <n v="5"/>
    <m/>
    <m/>
    <m/>
    <m/>
  </r>
  <r>
    <n v="6"/>
    <x v="1"/>
    <m/>
    <n v="21"/>
    <n v="21"/>
    <s v="Rubiaceae"/>
    <x v="35"/>
    <s v="Café de Monte"/>
    <m/>
    <m/>
    <m/>
    <n v="0.4"/>
    <e v="#REF!"/>
    <m/>
    <s v="S"/>
    <s v="un fuste"/>
    <n v="2.5"/>
    <n v="5"/>
    <m/>
    <m/>
    <m/>
    <m/>
  </r>
  <r>
    <n v="6"/>
    <x v="1"/>
    <m/>
    <n v="22"/>
    <n v="22"/>
    <s v="Rubiaceae"/>
    <x v="35"/>
    <s v="Café de Monte"/>
    <m/>
    <m/>
    <m/>
    <n v="0.3"/>
    <e v="#REF!"/>
    <m/>
    <s v="S"/>
    <s v="un fuste"/>
    <n v="2.5"/>
    <n v="5"/>
    <m/>
    <m/>
    <m/>
    <m/>
  </r>
  <r>
    <n v="2"/>
    <x v="0"/>
    <n v="4"/>
    <n v="13"/>
    <n v="13"/>
    <s v="Leguminosae"/>
    <x v="5"/>
    <s v="Cacao che"/>
    <n v="16.5"/>
    <n v="5.2521131220325463"/>
    <n v="1.8"/>
    <n v="7"/>
    <m/>
    <s v="C"/>
    <s v="S"/>
    <s v="un fuste"/>
    <n v="7.5"/>
    <n v="5"/>
    <m/>
    <m/>
    <m/>
    <m/>
  </r>
  <r>
    <n v="6"/>
    <x v="1"/>
    <m/>
    <n v="23"/>
    <n v="23"/>
    <s v="Leguminosae"/>
    <x v="31"/>
    <s v="Kanasin"/>
    <m/>
    <m/>
    <m/>
    <n v="0.2"/>
    <e v="#REF!"/>
    <m/>
    <s v="S"/>
    <s v="un fuste"/>
    <n v="2.5"/>
    <n v="5"/>
    <m/>
    <m/>
    <m/>
    <m/>
  </r>
  <r>
    <n v="6"/>
    <x v="1"/>
    <m/>
    <n v="24"/>
    <n v="2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5"/>
    <n v="25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6"/>
    <n v="26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7"/>
    <n v="27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8"/>
    <n v="28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29"/>
    <n v="29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0"/>
    <n v="30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1"/>
    <n v="31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2"/>
    <n v="32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3"/>
    <n v="33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4"/>
    <n v="3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5"/>
    <n v="35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6"/>
    <n v="36"/>
    <s v="Poaceae"/>
    <x v="29"/>
    <s v="Carricillo"/>
    <m/>
    <m/>
    <m/>
    <n v="0.4"/>
    <e v="#REF!"/>
    <m/>
    <s v="S"/>
    <s v="un fuste"/>
    <n v="2.5"/>
    <n v="5"/>
    <m/>
    <m/>
    <m/>
    <m/>
  </r>
  <r>
    <n v="3"/>
    <x v="0"/>
    <n v="1"/>
    <n v="2"/>
    <n v="2"/>
    <s v="Sapotaceae"/>
    <x v="36"/>
    <s v="Caimito"/>
    <n v="21"/>
    <n v="6.6845076098596046"/>
    <n v="2.5"/>
    <n v="9"/>
    <m/>
    <s v="C"/>
    <s v="S"/>
    <s v="un fuste"/>
    <n v="10"/>
    <n v="5"/>
    <m/>
    <m/>
    <m/>
    <m/>
  </r>
  <r>
    <n v="8"/>
    <x v="0"/>
    <n v="1"/>
    <n v="9"/>
    <n v="9"/>
    <s v="Sapotaceae"/>
    <x v="36"/>
    <s v="Caimito"/>
    <n v="16"/>
    <n v="5.0929581789406511"/>
    <n v="2.5"/>
    <n v="6"/>
    <m/>
    <s v="C"/>
    <s v="S"/>
    <s v="un fuste"/>
    <n v="5"/>
    <n v="5"/>
    <m/>
    <m/>
    <m/>
    <m/>
  </r>
  <r>
    <n v="6"/>
    <x v="1"/>
    <m/>
    <n v="37"/>
    <n v="37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8"/>
    <n v="38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39"/>
    <n v="39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0"/>
    <n v="40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1"/>
    <n v="41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2"/>
    <n v="42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3"/>
    <n v="43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4"/>
    <n v="4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5"/>
    <n v="45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6"/>
    <n v="46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7"/>
    <n v="47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8"/>
    <n v="48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49"/>
    <n v="49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0"/>
    <n v="50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1"/>
    <n v="51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2"/>
    <n v="52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3"/>
    <n v="53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4"/>
    <n v="54"/>
    <s v="Poaceae"/>
    <x v="29"/>
    <s v="Carricillo"/>
    <m/>
    <m/>
    <m/>
    <n v="0.4"/>
    <e v="#REF!"/>
    <m/>
    <s v="S"/>
    <s v="un fuste"/>
    <n v="2.5"/>
    <n v="5"/>
    <m/>
    <m/>
    <m/>
    <m/>
  </r>
  <r>
    <n v="6"/>
    <x v="1"/>
    <m/>
    <n v="55"/>
    <n v="55"/>
    <s v="Meliaceae"/>
    <x v="37"/>
    <s v="Choobem che'"/>
    <m/>
    <m/>
    <m/>
    <n v="1"/>
    <e v="#REF!"/>
    <m/>
    <s v="S"/>
    <s v="un fuste"/>
    <n v="2.5"/>
    <n v="5"/>
    <m/>
    <m/>
    <m/>
    <m/>
  </r>
  <r>
    <n v="6"/>
    <x v="1"/>
    <m/>
    <n v="56"/>
    <n v="56"/>
    <s v="Sapindaceae"/>
    <x v="24"/>
    <s v="Bejuco alado"/>
    <m/>
    <m/>
    <m/>
    <n v="0.6"/>
    <e v="#REF!"/>
    <m/>
    <s v="S"/>
    <s v="un fuste"/>
    <n v="2.5"/>
    <n v="5"/>
    <m/>
    <m/>
    <m/>
    <m/>
  </r>
  <r>
    <n v="7"/>
    <x v="1"/>
    <m/>
    <n v="1"/>
    <n v="1"/>
    <s v="Sapotaceae"/>
    <x v="38"/>
    <s v="Kaniste"/>
    <m/>
    <m/>
    <m/>
    <n v="5"/>
    <e v="#REF!"/>
    <m/>
    <s v="SC"/>
    <s v="un fuste"/>
    <n v="5"/>
    <n v="5"/>
    <m/>
    <m/>
    <m/>
    <m/>
  </r>
  <r>
    <n v="7"/>
    <x v="1"/>
    <m/>
    <n v="2"/>
    <n v="2"/>
    <s v="Salicaceae"/>
    <x v="39"/>
    <s v="Tamay"/>
    <m/>
    <m/>
    <m/>
    <n v="1.5"/>
    <e v="#REF!"/>
    <m/>
    <s v="S"/>
    <s v="un fuste"/>
    <n v="2.5"/>
    <n v="5"/>
    <m/>
    <m/>
    <m/>
    <m/>
  </r>
  <r>
    <n v="7"/>
    <x v="1"/>
    <m/>
    <n v="3"/>
    <n v="3"/>
    <s v="Myrtaceae"/>
    <x v="1"/>
    <s v="Granada cimarrona"/>
    <m/>
    <m/>
    <m/>
    <n v="1.5"/>
    <e v="#REF!"/>
    <m/>
    <s v="S"/>
    <s v="un fuste"/>
    <n v="2.5"/>
    <n v="5"/>
    <m/>
    <m/>
    <m/>
    <m/>
  </r>
  <r>
    <n v="7"/>
    <x v="1"/>
    <m/>
    <n v="4"/>
    <n v="4"/>
    <s v="Myrtaceae"/>
    <x v="12"/>
    <s v="Guayabillo"/>
    <m/>
    <m/>
    <m/>
    <n v="1.2"/>
    <e v="#REF!"/>
    <m/>
    <s v="S"/>
    <s v="un fuste"/>
    <n v="2.5"/>
    <n v="5"/>
    <m/>
    <m/>
    <m/>
    <m/>
  </r>
  <r>
    <n v="7"/>
    <x v="1"/>
    <m/>
    <n v="5"/>
    <n v="5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6"/>
    <n v="6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7"/>
    <n v="7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8"/>
    <n v="8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9"/>
    <n v="9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0"/>
    <n v="10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1"/>
    <n v="11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2"/>
    <n v="12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3"/>
    <n v="13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4"/>
    <n v="14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5"/>
    <n v="15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6"/>
    <n v="16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7"/>
    <n v="17"/>
    <s v="Lauraceae"/>
    <x v="0"/>
    <s v="Aguacatillo"/>
    <m/>
    <m/>
    <m/>
    <n v="0.4"/>
    <e v="#REF!"/>
    <m/>
    <s v="S"/>
    <s v="un fuste"/>
    <n v="2.5"/>
    <n v="5"/>
    <m/>
    <m/>
    <m/>
    <m/>
  </r>
  <r>
    <n v="7"/>
    <x v="1"/>
    <m/>
    <n v="18"/>
    <n v="18"/>
    <s v="Arecaceae"/>
    <x v="40"/>
    <s v="Palma chit"/>
    <m/>
    <m/>
    <m/>
    <n v="0.6"/>
    <e v="#REF!"/>
    <m/>
    <s v="S"/>
    <s v="un fuste"/>
    <m/>
    <m/>
    <m/>
    <m/>
    <m/>
    <m/>
  </r>
  <r>
    <n v="7"/>
    <x v="1"/>
    <m/>
    <n v="19"/>
    <n v="19"/>
    <s v="Leguminosae"/>
    <x v="41"/>
    <s v="Jabín"/>
    <m/>
    <m/>
    <m/>
    <n v="0.15"/>
    <e v="#REF!"/>
    <m/>
    <s v="S"/>
    <s v="un fuste"/>
    <n v="2.5"/>
    <n v="5"/>
    <m/>
    <m/>
    <m/>
    <m/>
  </r>
  <r>
    <n v="7"/>
    <x v="1"/>
    <m/>
    <n v="20"/>
    <n v="20"/>
    <s v="Anacardiaceae"/>
    <x v="25"/>
    <s v="Chechem"/>
    <m/>
    <m/>
    <m/>
    <n v="0.2"/>
    <e v="#REF!"/>
    <m/>
    <s v="S"/>
    <s v="un fuste"/>
    <n v="2.5"/>
    <n v="5"/>
    <m/>
    <m/>
    <m/>
    <m/>
  </r>
  <r>
    <n v="11"/>
    <x v="0"/>
    <n v="4"/>
    <n v="37"/>
    <n v="37"/>
    <s v="Celastraceae "/>
    <x v="42"/>
    <s v="Cascarillo grueso"/>
    <n v="26.5"/>
    <n v="8.4352119838704525"/>
    <n v="3"/>
    <n v="7"/>
    <m/>
    <s v="C"/>
    <s v="S"/>
    <s v="un fuste"/>
    <n v="7.5"/>
    <n v="10"/>
    <m/>
    <m/>
    <m/>
    <m/>
  </r>
  <r>
    <n v="3"/>
    <x v="2"/>
    <n v="1"/>
    <n v="1"/>
    <n v="1"/>
    <s v="Burseraceae"/>
    <x v="43"/>
    <s v="Chacah"/>
    <n v="38.5"/>
    <n v="12.254930618075941"/>
    <n v="6"/>
    <n v="10"/>
    <m/>
    <s v="C"/>
    <s v="S"/>
    <s v="un fuste"/>
    <n v="10"/>
    <n v="10"/>
    <n v="12"/>
    <s v="Vol = Exp(-9.63573531+1.90246451*LN(DIAMETRO)+0.97875991*LN(ALTURATOTAL))"/>
    <n v="7.3195775547621564E-2"/>
    <n v="1.1795370719898092E-2"/>
  </r>
  <r>
    <n v="8"/>
    <x v="2"/>
    <n v="1"/>
    <n v="1"/>
    <n v="1"/>
    <s v="Burseraceae"/>
    <x v="43"/>
    <s v="Chacah"/>
    <n v="33"/>
    <n v="10.504226244065093"/>
    <n v="9"/>
    <n v="11"/>
    <m/>
    <s v="C"/>
    <s v="S"/>
    <s v="un fuste"/>
    <n v="10"/>
    <n v="10"/>
    <n v="12"/>
    <s v="Vol = Exp(-9.63573531+1.90246451*LN(DIAMETRO)+0.97875991*LN(ALTURATOTAL))"/>
    <n v="5.992880615699217E-2"/>
    <n v="8.6659866513537007E-3"/>
  </r>
  <r>
    <n v="4"/>
    <x v="0"/>
    <n v="1"/>
    <n v="1"/>
    <n v="1"/>
    <s v="Burseraceae"/>
    <x v="43"/>
    <s v="Chacah"/>
    <n v="29"/>
    <n v="9.2309866993299305"/>
    <n v="6"/>
    <n v="12"/>
    <m/>
    <s v="C"/>
    <s v="S"/>
    <s v="un fuste"/>
    <n v="12.5"/>
    <n v="10"/>
    <m/>
    <m/>
    <m/>
    <m/>
  </r>
  <r>
    <n v="2"/>
    <x v="2"/>
    <n v="1"/>
    <n v="2"/>
    <n v="2"/>
    <s v="Burseraceae"/>
    <x v="43"/>
    <s v="Chacah"/>
    <n v="35"/>
    <n v="11.140846016432674"/>
    <n v="6.5"/>
    <n v="12"/>
    <m/>
    <s v="C"/>
    <s v="S"/>
    <s v="un fuste"/>
    <n v="12.5"/>
    <n v="10"/>
    <n v="12"/>
    <s v="Vol = Exp(-9.63573531+1.90246451*LN(DIAMETRO)+0.97875991*LN(ALTURATOTAL))"/>
    <n v="7.2985625018523723E-2"/>
    <n v="9.7482402643785885E-3"/>
  </r>
  <r>
    <n v="9"/>
    <x v="2"/>
    <n v="1"/>
    <n v="2"/>
    <n v="2"/>
    <s v="Burseraceae"/>
    <x v="43"/>
    <s v="Chacah"/>
    <n v="36.5"/>
    <n v="11.618310845708359"/>
    <n v="4"/>
    <n v="11"/>
    <m/>
    <s v="C"/>
    <s v="S"/>
    <s v="un fuste"/>
    <n v="10"/>
    <n v="10"/>
    <n v="12"/>
    <s v="Vol = Exp(-9.63573531+1.90246451*LN(DIAMETRO)+0.97875991*LN(ALTURATOTAL))"/>
    <n v="7.2597802746153378E-2"/>
    <n v="1.0601708646708877E-2"/>
  </r>
  <r>
    <n v="10"/>
    <x v="2"/>
    <n v="1"/>
    <n v="2"/>
    <n v="2"/>
    <s v="Burseraceae"/>
    <x v="43"/>
    <s v="Chacah"/>
    <n v="32.5"/>
    <n v="10.345071300973197"/>
    <n v="6"/>
    <n v="10"/>
    <m/>
    <s v="C"/>
    <s v="S"/>
    <s v="un fuste"/>
    <n v="10"/>
    <n v="10"/>
    <n v="12"/>
    <s v="Vol = Exp(-9.63573531+1.90246451*LN(DIAMETRO)+0.97875991*LN(ALTURATOTAL))"/>
    <n v="5.3028297531253217E-2"/>
    <n v="8.4053704320407232E-3"/>
  </r>
  <r>
    <n v="9"/>
    <x v="0"/>
    <n v="1"/>
    <n v="2"/>
    <n v="2"/>
    <s v="Burseraceae"/>
    <x v="43"/>
    <s v="Chacah"/>
    <n v="22.5"/>
    <n v="7.1619724391352904"/>
    <n v="7"/>
    <n v="9"/>
    <m/>
    <s v="C"/>
    <s v="S"/>
    <s v="un fuste"/>
    <n v="10"/>
    <n v="5"/>
    <m/>
    <m/>
    <m/>
    <m/>
  </r>
  <r>
    <n v="2"/>
    <x v="2"/>
    <n v="1"/>
    <n v="3"/>
    <n v="3"/>
    <s v="Burseraceae"/>
    <x v="43"/>
    <s v="Chacah"/>
    <n v="38.5"/>
    <n v="12.254930618075941"/>
    <n v="6"/>
    <n v="12"/>
    <m/>
    <s v="C"/>
    <s v="S"/>
    <s v="un fuste"/>
    <n v="12.5"/>
    <n v="10"/>
    <n v="12"/>
    <s v="Vol = Exp(-9.63573531+1.90246451*LN(DIAMETRO)+0.97875991*LN(ALTURATOTAL))"/>
    <n v="8.7495445337458511E-2"/>
    <n v="1.1795370719898092E-2"/>
  </r>
  <r>
    <n v="7"/>
    <x v="2"/>
    <n v="1"/>
    <n v="3"/>
    <n v="3"/>
    <s v="Burseraceae"/>
    <x v="43"/>
    <s v="Chacah"/>
    <n v="79"/>
    <n v="25.146481008519466"/>
    <n v="6"/>
    <n v="14"/>
    <m/>
    <s v="C"/>
    <s v="S"/>
    <s v="un fuste"/>
    <n v="15"/>
    <n v="25"/>
    <n v="12"/>
    <s v="Vol = Exp(-9.63573531+1.90246451*LN(DIAMETRO)+0.97875991*LN(ALTURATOTAL))"/>
    <n v="0.39938863670000313"/>
    <n v="4.9664299991825943E-2"/>
  </r>
  <r>
    <n v="1"/>
    <x v="0"/>
    <n v="1"/>
    <n v="3"/>
    <n v="3"/>
    <s v="Burseraceae"/>
    <x v="43"/>
    <s v="Chacah"/>
    <n v="24.5"/>
    <n v="7.7985922115028714"/>
    <n v="6"/>
    <n v="8"/>
    <m/>
    <s v="C"/>
    <s v="S"/>
    <s v="un fuste"/>
    <n v="7.5"/>
    <n v="10"/>
    <m/>
    <m/>
    <m/>
    <m/>
  </r>
  <r>
    <n v="2"/>
    <x v="0"/>
    <n v="1"/>
    <n v="3"/>
    <n v="3"/>
    <s v="Burseraceae"/>
    <x v="43"/>
    <s v="Chacah"/>
    <n v="19"/>
    <n v="6.0478878374920226"/>
    <n v="3"/>
    <n v="6"/>
    <m/>
    <s v="C"/>
    <s v="SD"/>
    <s v="un fuste"/>
    <n v="5"/>
    <n v="5"/>
    <m/>
    <m/>
    <m/>
    <m/>
  </r>
  <r>
    <n v="6"/>
    <x v="0"/>
    <n v="1"/>
    <n v="3"/>
    <n v="3"/>
    <s v="Burseraceae"/>
    <x v="43"/>
    <s v="Chacah"/>
    <n v="20.5"/>
    <n v="6.5253526667677093"/>
    <n v="6"/>
    <n v="10"/>
    <m/>
    <s v="C"/>
    <s v="S"/>
    <s v="un fuste"/>
    <n v="10"/>
    <n v="5"/>
    <m/>
    <m/>
    <m/>
    <m/>
  </r>
  <r>
    <n v="9"/>
    <x v="0"/>
    <n v="1"/>
    <n v="3"/>
    <n v="3"/>
    <s v="Burseraceae"/>
    <x v="43"/>
    <s v="Chacah"/>
    <n v="19"/>
    <n v="6.0478878374920226"/>
    <n v="6"/>
    <n v="8"/>
    <m/>
    <s v="C"/>
    <s v="S"/>
    <s v="un fuste"/>
    <n v="7.5"/>
    <n v="5"/>
    <m/>
    <m/>
    <m/>
    <m/>
  </r>
  <r>
    <n v="2"/>
    <x v="2"/>
    <n v="1"/>
    <n v="4"/>
    <n v="4"/>
    <s v="Burseraceae"/>
    <x v="43"/>
    <s v="Chacah"/>
    <n v="35"/>
    <n v="11.140846016432674"/>
    <n v="4.5"/>
    <n v="10"/>
    <m/>
    <s v="C"/>
    <s v="S"/>
    <s v="un fuste"/>
    <n v="10"/>
    <n v="10"/>
    <n v="12"/>
    <s v="Vol = Exp(-9.63573531+1.90246451*LN(DIAMETRO)+0.97875991*LN(ALTURATOTAL))"/>
    <n v="6.105734311602639E-2"/>
    <n v="9.7482402643785885E-3"/>
  </r>
  <r>
    <n v="10"/>
    <x v="2"/>
    <n v="1"/>
    <n v="4"/>
    <n v="4"/>
    <s v="Burseraceae"/>
    <x v="43"/>
    <s v="Chacah"/>
    <n v="35.5"/>
    <n v="11.300000959524569"/>
    <n v="5"/>
    <n v="10"/>
    <m/>
    <s v="C"/>
    <s v="S"/>
    <s v="un fuste"/>
    <n v="10"/>
    <n v="10"/>
    <n v="12"/>
    <s v="Vol = Exp(-9.63573531+1.90246451*LN(DIAMETRO)+0.97875991*LN(ALTURATOTAL))"/>
    <n v="6.2727455486645323E-2"/>
    <n v="1.0028750851578054E-2"/>
  </r>
  <r>
    <n v="3"/>
    <x v="0"/>
    <n v="1"/>
    <n v="4"/>
    <n v="4"/>
    <s v="Burseraceae"/>
    <x v="43"/>
    <s v="Chacah"/>
    <n v="23"/>
    <n v="7.3211273822271856"/>
    <n v="4"/>
    <n v="6"/>
    <m/>
    <s v="C"/>
    <s v="S"/>
    <s v="un fuste"/>
    <n v="5"/>
    <n v="5"/>
    <m/>
    <m/>
    <m/>
    <m/>
  </r>
  <r>
    <n v="11"/>
    <x v="0"/>
    <n v="1"/>
    <n v="4"/>
    <n v="4"/>
    <s v="Burseraceae"/>
    <x v="43"/>
    <s v="Chacah"/>
    <n v="17.5"/>
    <n v="5.5704230082163368"/>
    <n v="4.5"/>
    <n v="7"/>
    <m/>
    <s v="C"/>
    <s v="S"/>
    <s v="un fuste"/>
    <n v="7.5"/>
    <n v="5"/>
    <m/>
    <m/>
    <m/>
    <m/>
  </r>
  <r>
    <n v="9"/>
    <x v="0"/>
    <n v="1"/>
    <n v="5"/>
    <n v="5"/>
    <s v="Burseraceae"/>
    <x v="43"/>
    <s v="Chacah"/>
    <n v="26"/>
    <n v="8.2760570407785572"/>
    <n v="6"/>
    <n v="9"/>
    <m/>
    <s v="C"/>
    <s v="S"/>
    <s v="un fuste"/>
    <n v="10"/>
    <n v="10"/>
    <m/>
    <m/>
    <m/>
    <m/>
  </r>
  <r>
    <n v="10"/>
    <x v="0"/>
    <n v="1"/>
    <n v="5"/>
    <n v="5"/>
    <s v="Burseraceae"/>
    <x v="43"/>
    <s v="Chacah"/>
    <n v="21"/>
    <n v="6.6845076098596046"/>
    <n v="7"/>
    <n v="10"/>
    <m/>
    <s v="C"/>
    <s v="S"/>
    <s v="un fuste"/>
    <n v="10"/>
    <n v="5"/>
    <m/>
    <m/>
    <m/>
    <m/>
  </r>
  <r>
    <n v="7"/>
    <x v="1"/>
    <m/>
    <n v="21"/>
    <n v="21"/>
    <s v="Bignoniaceae"/>
    <x v="44"/>
    <s v="Bejuco dos hojas"/>
    <m/>
    <m/>
    <m/>
    <n v="1.5"/>
    <e v="#REF!"/>
    <m/>
    <s v="S"/>
    <s v="un fuste"/>
    <n v="2.5"/>
    <n v="5"/>
    <m/>
    <m/>
    <m/>
    <m/>
  </r>
  <r>
    <n v="2"/>
    <x v="2"/>
    <n v="1"/>
    <n v="6"/>
    <n v="6"/>
    <s v="Burseraceae"/>
    <x v="43"/>
    <s v="Chacah"/>
    <n v="43.5"/>
    <n v="13.846480048994895"/>
    <n v="4"/>
    <n v="12"/>
    <m/>
    <s v="C"/>
    <s v="S"/>
    <s v="un fuste"/>
    <n v="12.5"/>
    <n v="15"/>
    <n v="12"/>
    <s v="Vol = Exp(-9.63573531+1.90246451*LN(DIAMETRO)+0.97875991*LN(ALTURATOTAL))"/>
    <n v="0.11037490364679946"/>
    <n v="1.5058047053281948E-2"/>
  </r>
  <r>
    <n v="3"/>
    <x v="2"/>
    <n v="1"/>
    <n v="6"/>
    <n v="6"/>
    <s v="Burseraceae"/>
    <x v="43"/>
    <s v="Chacah"/>
    <n v="38.5"/>
    <n v="12.254930618075941"/>
    <n v="7"/>
    <n v="9"/>
    <m/>
    <s v="C"/>
    <s v="S"/>
    <s v="un fuste"/>
    <n v="10"/>
    <n v="10"/>
    <n v="12"/>
    <s v="Vol = Exp(-9.63573531+1.90246451*LN(DIAMETRO)+0.97875991*LN(ALTURATOTAL))"/>
    <n v="6.6023785230263032E-2"/>
    <n v="1.1795370719898092E-2"/>
  </r>
  <r>
    <n v="6"/>
    <x v="2"/>
    <n v="2"/>
    <n v="5"/>
    <n v="6"/>
    <s v="Burseraceae"/>
    <x v="43"/>
    <s v="Chacah"/>
    <n v="35"/>
    <n v="11.140846016432674"/>
    <n v="4"/>
    <n v="10"/>
    <m/>
    <s v="C"/>
    <s v="S"/>
    <s v="un fuste"/>
    <n v="10"/>
    <n v="10"/>
    <n v="12"/>
    <s v="Vol = Exp(-9.63573531+1.90246451*LN(DIAMETRO)+0.97875991*LN(ALTURATOTAL))"/>
    <n v="6.105734311602639E-2"/>
    <n v="9.7482402643785885E-3"/>
  </r>
  <r>
    <n v="7"/>
    <x v="2"/>
    <n v="1"/>
    <n v="5"/>
    <n v="6"/>
    <s v="Burseraceae"/>
    <x v="43"/>
    <s v="Chacah"/>
    <n v="81"/>
    <n v="25.783100780887047"/>
    <n v="8"/>
    <n v="12"/>
    <m/>
    <s v="C"/>
    <s v="S"/>
    <s v="un fuste"/>
    <n v="12.5"/>
    <n v="25"/>
    <n v="12"/>
    <s v="Vol = Exp(-9.63573531+1.90246451*LN(DIAMETRO)+0.97875991*LN(ALTURATOTAL))"/>
    <n v="0.36018671662514573"/>
    <n v="5.2210779081296267E-2"/>
  </r>
  <r>
    <n v="9"/>
    <x v="2"/>
    <n v="1"/>
    <n v="6"/>
    <n v="6"/>
    <s v="Burseraceae"/>
    <x v="43"/>
    <s v="Chacah"/>
    <n v="32.5"/>
    <n v="10.345071300973197"/>
    <n v="4"/>
    <n v="10"/>
    <m/>
    <s v="C"/>
    <s v="S"/>
    <s v="un fuste"/>
    <n v="10"/>
    <n v="10"/>
    <n v="12"/>
    <s v="Vol = Exp(-9.63573531+1.90246451*LN(DIAMETRO)+0.97875991*LN(ALTURATOTAL))"/>
    <n v="5.3028297531253217E-2"/>
    <n v="8.4053704320407232E-3"/>
  </r>
  <r>
    <n v="10"/>
    <x v="2"/>
    <n v="2"/>
    <n v="6"/>
    <n v="6"/>
    <s v="Burseraceae"/>
    <x v="43"/>
    <s v="Chacah"/>
    <n v="32"/>
    <n v="10.185916357881302"/>
    <n v="5"/>
    <n v="11"/>
    <m/>
    <s v="C"/>
    <s v="S"/>
    <s v="un fuste"/>
    <n v="10"/>
    <n v="10"/>
    <n v="12"/>
    <s v="Vol = Exp(-9.63573531+1.90246451*LN(DIAMETRO)+0.97875991*LN(ALTURATOTAL))"/>
    <n v="5.6521172649776755E-2"/>
    <n v="8.1487330863050413E-3"/>
  </r>
  <r>
    <n v="5"/>
    <x v="0"/>
    <n v="1"/>
    <n v="5"/>
    <n v="6"/>
    <s v="Burseraceae"/>
    <x v="43"/>
    <s v="Chacah"/>
    <n v="20"/>
    <n v="6.366197723675814"/>
    <n v="3"/>
    <n v="6"/>
    <m/>
    <s v="C"/>
    <s v="S"/>
    <s v="un fuste"/>
    <n v="5"/>
    <n v="5"/>
    <m/>
    <m/>
    <m/>
    <m/>
  </r>
  <r>
    <n v="6"/>
    <x v="0"/>
    <n v="1"/>
    <n v="6"/>
    <n v="6"/>
    <s v="Burseraceae"/>
    <x v="43"/>
    <s v="Chacah"/>
    <n v="23"/>
    <n v="7.3211273822271856"/>
    <n v="4"/>
    <n v="8"/>
    <m/>
    <s v="C"/>
    <s v="S"/>
    <s v="un fuste"/>
    <n v="7.5"/>
    <n v="5"/>
    <m/>
    <m/>
    <m/>
    <m/>
  </r>
  <r>
    <n v="2"/>
    <x v="2"/>
    <n v="1"/>
    <n v="7"/>
    <n v="7"/>
    <s v="Burseraceae"/>
    <x v="43"/>
    <s v="Chacah"/>
    <n v="32"/>
    <n v="10.185916357881302"/>
    <n v="4.5"/>
    <n v="9"/>
    <m/>
    <s v="C"/>
    <s v="S"/>
    <s v="un fuste"/>
    <n v="10"/>
    <n v="10"/>
    <n v="12"/>
    <s v="Vol = Exp(-9.63573531+1.90246451*LN(DIAMETRO)+0.97875991*LN(ALTURATOTAL))"/>
    <n v="4.6442123120946172E-2"/>
    <n v="8.1487330863050413E-3"/>
  </r>
  <r>
    <n v="3"/>
    <x v="2"/>
    <n v="1"/>
    <n v="7"/>
    <n v="7"/>
    <s v="Burseraceae"/>
    <x v="43"/>
    <s v="Chacah"/>
    <n v="42"/>
    <n v="13.369015219719209"/>
    <n v="7"/>
    <n v="10"/>
    <m/>
    <s v="C"/>
    <s v="S"/>
    <s v="un fuste"/>
    <n v="10"/>
    <n v="15"/>
    <n v="12"/>
    <s v="Vol = Exp(-9.63573531+1.90246451*LN(DIAMETRO)+0.97875991*LN(ALTURATOTAL))"/>
    <n v="8.6372882353242891E-2"/>
    <n v="1.4037465980705171E-2"/>
  </r>
  <r>
    <n v="10"/>
    <x v="0"/>
    <n v="1"/>
    <n v="7"/>
    <n v="7"/>
    <s v="Burseraceae"/>
    <x v="43"/>
    <s v="Chacah"/>
    <n v="16"/>
    <n v="5.0929581789406511"/>
    <n v="6"/>
    <n v="8"/>
    <m/>
    <s v="C"/>
    <s v="S"/>
    <s v="un fuste"/>
    <n v="7.5"/>
    <n v="5"/>
    <m/>
    <m/>
    <m/>
    <m/>
  </r>
  <r>
    <n v="1"/>
    <x v="2"/>
    <n v="2"/>
    <n v="7"/>
    <n v="8"/>
    <s v="Burseraceae"/>
    <x v="43"/>
    <s v="Chacah"/>
    <n v="37"/>
    <n v="11.777465788800255"/>
    <n v="8"/>
    <n v="11"/>
    <m/>
    <s v="C"/>
    <s v="S"/>
    <s v="un fuste"/>
    <n v="10"/>
    <n v="10"/>
    <n v="12"/>
    <s v="Vol = Exp(-9.63573531+1.90246451*LN(DIAMETRO)+0.97875991*LN(ALTURATOTAL))"/>
    <n v="7.4501475185697733E-2"/>
    <n v="1.0894155854640236E-2"/>
  </r>
  <r>
    <n v="3"/>
    <x v="2"/>
    <n v="1"/>
    <n v="8"/>
    <n v="8"/>
    <s v="Burseraceae"/>
    <x v="43"/>
    <s v="Chacah"/>
    <n v="41.5"/>
    <n v="13.209860276627314"/>
    <n v="8"/>
    <n v="10"/>
    <m/>
    <s v="C"/>
    <s v="S"/>
    <s v="un fuste"/>
    <n v="10"/>
    <n v="15"/>
    <n v="12"/>
    <s v="Vol = Exp(-9.63573531+1.90246451*LN(DIAMETRO)+0.97875991*LN(ALTURATOTAL))"/>
    <n v="8.442718834039023E-2"/>
    <n v="1.3705230037000837E-2"/>
  </r>
  <r>
    <n v="10"/>
    <x v="2"/>
    <n v="2"/>
    <n v="8"/>
    <n v="8"/>
    <s v="Burseraceae"/>
    <x v="43"/>
    <s v="Chacah"/>
    <n v="36"/>
    <n v="11.459155902616464"/>
    <n v="6.5"/>
    <n v="10"/>
    <m/>
    <s v="C"/>
    <s v="S"/>
    <s v="un fuste"/>
    <n v="10"/>
    <n v="10"/>
    <n v="12"/>
    <s v="Vol = Exp(-9.63573531+1.90246451*LN(DIAMETRO)+0.97875991*LN(ALTURATOTAL))"/>
    <n v="6.4418932145957952E-2"/>
    <n v="1.0313240312354817E-2"/>
  </r>
  <r>
    <n v="7"/>
    <x v="0"/>
    <n v="3"/>
    <n v="8"/>
    <n v="8"/>
    <s v="Burseraceae"/>
    <x v="43"/>
    <s v="Chacah"/>
    <n v="25"/>
    <n v="7.9577471545947667"/>
    <n v="7"/>
    <n v="11"/>
    <m/>
    <s v="C"/>
    <s v="S"/>
    <s v="un fuste"/>
    <n v="10"/>
    <n v="10"/>
    <m/>
    <m/>
    <m/>
    <m/>
  </r>
  <r>
    <n v="10"/>
    <x v="0"/>
    <n v="1"/>
    <n v="8"/>
    <n v="8"/>
    <s v="Burseraceae"/>
    <x v="43"/>
    <s v="Chacah"/>
    <n v="17.5"/>
    <n v="5.5704230082163368"/>
    <n v="7"/>
    <n v="8"/>
    <m/>
    <s v="C"/>
    <s v="S"/>
    <s v="un fuste"/>
    <n v="7.5"/>
    <n v="5"/>
    <m/>
    <m/>
    <m/>
    <m/>
  </r>
  <r>
    <n v="11"/>
    <x v="0"/>
    <n v="1"/>
    <n v="8"/>
    <n v="8"/>
    <s v="Burseraceae"/>
    <x v="43"/>
    <s v="Chacah"/>
    <n v="19.5"/>
    <n v="6.2070427805839179"/>
    <n v="7"/>
    <n v="8.5"/>
    <m/>
    <s v="C"/>
    <s v="S"/>
    <s v="un fuste"/>
    <n v="7.5"/>
    <n v="5"/>
    <m/>
    <m/>
    <m/>
    <m/>
  </r>
  <r>
    <n v="1"/>
    <x v="2"/>
    <n v="2"/>
    <n v="8"/>
    <n v="9"/>
    <s v="Burseraceae"/>
    <x v="43"/>
    <s v="Chacah"/>
    <n v="33"/>
    <n v="10.504226244065093"/>
    <n v="4"/>
    <n v="8"/>
    <m/>
    <s v="C"/>
    <s v="S"/>
    <s v="un fuste"/>
    <n v="7.5"/>
    <n v="10"/>
    <n v="12"/>
    <s v="Vol = Exp(-9.63573531+1.90246451*LN(DIAMETRO)+0.97875991*LN(ALTURATOTAL))"/>
    <n v="4.3880391105574526E-2"/>
    <n v="8.6659866513537007E-3"/>
  </r>
  <r>
    <n v="2"/>
    <x v="2"/>
    <n v="1"/>
    <n v="9"/>
    <n v="9"/>
    <s v="Burseraceae"/>
    <x v="43"/>
    <s v="Chacah"/>
    <n v="37"/>
    <n v="11.777465788800255"/>
    <n v="8"/>
    <n v="12"/>
    <m/>
    <s v="C"/>
    <s v="S"/>
    <s v="un fuste"/>
    <n v="12.5"/>
    <n v="10"/>
    <n v="12"/>
    <s v="Vol = Exp(-9.63573531+1.90246451*LN(DIAMETRO)+0.97875991*LN(ALTURATOTAL))"/>
    <n v="8.1124269783116265E-2"/>
    <n v="1.0894155854640236E-2"/>
  </r>
  <r>
    <n v="1"/>
    <x v="0"/>
    <n v="2"/>
    <n v="9"/>
    <n v="9"/>
    <s v="Burseraceae"/>
    <x v="43"/>
    <s v="Chacah"/>
    <n v="16"/>
    <n v="5.0929581789406511"/>
    <n v="2.5"/>
    <n v="7"/>
    <m/>
    <s v="C"/>
    <s v="S"/>
    <s v="un fuste"/>
    <n v="7.5"/>
    <n v="5"/>
    <m/>
    <m/>
    <m/>
    <m/>
  </r>
  <r>
    <n v="9"/>
    <x v="0"/>
    <n v="1"/>
    <n v="9"/>
    <n v="9"/>
    <s v="Burseraceae"/>
    <x v="43"/>
    <s v="Chacah"/>
    <n v="18"/>
    <n v="5.7295779513082321"/>
    <n v="6"/>
    <n v="8"/>
    <m/>
    <s v="C"/>
    <s v="S"/>
    <s v="un fuste"/>
    <n v="7.5"/>
    <n v="5"/>
    <m/>
    <m/>
    <m/>
    <m/>
  </r>
  <r>
    <n v="11"/>
    <x v="0"/>
    <n v="1"/>
    <n v="9"/>
    <n v="9"/>
    <s v="Burseraceae"/>
    <x v="43"/>
    <s v="Chacah"/>
    <n v="24"/>
    <n v="7.6394372684109761"/>
    <n v="7"/>
    <n v="8.5"/>
    <m/>
    <s v="C"/>
    <s v="S"/>
    <s v="un fuste"/>
    <n v="7.5"/>
    <n v="10"/>
    <m/>
    <m/>
    <m/>
    <m/>
  </r>
  <r>
    <n v="5"/>
    <x v="2"/>
    <n v="1"/>
    <n v="10"/>
    <n v="10"/>
    <s v="Burseraceae"/>
    <x v="43"/>
    <s v="Chacah"/>
    <n v="36.5"/>
    <n v="11.618310845708359"/>
    <n v="5"/>
    <n v="8"/>
    <m/>
    <s v="C"/>
    <s v="S"/>
    <s v="un fuste"/>
    <n v="7.5"/>
    <n v="10"/>
    <n v="12"/>
    <s v="Vol = Exp(-9.63573531+1.90246451*LN(DIAMETRO)+0.97875991*LN(ALTURATOTAL))"/>
    <n v="5.315674017535691E-2"/>
    <n v="1.0601708646708877E-2"/>
  </r>
  <r>
    <n v="11"/>
    <x v="0"/>
    <n v="1"/>
    <n v="10"/>
    <n v="10"/>
    <s v="Burseraceae"/>
    <x v="43"/>
    <s v="Chacah"/>
    <n v="18.5"/>
    <n v="5.8887328944001274"/>
    <n v="7"/>
    <n v="9"/>
    <m/>
    <s v="C"/>
    <s v="S"/>
    <s v="un fuste"/>
    <n v="10"/>
    <n v="5"/>
    <m/>
    <m/>
    <m/>
    <m/>
  </r>
  <r>
    <n v="3"/>
    <x v="2"/>
    <n v="1"/>
    <n v="11"/>
    <n v="11"/>
    <s v="Burseraceae"/>
    <x v="43"/>
    <s v="Chacah"/>
    <n v="34"/>
    <n v="10.822536130248883"/>
    <n v="7"/>
    <n v="11"/>
    <m/>
    <s v="C"/>
    <s v="S"/>
    <s v="un fuste"/>
    <n v="10"/>
    <n v="10"/>
    <n v="12"/>
    <s v="Vol = Exp(-9.63573531+1.90246451*LN(DIAMETRO)+0.97875991*LN(ALTURATOTAL))"/>
    <n v="6.3430923605390391E-2"/>
    <n v="9.1991557107115509E-3"/>
  </r>
  <r>
    <n v="11"/>
    <x v="2"/>
    <n v="3"/>
    <n v="10"/>
    <n v="11"/>
    <s v="Burseraceae"/>
    <x v="43"/>
    <s v="Chacah"/>
    <n v="33.5"/>
    <n v="10.663381187156988"/>
    <n v="4"/>
    <n v="9"/>
    <m/>
    <s v="C"/>
    <s v="S"/>
    <s v="un fuste"/>
    <n v="10"/>
    <n v="10"/>
    <n v="12"/>
    <s v="Vol = Exp(-9.63573531+1.90246451*LN(DIAMETRO)+0.97875991*LN(ALTURATOTAL))"/>
    <n v="5.0671209523614237E-2"/>
    <n v="8.9305817442439771E-3"/>
  </r>
  <r>
    <n v="1"/>
    <x v="0"/>
    <n v="2"/>
    <n v="11"/>
    <n v="11"/>
    <s v="Burseraceae"/>
    <x v="43"/>
    <s v="Chacah"/>
    <n v="17"/>
    <n v="5.4112680651244416"/>
    <n v="4"/>
    <n v="7"/>
    <m/>
    <s v="C"/>
    <s v="S"/>
    <s v="un fuste"/>
    <n v="7.5"/>
    <n v="5"/>
    <m/>
    <m/>
    <m/>
    <m/>
  </r>
  <r>
    <n v="4"/>
    <x v="0"/>
    <n v="2"/>
    <n v="10"/>
    <n v="11"/>
    <s v="Burseraceae"/>
    <x v="43"/>
    <s v="Chacah"/>
    <n v="27"/>
    <n v="8.5943669269623477"/>
    <n v="9"/>
    <n v="13"/>
    <m/>
    <s v="C"/>
    <s v="S"/>
    <s v="un fuste"/>
    <n v="12.5"/>
    <n v="10"/>
    <m/>
    <m/>
    <m/>
    <m/>
  </r>
  <r>
    <n v="8"/>
    <x v="0"/>
    <n v="1"/>
    <n v="11"/>
    <n v="11"/>
    <s v="Burseraceae"/>
    <x v="43"/>
    <s v="Chacah"/>
    <n v="17.5"/>
    <n v="5.5704230082163368"/>
    <n v="3"/>
    <n v="8"/>
    <m/>
    <s v="C"/>
    <s v="S"/>
    <s v="un fuste"/>
    <n v="7.5"/>
    <n v="5"/>
    <m/>
    <m/>
    <m/>
    <m/>
  </r>
  <r>
    <n v="11"/>
    <x v="0"/>
    <n v="1"/>
    <n v="11"/>
    <n v="11"/>
    <s v="Burseraceae"/>
    <x v="43"/>
    <s v="Chacah"/>
    <n v="23"/>
    <n v="7.3211273822271856"/>
    <n v="6"/>
    <n v="10"/>
    <m/>
    <s v="C"/>
    <s v="S"/>
    <s v="un fuste"/>
    <n v="10"/>
    <n v="5"/>
    <m/>
    <m/>
    <m/>
    <m/>
  </r>
  <r>
    <n v="2"/>
    <x v="2"/>
    <n v="1"/>
    <n v="12"/>
    <n v="12"/>
    <s v="Burseraceae"/>
    <x v="43"/>
    <s v="Chacah"/>
    <n v="56"/>
    <n v="17.82535362629228"/>
    <n v="6.5"/>
    <n v="13"/>
    <m/>
    <s v="C"/>
    <s v="S"/>
    <s v="un fuste"/>
    <n v="12.5"/>
    <n v="20"/>
    <n v="12"/>
    <s v="Vol = Exp(-9.63573531+1.90246451*LN(DIAMETRO)+0.97875991*LN(ALTURATOTAL))"/>
    <n v="0.19301546626322191"/>
    <n v="2.4955495076809196E-2"/>
  </r>
  <r>
    <n v="5"/>
    <x v="0"/>
    <n v="1"/>
    <n v="11"/>
    <n v="12"/>
    <s v="Burseraceae"/>
    <x v="43"/>
    <s v="Chacah"/>
    <n v="22.5"/>
    <n v="7.1619724391352904"/>
    <n v="3.5"/>
    <n v="7"/>
    <m/>
    <s v="C"/>
    <s v="S"/>
    <s v="un fuste"/>
    <n v="7.5"/>
    <n v="5"/>
    <m/>
    <m/>
    <m/>
    <m/>
  </r>
  <r>
    <n v="11"/>
    <x v="0"/>
    <n v="1"/>
    <n v="12"/>
    <n v="12"/>
    <s v="Burseraceae"/>
    <x v="43"/>
    <s v="Chacah"/>
    <n v="18"/>
    <n v="5.7295779513082321"/>
    <n v="7"/>
    <n v="9"/>
    <m/>
    <s v="C"/>
    <s v="S"/>
    <s v="un fuste"/>
    <n v="10"/>
    <n v="5"/>
    <m/>
    <m/>
    <m/>
    <m/>
  </r>
  <r>
    <n v="6"/>
    <x v="2"/>
    <n v="4"/>
    <n v="12"/>
    <n v="13"/>
    <s v="Burseraceae"/>
    <x v="43"/>
    <s v="Chacah"/>
    <n v="33"/>
    <n v="10.504226244065093"/>
    <n v="6"/>
    <n v="10"/>
    <m/>
    <s v="C"/>
    <s v="S"/>
    <s v="un fuste"/>
    <n v="10"/>
    <n v="10"/>
    <n v="12"/>
    <s v="Vol = Exp(-9.63573531+1.90246451*LN(DIAMETRO)+0.97875991*LN(ALTURATOTAL))"/>
    <n v="5.4591135202470997E-2"/>
    <n v="8.6659866513537007E-3"/>
  </r>
  <r>
    <n v="7"/>
    <x v="2"/>
    <n v="2"/>
    <n v="10"/>
    <n v="13"/>
    <s v="Burseraceae"/>
    <x v="43"/>
    <s v="Chacah"/>
    <n v="34"/>
    <n v="10.822536130248883"/>
    <n v="9"/>
    <n v="11"/>
    <m/>
    <s v="C"/>
    <s v="S"/>
    <s v="un fuste"/>
    <n v="10"/>
    <n v="10"/>
    <n v="12"/>
    <s v="Vol = Exp(-9.63573531+1.90246451*LN(DIAMETRO)+0.97875991*LN(ALTURATOTAL))"/>
    <n v="6.3430923605390391E-2"/>
    <n v="9.1991557107115509E-3"/>
  </r>
  <r>
    <n v="8"/>
    <x v="2"/>
    <n v="1"/>
    <n v="12"/>
    <n v="13"/>
    <s v="Burseraceae"/>
    <x v="43"/>
    <s v="Chacah"/>
    <n v="33"/>
    <n v="10.504226244065093"/>
    <n v="6"/>
    <n v="8"/>
    <m/>
    <s v="C"/>
    <s v="S"/>
    <s v="un fuste"/>
    <n v="7.5"/>
    <n v="10"/>
    <n v="12"/>
    <s v="Vol = Exp(-9.63573531+1.90246451*LN(DIAMETRO)+0.97875991*LN(ALTURATOTAL))"/>
    <n v="4.3880391105574526E-2"/>
    <n v="8.6659866513537007E-3"/>
  </r>
  <r>
    <n v="2"/>
    <x v="2"/>
    <n v="1"/>
    <n v="14"/>
    <n v="14"/>
    <s v="Burseraceae"/>
    <x v="43"/>
    <s v="Chacah"/>
    <n v="33"/>
    <n v="10.504226244065093"/>
    <n v="10"/>
    <n v="14"/>
    <m/>
    <s v="C"/>
    <s v="S"/>
    <s v="un fuste"/>
    <n v="15"/>
    <n v="10"/>
    <n v="12"/>
    <s v="Vol = Exp(-9.63573531+1.90246451*LN(DIAMETRO)+0.97875991*LN(ALTURATOTAL))"/>
    <n v="7.5883331327001868E-2"/>
    <n v="8.6659866513537007E-3"/>
  </r>
  <r>
    <n v="6"/>
    <x v="2"/>
    <n v="4"/>
    <n v="13"/>
    <n v="14"/>
    <s v="Burseraceae"/>
    <x v="43"/>
    <s v="Chacah"/>
    <n v="35"/>
    <n v="11.140846016432674"/>
    <n v="4"/>
    <n v="9"/>
    <m/>
    <s v="C"/>
    <s v="S"/>
    <s v="un fuste"/>
    <n v="10"/>
    <n v="10"/>
    <n v="12"/>
    <s v="Vol = Exp(-9.63573531+1.90246451*LN(DIAMETRO)+0.97875991*LN(ALTURATOTAL))"/>
    <n v="5.5074720890145645E-2"/>
    <n v="9.7482402643785885E-3"/>
  </r>
  <r>
    <n v="10"/>
    <x v="2"/>
    <n v="4"/>
    <n v="14"/>
    <n v="14"/>
    <s v="Burseraceae"/>
    <x v="43"/>
    <s v="Chacah"/>
    <n v="33"/>
    <n v="10.504226244065093"/>
    <n v="6"/>
    <n v="9"/>
    <m/>
    <s v="C"/>
    <s v="S"/>
    <s v="un fuste"/>
    <n v="10"/>
    <n v="10"/>
    <n v="12"/>
    <s v="Vol = Exp(-9.63573531+1.90246451*LN(DIAMETRO)+0.97875991*LN(ALTURATOTAL))"/>
    <n v="4.9242095723669325E-2"/>
    <n v="8.6659866513537007E-3"/>
  </r>
  <r>
    <n v="10"/>
    <x v="0"/>
    <n v="1"/>
    <n v="14"/>
    <n v="14"/>
    <s v="Burseraceae"/>
    <x v="43"/>
    <s v="Chacah"/>
    <n v="24.5"/>
    <n v="7.7985922115028714"/>
    <n v="4"/>
    <n v="10"/>
    <m/>
    <s v="C"/>
    <s v="S"/>
    <s v="un fuste"/>
    <n v="10"/>
    <n v="10"/>
    <m/>
    <m/>
    <m/>
    <m/>
  </r>
  <r>
    <n v="2"/>
    <x v="2"/>
    <n v="1"/>
    <n v="15"/>
    <n v="15"/>
    <s v="Burseraceae"/>
    <x v="43"/>
    <s v="Chacah"/>
    <n v="40"/>
    <n v="12.732395447351628"/>
    <n v="7"/>
    <n v="12"/>
    <m/>
    <s v="C"/>
    <s v="S"/>
    <s v="un fuste"/>
    <n v="12.5"/>
    <n v="15"/>
    <n v="12"/>
    <s v="Vol = Exp(-9.63573531+1.90246451*LN(DIAMETRO)+0.97875991*LN(ALTURATOTAL))"/>
    <n v="9.4094654617910181E-2"/>
    <n v="1.2732395447351628E-2"/>
  </r>
  <r>
    <n v="6"/>
    <x v="2"/>
    <n v="4"/>
    <n v="14"/>
    <n v="15"/>
    <s v="Burseraceae"/>
    <x v="43"/>
    <s v="Chacah"/>
    <n v="34"/>
    <n v="10.822536130248883"/>
    <n v="4.5"/>
    <n v="8"/>
    <m/>
    <s v="C"/>
    <s v="S"/>
    <s v="un fuste"/>
    <n v="7.5"/>
    <n v="10"/>
    <n v="12"/>
    <s v="Vol = Exp(-9.63573531+1.90246451*LN(DIAMETRO)+0.97875991*LN(ALTURATOTAL))"/>
    <n v="4.6444671844469917E-2"/>
    <n v="9.1991557107115509E-3"/>
  </r>
  <r>
    <n v="10"/>
    <x v="2"/>
    <n v="4"/>
    <n v="15"/>
    <n v="15"/>
    <s v="Burseraceae"/>
    <x v="43"/>
    <s v="Chacah"/>
    <n v="37.5"/>
    <n v="11.93662073189215"/>
    <n v="4"/>
    <n v="9"/>
    <m/>
    <s v="C"/>
    <s v="S"/>
    <s v="un fuste"/>
    <n v="10"/>
    <n v="10"/>
    <n v="12"/>
    <s v="Vol = Exp(-9.63573531+1.90246451*LN(DIAMETRO)+0.97875991*LN(ALTURATOTAL))"/>
    <n v="6.2799512726288143E-2"/>
    <n v="1.1190581936148891E-2"/>
  </r>
  <r>
    <n v="3"/>
    <x v="0"/>
    <n v="4"/>
    <n v="15"/>
    <n v="15"/>
    <s v="Burseraceae"/>
    <x v="43"/>
    <s v="Chacah"/>
    <n v="25.5"/>
    <n v="8.1169020976866619"/>
    <n v="5.5"/>
    <n v="7"/>
    <m/>
    <s v="C"/>
    <s v="S"/>
    <s v="un fuste"/>
    <n v="7.5"/>
    <n v="10"/>
    <m/>
    <m/>
    <m/>
    <m/>
  </r>
  <r>
    <n v="8"/>
    <x v="0"/>
    <n v="2"/>
    <n v="15"/>
    <n v="15"/>
    <s v="Burseraceae"/>
    <x v="43"/>
    <s v="Chacah"/>
    <n v="24"/>
    <n v="7.6394372684109761"/>
    <n v="6"/>
    <n v="9"/>
    <m/>
    <s v="C"/>
    <s v="S"/>
    <s v="un fuste"/>
    <n v="10"/>
    <n v="10"/>
    <m/>
    <m/>
    <m/>
    <m/>
  </r>
  <r>
    <n v="9"/>
    <x v="0"/>
    <n v="2"/>
    <n v="15"/>
    <n v="15"/>
    <s v="Burseraceae"/>
    <x v="43"/>
    <s v="Chacah"/>
    <n v="23"/>
    <n v="7.3211273822271856"/>
    <n v="7"/>
    <n v="11"/>
    <m/>
    <s v="C"/>
    <s v="S"/>
    <s v="un fuste"/>
    <n v="10"/>
    <n v="5"/>
    <m/>
    <m/>
    <m/>
    <m/>
  </r>
  <r>
    <n v="3"/>
    <x v="2"/>
    <n v="1"/>
    <n v="16"/>
    <n v="16"/>
    <s v="Burseraceae"/>
    <x v="43"/>
    <s v="Chacah"/>
    <n v="31.5"/>
    <n v="10.026761414789407"/>
    <n v="6"/>
    <n v="12"/>
    <m/>
    <s v="C"/>
    <s v="S"/>
    <s v="un fuste"/>
    <n v="12.5"/>
    <n v="10"/>
    <n v="12"/>
    <s v="Vol = Exp(-9.63573531+1.90246451*LN(DIAMETRO)+0.97875991*LN(ALTURATOTAL))"/>
    <n v="5.9729011815020175E-2"/>
    <n v="7.8960746141466566E-3"/>
  </r>
  <r>
    <n v="6"/>
    <x v="2"/>
    <n v="4"/>
    <n v="15"/>
    <n v="16"/>
    <s v="Burseraceae"/>
    <x v="43"/>
    <s v="Chacah"/>
    <n v="31.5"/>
    <n v="10.026761414789407"/>
    <n v="5"/>
    <n v="10"/>
    <m/>
    <s v="C"/>
    <s v="S"/>
    <s v="un fuste"/>
    <n v="10"/>
    <n v="10"/>
    <n v="12"/>
    <s v="Vol = Exp(-9.63573531+1.90246451*LN(DIAMETRO)+0.97875991*LN(ALTURATOTAL))"/>
    <n v="4.9967302019340111E-2"/>
    <n v="7.8960746141466566E-3"/>
  </r>
  <r>
    <n v="10"/>
    <x v="0"/>
    <n v="2"/>
    <n v="16"/>
    <n v="16"/>
    <s v="Burseraceae"/>
    <x v="43"/>
    <s v="Chacah"/>
    <n v="18"/>
    <n v="5.7295779513082321"/>
    <n v="6"/>
    <n v="6.5"/>
    <m/>
    <s v="C"/>
    <s v="S"/>
    <s v="un fuste"/>
    <n v="7.5"/>
    <n v="5"/>
    <m/>
    <m/>
    <m/>
    <m/>
  </r>
  <r>
    <n v="11"/>
    <x v="0"/>
    <n v="2"/>
    <n v="16"/>
    <n v="16"/>
    <s v="Burseraceae"/>
    <x v="43"/>
    <s v="Chacah"/>
    <n v="20"/>
    <n v="6.366197723675814"/>
    <n v="6.5"/>
    <n v="8"/>
    <m/>
    <s v="C"/>
    <s v="S"/>
    <s v="un fuste"/>
    <n v="7.5"/>
    <n v="5"/>
    <m/>
    <m/>
    <m/>
    <m/>
  </r>
  <r>
    <n v="9"/>
    <x v="2"/>
    <n v="4"/>
    <n v="17"/>
    <n v="17"/>
    <s v="Burseraceae"/>
    <x v="43"/>
    <s v="Chacah"/>
    <n v="31.5"/>
    <n v="10.026761414789407"/>
    <n v="5.5"/>
    <n v="9"/>
    <m/>
    <s v="C"/>
    <s v="S"/>
    <s v="un fuste"/>
    <n v="10"/>
    <n v="10"/>
    <n v="12"/>
    <s v="Vol = Exp(-9.63573531+1.90246451*LN(DIAMETRO)+0.97875991*LN(ALTURATOTAL))"/>
    <n v="4.50713226600657E-2"/>
    <n v="7.8960746141466566E-3"/>
  </r>
  <r>
    <n v="9"/>
    <x v="0"/>
    <n v="2"/>
    <n v="17"/>
    <n v="17"/>
    <s v="Burseraceae"/>
    <x v="43"/>
    <s v="Chacah"/>
    <n v="26"/>
    <n v="8.2760570407785572"/>
    <n v="4.5"/>
    <n v="9"/>
    <m/>
    <s v="C"/>
    <s v="S"/>
    <s v="un fuste"/>
    <n v="10"/>
    <n v="10"/>
    <m/>
    <m/>
    <m/>
    <m/>
  </r>
  <r>
    <n v="11"/>
    <x v="0"/>
    <n v="2"/>
    <n v="18"/>
    <n v="18"/>
    <s v="Burseraceae"/>
    <x v="43"/>
    <s v="Chacah"/>
    <n v="19"/>
    <n v="6.0478878374920226"/>
    <n v="7"/>
    <n v="10"/>
    <m/>
    <s v="C"/>
    <s v="S"/>
    <s v="un fuste"/>
    <n v="10"/>
    <n v="5"/>
    <m/>
    <m/>
    <m/>
    <m/>
  </r>
  <r>
    <n v="6"/>
    <x v="0"/>
    <n v="3"/>
    <n v="16"/>
    <n v="19"/>
    <s v="Burseraceae"/>
    <x v="43"/>
    <s v="Chacah"/>
    <n v="21"/>
    <n v="6.6845076098596046"/>
    <n v="6"/>
    <n v="9"/>
    <m/>
    <s v="C"/>
    <s v="S"/>
    <s v="un fuste"/>
    <n v="10"/>
    <n v="5"/>
    <m/>
    <m/>
    <m/>
    <m/>
  </r>
  <r>
    <n v="10"/>
    <x v="0"/>
    <n v="2"/>
    <n v="19"/>
    <n v="19"/>
    <s v="Burseraceae"/>
    <x v="43"/>
    <s v="Chacah"/>
    <n v="19"/>
    <n v="6.0478878374920226"/>
    <n v="5"/>
    <n v="7"/>
    <m/>
    <s v="C"/>
    <s v="S"/>
    <s v="un fuste"/>
    <n v="7.5"/>
    <n v="5"/>
    <m/>
    <m/>
    <m/>
    <m/>
  </r>
  <r>
    <n v="11"/>
    <x v="0"/>
    <n v="3"/>
    <n v="20"/>
    <n v="20"/>
    <s v="Burseraceae"/>
    <x v="43"/>
    <s v="Chacah"/>
    <n v="17.5"/>
    <n v="5.5704230082163368"/>
    <n v="4.5"/>
    <n v="8"/>
    <m/>
    <s v="C"/>
    <s v="S"/>
    <s v="un fuste"/>
    <n v="7.5"/>
    <n v="5"/>
    <m/>
    <m/>
    <m/>
    <m/>
  </r>
  <r>
    <n v="8"/>
    <x v="2"/>
    <n v="2"/>
    <n v="19"/>
    <n v="21"/>
    <s v="Burseraceae"/>
    <x v="43"/>
    <s v="Chacah"/>
    <n v="38.5"/>
    <n v="12.254930618075941"/>
    <n v="8"/>
    <n v="14"/>
    <m/>
    <s v="C"/>
    <s v="S"/>
    <s v="un fuste"/>
    <n v="15"/>
    <n v="10"/>
    <n v="12"/>
    <s v="Vol = Exp(-9.63573531+1.90246451*LN(DIAMETRO)+0.97875991*LN(ALTURATOTAL))"/>
    <n v="0.10174434488340918"/>
    <n v="1.1795370719898092E-2"/>
  </r>
  <r>
    <n v="8"/>
    <x v="0"/>
    <n v="3"/>
    <n v="21"/>
    <n v="21"/>
    <s v="Burseraceae"/>
    <x v="43"/>
    <s v="Chacah"/>
    <n v="27"/>
    <n v="8.5943669269623477"/>
    <n v="7"/>
    <n v="11"/>
    <m/>
    <s v="C"/>
    <s v="S"/>
    <s v="un fuste"/>
    <n v="10"/>
    <n v="10"/>
    <m/>
    <m/>
    <m/>
    <m/>
  </r>
  <r>
    <n v="11"/>
    <x v="0"/>
    <n v="3"/>
    <n v="21"/>
    <n v="21"/>
    <s v="Burseraceae"/>
    <x v="43"/>
    <s v="Chacah"/>
    <n v="16.5"/>
    <n v="5.2521131220325463"/>
    <n v="6"/>
    <n v="9"/>
    <m/>
    <s v="C"/>
    <s v="S"/>
    <s v="un fuste"/>
    <n v="10"/>
    <n v="5"/>
    <m/>
    <m/>
    <m/>
    <m/>
  </r>
  <r>
    <n v="5"/>
    <x v="0"/>
    <n v="3"/>
    <n v="21"/>
    <n v="22"/>
    <s v="Burseraceae"/>
    <x v="43"/>
    <s v="Chacah"/>
    <n v="17"/>
    <n v="5.4112680651244416"/>
    <n v="4"/>
    <n v="6"/>
    <m/>
    <s v="C"/>
    <s v="S"/>
    <s v="un fuste"/>
    <n v="5"/>
    <n v="5"/>
    <m/>
    <m/>
    <m/>
    <m/>
  </r>
  <r>
    <n v="10"/>
    <x v="0"/>
    <n v="2"/>
    <n v="22"/>
    <n v="22"/>
    <s v="Burseraceae"/>
    <x v="43"/>
    <s v="Chacah"/>
    <n v="18"/>
    <n v="5.7295779513082321"/>
    <n v="6"/>
    <n v="9"/>
    <m/>
    <s v="C"/>
    <s v="S"/>
    <s v="un fuste"/>
    <n v="10"/>
    <n v="5"/>
    <m/>
    <m/>
    <m/>
    <m/>
  </r>
  <r>
    <n v="2"/>
    <x v="2"/>
    <n v="2"/>
    <n v="22"/>
    <n v="23"/>
    <s v="Burseraceae"/>
    <x v="43"/>
    <s v="Chacah"/>
    <n v="34"/>
    <n v="10.822536130248883"/>
    <n v="8"/>
    <n v="12"/>
    <m/>
    <s v="C"/>
    <s v="S"/>
    <s v="un fuste"/>
    <n v="12.5"/>
    <n v="10"/>
    <n v="12"/>
    <s v="Vol = Exp(-9.63573531+1.90246451*LN(DIAMETRO)+0.97875991*LN(ALTURATOTAL))"/>
    <n v="6.9069603606235472E-2"/>
    <n v="9.1991557107115509E-3"/>
  </r>
  <r>
    <n v="5"/>
    <x v="0"/>
    <n v="4"/>
    <n v="22"/>
    <n v="23"/>
    <s v="Burseraceae"/>
    <x v="43"/>
    <s v="Chacah"/>
    <n v="30.5"/>
    <n v="9.7084515286056163"/>
    <n v="6"/>
    <n v="11"/>
    <m/>
    <s v="C"/>
    <s v="S"/>
    <s v="un fuste"/>
    <n v="10"/>
    <n v="10"/>
    <m/>
    <m/>
    <m/>
    <m/>
  </r>
  <r>
    <n v="6"/>
    <x v="0"/>
    <n v="4"/>
    <n v="21"/>
    <n v="24"/>
    <s v="Burseraceae"/>
    <x v="43"/>
    <s v="Chacah"/>
    <n v="24"/>
    <n v="7.6394372684109761"/>
    <n v="5"/>
    <n v="8"/>
    <m/>
    <s v="C"/>
    <s v="S"/>
    <s v="un fuste"/>
    <n v="7.5"/>
    <n v="10"/>
    <m/>
    <m/>
    <m/>
    <m/>
  </r>
  <r>
    <n v="11"/>
    <x v="0"/>
    <n v="3"/>
    <n v="24"/>
    <n v="24"/>
    <s v="Burseraceae"/>
    <x v="43"/>
    <s v="Chacah"/>
    <n v="25"/>
    <n v="7.9577471545947667"/>
    <n v="3"/>
    <n v="7"/>
    <m/>
    <s v="C"/>
    <s v="S"/>
    <s v="un fuste"/>
    <n v="7.5"/>
    <n v="10"/>
    <m/>
    <m/>
    <m/>
    <m/>
  </r>
  <r>
    <n v="10"/>
    <x v="0"/>
    <n v="2"/>
    <n v="25"/>
    <n v="25"/>
    <s v="Burseraceae"/>
    <x v="43"/>
    <s v="Chacah"/>
    <n v="30"/>
    <n v="9.5492965855137211"/>
    <n v="3.5"/>
    <n v="8.5"/>
    <m/>
    <s v="C"/>
    <s v="S"/>
    <s v="un fuste"/>
    <n v="7.5"/>
    <n v="10"/>
    <m/>
    <m/>
    <m/>
    <m/>
  </r>
  <r>
    <n v="2"/>
    <x v="2"/>
    <n v="2"/>
    <n v="25"/>
    <n v="26"/>
    <s v="Burseraceae"/>
    <x v="43"/>
    <s v="Chacah"/>
    <n v="33"/>
    <n v="10.504226244065093"/>
    <n v="4"/>
    <n v="8"/>
    <m/>
    <s v="C"/>
    <s v="SD"/>
    <s v="un fuste"/>
    <n v="7.5"/>
    <n v="10"/>
    <n v="12"/>
    <s v="Vol = Exp(-9.63573531+1.90246451*LN(DIAMETRO)+0.97875991*LN(ALTURATOTAL))"/>
    <n v="4.3880391105574526E-2"/>
    <n v="8.6659866513537007E-3"/>
  </r>
  <r>
    <n v="7"/>
    <x v="2"/>
    <n v="3"/>
    <n v="23"/>
    <n v="26"/>
    <s v="Burseraceae"/>
    <x v="43"/>
    <s v="Chacah"/>
    <n v="35.5"/>
    <n v="11.300000959524569"/>
    <n v="8"/>
    <n v="12"/>
    <m/>
    <s v="C"/>
    <s v="S"/>
    <s v="un fuste"/>
    <n v="12.5"/>
    <n v="10"/>
    <n v="12"/>
    <s v="Vol = Exp(-9.63573531+1.90246451*LN(DIAMETRO)+0.97875991*LN(ALTURATOTAL))"/>
    <n v="7.4982013806505501E-2"/>
    <n v="1.0028750851578054E-2"/>
  </r>
  <r>
    <n v="5"/>
    <x v="0"/>
    <n v="4"/>
    <n v="24"/>
    <n v="26"/>
    <s v="Burseraceae"/>
    <x v="43"/>
    <s v="Chacah"/>
    <n v="23"/>
    <n v="7.3211273822271856"/>
    <n v="3"/>
    <n v="9"/>
    <m/>
    <s v="C"/>
    <s v="S"/>
    <s v="un fuste"/>
    <n v="10"/>
    <n v="5"/>
    <m/>
    <m/>
    <m/>
    <m/>
  </r>
  <r>
    <n v="10"/>
    <x v="0"/>
    <n v="2"/>
    <n v="26"/>
    <n v="26"/>
    <s v="Burseraceae"/>
    <x v="43"/>
    <s v="Chacah"/>
    <n v="28"/>
    <n v="8.91267681314614"/>
    <n v="4.5"/>
    <n v="8.5"/>
    <m/>
    <s v="C"/>
    <s v="S"/>
    <s v="un fuste"/>
    <n v="7.5"/>
    <n v="10"/>
    <m/>
    <m/>
    <m/>
    <m/>
  </r>
  <r>
    <n v="1"/>
    <x v="2"/>
    <n v="4"/>
    <n v="24"/>
    <n v="27"/>
    <s v="Burseraceae"/>
    <x v="43"/>
    <s v="Chacah"/>
    <n v="33"/>
    <n v="10.504226244065093"/>
    <n v="6"/>
    <n v="10"/>
    <m/>
    <s v="C"/>
    <s v="S"/>
    <s v="un fuste"/>
    <n v="10"/>
    <n v="10"/>
    <n v="12"/>
    <s v="Vol = Exp(-9.63573531+1.90246451*LN(DIAMETRO)+0.97875991*LN(ALTURATOTAL))"/>
    <n v="5.4591135202470997E-2"/>
    <n v="8.6659866513537007E-3"/>
  </r>
  <r>
    <n v="2"/>
    <x v="2"/>
    <n v="2"/>
    <n v="26"/>
    <n v="27"/>
    <s v="Burseraceae"/>
    <x v="43"/>
    <s v="Chacah"/>
    <n v="46"/>
    <n v="14.642254764454371"/>
    <n v="6"/>
    <n v="12"/>
    <m/>
    <s v="C"/>
    <s v="S"/>
    <s v="un fuste"/>
    <n v="12.5"/>
    <n v="15"/>
    <n v="12"/>
    <s v="Vol = Exp(-9.63573531+1.90246451*LN(DIAMETRO)+0.97875991*LN(ALTURATOTAL))"/>
    <n v="0.12275535302141567"/>
    <n v="1.6838592979122526E-2"/>
  </r>
  <r>
    <n v="7"/>
    <x v="2"/>
    <n v="3"/>
    <n v="24"/>
    <n v="27"/>
    <s v="Burseraceae"/>
    <x v="43"/>
    <s v="Chacah"/>
    <n v="40"/>
    <n v="12.732395447351628"/>
    <n v="6"/>
    <n v="11"/>
    <m/>
    <s v="C"/>
    <s v="S"/>
    <s v="un fuste"/>
    <n v="10"/>
    <n v="15"/>
    <n v="12"/>
    <s v="Vol = Exp(-9.63573531+1.90246451*LN(DIAMETRO)+0.97875991*LN(ALTURATOTAL))"/>
    <n v="8.6412988306268909E-2"/>
    <n v="1.2732395447351628E-2"/>
  </r>
  <r>
    <n v="9"/>
    <x v="0"/>
    <n v="2"/>
    <n v="27"/>
    <n v="27"/>
    <s v="Burseraceae"/>
    <x v="43"/>
    <s v="Chacah"/>
    <n v="19"/>
    <n v="6.0478878374920226"/>
    <n v="6"/>
    <n v="8"/>
    <m/>
    <s v="C"/>
    <s v="S"/>
    <s v="un fuste"/>
    <n v="7.5"/>
    <n v="5"/>
    <m/>
    <m/>
    <m/>
    <m/>
  </r>
  <r>
    <n v="11"/>
    <x v="0"/>
    <n v="3"/>
    <n v="27"/>
    <n v="27"/>
    <s v="Burseraceae"/>
    <x v="43"/>
    <s v="Chacah"/>
    <n v="24"/>
    <n v="7.6394372684109761"/>
    <n v="7"/>
    <n v="8.5"/>
    <m/>
    <s v="C"/>
    <s v="S"/>
    <s v="un fuste"/>
    <n v="7.5"/>
    <n v="10"/>
    <m/>
    <m/>
    <m/>
    <m/>
  </r>
  <r>
    <n v="6"/>
    <x v="0"/>
    <n v="4"/>
    <n v="25"/>
    <n v="28"/>
    <s v="Burseraceae"/>
    <x v="43"/>
    <s v="Chacah"/>
    <n v="22"/>
    <n v="7.0028174960433951"/>
    <n v="6"/>
    <n v="9"/>
    <m/>
    <s v="C"/>
    <s v="S"/>
    <s v="un fuste"/>
    <n v="10"/>
    <n v="5"/>
    <m/>
    <m/>
    <m/>
    <m/>
  </r>
  <r>
    <n v="9"/>
    <x v="0"/>
    <n v="2"/>
    <n v="28"/>
    <n v="28"/>
    <s v="Burseraceae"/>
    <x v="43"/>
    <s v="Chacah"/>
    <n v="21.5"/>
    <n v="6.8436625529514998"/>
    <n v="5.5"/>
    <n v="9"/>
    <m/>
    <s v="C"/>
    <s v="S"/>
    <s v="un fuste"/>
    <n v="10"/>
    <n v="5"/>
    <m/>
    <m/>
    <m/>
    <m/>
  </r>
  <r>
    <n v="5"/>
    <x v="0"/>
    <n v="4"/>
    <n v="27"/>
    <n v="29"/>
    <s v="Burseraceae"/>
    <x v="43"/>
    <s v="Chacah"/>
    <n v="18"/>
    <n v="5.7295779513082321"/>
    <n v="4"/>
    <n v="6"/>
    <m/>
    <s v="C"/>
    <s v="S"/>
    <s v="un fuste"/>
    <n v="5"/>
    <n v="5"/>
    <m/>
    <m/>
    <m/>
    <m/>
  </r>
  <r>
    <n v="9"/>
    <x v="0"/>
    <n v="3"/>
    <n v="29"/>
    <n v="29"/>
    <s v="Burseraceae"/>
    <x v="43"/>
    <s v="Chacah"/>
    <n v="17"/>
    <n v="5.4112680651244416"/>
    <n v="6"/>
    <n v="8.5"/>
    <m/>
    <s v="C"/>
    <s v="S"/>
    <s v="un fuste"/>
    <n v="7.5"/>
    <n v="5"/>
    <m/>
    <m/>
    <m/>
    <m/>
  </r>
  <r>
    <n v="2"/>
    <x v="2"/>
    <n v="2"/>
    <n v="29"/>
    <n v="30"/>
    <s v="Burseraceae"/>
    <x v="43"/>
    <s v="Chacah"/>
    <n v="48.5"/>
    <n v="15.438029479913848"/>
    <n v="8"/>
    <n v="13"/>
    <m/>
    <s v="C"/>
    <s v="S"/>
    <s v="un fuste"/>
    <n v="12.5"/>
    <n v="15"/>
    <n v="12"/>
    <s v="Vol = Exp(-9.63573531+1.90246451*LN(DIAMETRO)+0.97875991*LN(ALTURATOTAL))"/>
    <n v="0.14682170489643562"/>
    <n v="1.8718610744395538E-2"/>
  </r>
  <r>
    <n v="1"/>
    <x v="2"/>
    <n v="4"/>
    <n v="28"/>
    <n v="31"/>
    <s v="Burseraceae"/>
    <x v="43"/>
    <s v="Chacah"/>
    <n v="34"/>
    <n v="10.822536130248883"/>
    <n v="6"/>
    <n v="9"/>
    <m/>
    <s v="C"/>
    <s v="S"/>
    <s v="un fuste"/>
    <n v="10"/>
    <n v="10"/>
    <n v="12"/>
    <s v="Vol = Exp(-9.63573531+1.90246451*LN(DIAMETRO)+0.97875991*LN(ALTURATOTAL))"/>
    <n v="5.2119703566845706E-2"/>
    <n v="9.1991557107115509E-3"/>
  </r>
  <r>
    <n v="9"/>
    <x v="0"/>
    <n v="3"/>
    <n v="31"/>
    <n v="31"/>
    <s v="Burseraceae"/>
    <x v="43"/>
    <s v="Chacah"/>
    <n v="16.5"/>
    <n v="5.2521131220325463"/>
    <n v="4"/>
    <n v="8"/>
    <m/>
    <s v="C"/>
    <s v="S"/>
    <s v="un fuste"/>
    <n v="7.5"/>
    <n v="5"/>
    <m/>
    <m/>
    <m/>
    <m/>
  </r>
  <r>
    <n v="7"/>
    <x v="2"/>
    <n v="3"/>
    <n v="30"/>
    <n v="33"/>
    <s v="Burseraceae"/>
    <x v="43"/>
    <s v="Chacah"/>
    <n v="45.5"/>
    <n v="14.483099821362476"/>
    <n v="7"/>
    <n v="14"/>
    <m/>
    <s v="C"/>
    <s v="S"/>
    <s v="un fuste"/>
    <n v="15"/>
    <n v="15"/>
    <n v="12"/>
    <s v="Vol = Exp(-9.63573531+1.90246451*LN(DIAMETRO)+0.97875991*LN(ALTURATOTAL))"/>
    <n v="0.13980907076420018"/>
    <n v="1.6474526046799814E-2"/>
  </r>
  <r>
    <n v="11"/>
    <x v="0"/>
    <n v="3"/>
    <n v="33"/>
    <n v="33"/>
    <s v="Burseraceae"/>
    <x v="43"/>
    <s v="Chacah"/>
    <n v="20.5"/>
    <n v="6.5253526667677093"/>
    <n v="7"/>
    <n v="8.5"/>
    <m/>
    <s v="C"/>
    <s v="S"/>
    <s v="un fuste"/>
    <n v="7.5"/>
    <n v="5"/>
    <m/>
    <m/>
    <m/>
    <m/>
  </r>
  <r>
    <n v="12"/>
    <x v="0"/>
    <n v="3"/>
    <n v="21"/>
    <n v="33"/>
    <s v="Burseraceae"/>
    <x v="43"/>
    <s v="Chacah"/>
    <n v="22"/>
    <n v="7.0028174960433951"/>
    <n v="8"/>
    <n v="9"/>
    <m/>
    <s v="C"/>
    <s v="S"/>
    <s v="un fuste"/>
    <n v="10"/>
    <n v="5"/>
    <m/>
    <m/>
    <m/>
    <m/>
  </r>
  <r>
    <n v="7"/>
    <x v="2"/>
    <n v="3"/>
    <n v="32"/>
    <n v="35"/>
    <s v="Burseraceae"/>
    <x v="43"/>
    <s v="Chacah"/>
    <n v="33"/>
    <n v="10.504226244065093"/>
    <n v="9"/>
    <n v="12"/>
    <m/>
    <s v="C"/>
    <s v="S"/>
    <s v="un fuste"/>
    <n v="12.5"/>
    <n v="10"/>
    <n v="12"/>
    <s v="Vol = Exp(-9.63573531+1.90246451*LN(DIAMETRO)+0.97875991*LN(ALTURATOTAL))"/>
    <n v="6.5256166087208245E-2"/>
    <n v="8.6659866513537007E-3"/>
  </r>
  <r>
    <n v="5"/>
    <x v="2"/>
    <n v="4"/>
    <n v="35"/>
    <n v="37"/>
    <s v="Burseraceae"/>
    <x v="43"/>
    <s v="Chacah"/>
    <n v="34"/>
    <n v="10.822536130248883"/>
    <n v="7"/>
    <n v="10"/>
    <m/>
    <s v="C"/>
    <s v="S"/>
    <s v="un fuste"/>
    <n v="10"/>
    <n v="10"/>
    <n v="12"/>
    <s v="Vol = Exp(-9.63573531+1.90246451*LN(DIAMETRO)+0.97875991*LN(ALTURATOTAL))"/>
    <n v="5.7781330024967617E-2"/>
    <n v="9.1991557107115509E-3"/>
  </r>
  <r>
    <n v="9"/>
    <x v="0"/>
    <n v="3"/>
    <n v="37"/>
    <n v="37"/>
    <s v="Burseraceae"/>
    <x v="43"/>
    <s v="Chacah"/>
    <n v="17.5"/>
    <n v="5.5704230082163368"/>
    <n v="8"/>
    <n v="10"/>
    <m/>
    <s v="C"/>
    <s v="S"/>
    <s v="un fuste"/>
    <n v="10"/>
    <n v="5"/>
    <m/>
    <m/>
    <m/>
    <m/>
  </r>
  <r>
    <n v="10"/>
    <x v="0"/>
    <n v="4"/>
    <n v="38"/>
    <n v="38"/>
    <s v="Burseraceae"/>
    <x v="43"/>
    <s v="Chacah"/>
    <n v="26"/>
    <n v="8.2760570407785572"/>
    <n v="5.5"/>
    <n v="10"/>
    <m/>
    <s v="C"/>
    <s v="S"/>
    <s v="un fuste"/>
    <n v="10"/>
    <n v="10"/>
    <m/>
    <m/>
    <m/>
    <m/>
  </r>
  <r>
    <n v="12"/>
    <x v="0"/>
    <n v="4"/>
    <n v="28"/>
    <n v="40"/>
    <s v="Burseraceae"/>
    <x v="43"/>
    <s v="Chacah"/>
    <n v="20.5"/>
    <n v="6.5253526667677093"/>
    <n v="2"/>
    <n v="9"/>
    <m/>
    <s v="C"/>
    <s v="S"/>
    <s v="un fuste"/>
    <n v="10"/>
    <n v="5"/>
    <m/>
    <m/>
    <m/>
    <m/>
  </r>
  <r>
    <n v="2"/>
    <x v="2"/>
    <n v="3"/>
    <n v="39"/>
    <n v="41"/>
    <s v="Burseraceae"/>
    <x v="43"/>
    <s v="Chacah"/>
    <n v="36.5"/>
    <n v="11.618310845708359"/>
    <n v="4"/>
    <n v="9"/>
    <m/>
    <s v="C"/>
    <s v="S"/>
    <s v="un fuste"/>
    <n v="10"/>
    <n v="10"/>
    <n v="12"/>
    <s v="Vol = Exp(-9.63573531+1.90246451*LN(DIAMETRO)+0.97875991*LN(ALTURATOTAL))"/>
    <n v="5.9651913351807223E-2"/>
    <n v="1.0601708646708877E-2"/>
  </r>
  <r>
    <n v="2"/>
    <x v="2"/>
    <n v="3"/>
    <n v="40"/>
    <n v="42"/>
    <s v="Burseraceae"/>
    <x v="43"/>
    <s v="Chacah"/>
    <n v="45"/>
    <n v="14.323944878270581"/>
    <n v="5"/>
    <n v="10"/>
    <m/>
    <s v="C"/>
    <s v="S"/>
    <s v="un fuste"/>
    <n v="10"/>
    <n v="15"/>
    <n v="12"/>
    <s v="Vol = Exp(-9.63573531+1.90246451*LN(DIAMETRO)+0.97875991*LN(ALTURATOTAL))"/>
    <n v="9.8487560842440897E-2"/>
    <n v="1.6114437988054401E-2"/>
  </r>
  <r>
    <n v="8"/>
    <x v="2"/>
    <n v="3"/>
    <n v="37"/>
    <n v="42"/>
    <s v="Burseraceae"/>
    <x v="43"/>
    <s v="Chacah"/>
    <n v="40"/>
    <n v="12.732395447351628"/>
    <n v="9"/>
    <n v="12"/>
    <m/>
    <s v="C"/>
    <s v="S"/>
    <s v="un fuste"/>
    <n v="12.5"/>
    <n v="15"/>
    <n v="12"/>
    <s v="Vol = Exp(-9.63573531+1.90246451*LN(DIAMETRO)+0.97875991*LN(ALTURATOTAL))"/>
    <n v="9.4094654617910181E-2"/>
    <n v="1.2732395447351628E-2"/>
  </r>
  <r>
    <n v="7"/>
    <x v="2"/>
    <n v="4"/>
    <n v="42"/>
    <n v="45"/>
    <s v="Burseraceae"/>
    <x v="43"/>
    <s v="Chacah"/>
    <n v="53"/>
    <n v="16.870423967740905"/>
    <n v="5.5"/>
    <n v="12"/>
    <m/>
    <s v="C"/>
    <s v="S"/>
    <s v="un fuste"/>
    <n v="12.5"/>
    <n v="15"/>
    <n v="12"/>
    <s v="Vol = Exp(-9.63573531+1.90246451*LN(DIAMETRO)+0.97875991*LN(ALTURATOTAL))"/>
    <n v="0.1607223683694381"/>
    <n v="2.2353311757256696E-2"/>
  </r>
  <r>
    <n v="9"/>
    <x v="0"/>
    <n v="4"/>
    <n v="45"/>
    <n v="45"/>
    <s v="Burseraceae"/>
    <x v="43"/>
    <s v="Chacah"/>
    <n v="18"/>
    <n v="5.7295779513082321"/>
    <n v="4.5"/>
    <n v="6"/>
    <m/>
    <s v="C"/>
    <s v="S"/>
    <s v="un fuste"/>
    <n v="5"/>
    <n v="5"/>
    <m/>
    <m/>
    <m/>
    <m/>
  </r>
  <r>
    <n v="9"/>
    <x v="0"/>
    <n v="4"/>
    <n v="47"/>
    <n v="47"/>
    <s v="Burseraceae"/>
    <x v="43"/>
    <s v="Chacah"/>
    <n v="17.5"/>
    <n v="5.5704230082163368"/>
    <n v="2.5"/>
    <n v="7"/>
    <m/>
    <s v="C"/>
    <s v="S"/>
    <s v="un fuste"/>
    <n v="7.5"/>
    <n v="5"/>
    <m/>
    <m/>
    <m/>
    <m/>
  </r>
  <r>
    <n v="4"/>
    <x v="2"/>
    <n v="4"/>
    <n v="46"/>
    <n v="48"/>
    <s v="Burseraceae"/>
    <x v="43"/>
    <s v="Chacah"/>
    <n v="42.5"/>
    <n v="13.528170162811104"/>
    <n v="6"/>
    <n v="11"/>
    <m/>
    <s v="C"/>
    <s v="S"/>
    <s v="un fuste"/>
    <n v="10"/>
    <n v="15"/>
    <n v="12"/>
    <s v="Vol = Exp(-9.63573531+1.90246451*LN(DIAMETRO)+0.97875991*LN(ALTURATOTAL))"/>
    <n v="9.6977033610609026E-2"/>
    <n v="1.43736807979868E-2"/>
  </r>
  <r>
    <n v="2"/>
    <x v="2"/>
    <n v="3"/>
    <n v="48"/>
    <n v="52"/>
    <s v="Burseraceae"/>
    <x v="43"/>
    <s v="Chacah"/>
    <n v="32"/>
    <n v="10.185916357881302"/>
    <n v="6"/>
    <n v="9"/>
    <m/>
    <s v="C"/>
    <s v="S"/>
    <s v="un fuste"/>
    <n v="10"/>
    <n v="10"/>
    <n v="12"/>
    <s v="Vol = Exp(-9.63573531+1.90246451*LN(DIAMETRO)+0.97875991*LN(ALTURATOTAL))"/>
    <n v="4.6442123120946172E-2"/>
    <n v="8.1487330863050413E-3"/>
  </r>
  <r>
    <n v="8"/>
    <x v="2"/>
    <n v="4"/>
    <n v="49"/>
    <n v="54"/>
    <s v="Burseraceae"/>
    <x v="43"/>
    <s v="Chacah"/>
    <n v="33"/>
    <n v="10.504226244065093"/>
    <n v="8"/>
    <n v="12"/>
    <m/>
    <s v="C"/>
    <s v="S"/>
    <s v="un fuste"/>
    <n v="12.5"/>
    <n v="10"/>
    <n v="12"/>
    <s v="Vol = Exp(-9.63573531+1.90246451*LN(DIAMETRO)+0.97875991*LN(ALTURATOTAL))"/>
    <n v="6.5256166087208245E-2"/>
    <n v="8.6659866513537007E-3"/>
  </r>
  <r>
    <n v="4"/>
    <x v="2"/>
    <n v="4"/>
    <n v="54"/>
    <n v="56"/>
    <s v="Burseraceae"/>
    <x v="43"/>
    <s v="Chacah"/>
    <n v="49"/>
    <n v="15.597184423005743"/>
    <n v="4"/>
    <n v="13"/>
    <m/>
    <s v="C"/>
    <s v="S"/>
    <s v="un fuste"/>
    <n v="12.5"/>
    <n v="15"/>
    <n v="12"/>
    <s v="Vol = Exp(-9.63573531+1.90246451*LN(DIAMETRO)+0.97875991*LN(ALTURATOTAL))"/>
    <n v="0.14971471547100634"/>
    <n v="1.9106550918182034E-2"/>
  </r>
  <r>
    <n v="2"/>
    <x v="2"/>
    <n v="4"/>
    <n v="52"/>
    <n v="57"/>
    <s v="Burseraceae"/>
    <x v="43"/>
    <s v="Chacah"/>
    <n v="36"/>
    <n v="11.459155902616464"/>
    <n v="4"/>
    <n v="10"/>
    <m/>
    <s v="C"/>
    <s v="S"/>
    <s v="un fuste"/>
    <n v="10"/>
    <n v="10"/>
    <n v="12"/>
    <s v="Vol = Exp(-9.63573531+1.90246451*LN(DIAMETRO)+0.97875991*LN(ALTURATOTAL))"/>
    <n v="6.4418932145957952E-2"/>
    <n v="1.0313240312354817E-2"/>
  </r>
  <r>
    <n v="8"/>
    <x v="2"/>
    <n v="4"/>
    <n v="54"/>
    <n v="59"/>
    <s v="Burseraceae"/>
    <x v="43"/>
    <s v="Chacah"/>
    <n v="34.5"/>
    <n v="10.981691073340778"/>
    <n v="8"/>
    <n v="12"/>
    <m/>
    <s v="C"/>
    <s v="S"/>
    <s v="un fuste"/>
    <n v="12.5"/>
    <n v="10"/>
    <n v="12"/>
    <s v="Vol = Exp(-9.63573531+1.90246451*LN(DIAMETRO)+0.97875991*LN(ALTURATOTAL))"/>
    <n v="7.1014809646230373E-2"/>
    <n v="9.4717085507564219E-3"/>
  </r>
  <r>
    <n v="8"/>
    <x v="2"/>
    <n v="4"/>
    <n v="55"/>
    <n v="60"/>
    <s v="Burseraceae"/>
    <x v="43"/>
    <s v="Chacah"/>
    <n v="47.5"/>
    <n v="15.119719593730057"/>
    <n v="3"/>
    <n v="10"/>
    <m/>
    <s v="C"/>
    <s v="S"/>
    <s v="un fuste"/>
    <n v="10"/>
    <n v="15"/>
    <n v="12"/>
    <s v="Vol = Exp(-9.63573531+1.90246451*LN(DIAMETRO)+0.97875991*LN(ALTURATOTAL))"/>
    <n v="0.10915743783971928"/>
    <n v="1.7954667017554441E-2"/>
  </r>
  <r>
    <n v="2"/>
    <x v="2"/>
    <n v="4"/>
    <n v="55"/>
    <n v="61"/>
    <s v="Burseraceae"/>
    <x v="43"/>
    <s v="Chacah"/>
    <n v="38"/>
    <n v="12.095775674984045"/>
    <n v="4"/>
    <n v="9"/>
    <m/>
    <s v="C"/>
    <s v="S"/>
    <s v="un fuste"/>
    <n v="10"/>
    <n v="10"/>
    <n v="12"/>
    <s v="Vol = Exp(-9.63573531+1.90246451*LN(DIAMETRO)+0.97875991*LN(ALTURATOTAL))"/>
    <n v="6.4402077256596954E-2"/>
    <n v="1.1490986891234843E-2"/>
  </r>
  <r>
    <n v="8"/>
    <x v="2"/>
    <n v="4"/>
    <n v="58"/>
    <n v="65"/>
    <s v="Burseraceae"/>
    <x v="43"/>
    <s v="Chacah"/>
    <n v="35.5"/>
    <n v="11.300000959524569"/>
    <n v="7"/>
    <n v="13"/>
    <m/>
    <s v="C"/>
    <s v="S"/>
    <s v="un fuste"/>
    <n v="12.5"/>
    <n v="10"/>
    <n v="12"/>
    <s v="Vol = Exp(-9.63573531+1.90246451*LN(DIAMETRO)+0.97875991*LN(ALTURATOTAL))"/>
    <n v="8.1092531123149361E-2"/>
    <n v="1.0028750851578054E-2"/>
  </r>
  <r>
    <n v="2"/>
    <x v="0"/>
    <n v="1"/>
    <n v="1"/>
    <n v="1"/>
    <s v="Anacardiaceae"/>
    <x v="25"/>
    <s v="Chechem"/>
    <n v="21.5"/>
    <n v="6.8436625529514998"/>
    <n v="5"/>
    <n v="8"/>
    <m/>
    <s v="C"/>
    <s v="S"/>
    <s v="un fuste"/>
    <n v="7.5"/>
    <n v="5"/>
    <m/>
    <m/>
    <m/>
    <m/>
  </r>
  <r>
    <n v="8"/>
    <x v="0"/>
    <n v="1"/>
    <n v="1"/>
    <n v="1"/>
    <s v="Anacardiaceae"/>
    <x v="25"/>
    <s v="Chechem"/>
    <n v="30"/>
    <n v="9.5492965855137211"/>
    <n v="5.5"/>
    <n v="10"/>
    <m/>
    <s v="C"/>
    <s v="S"/>
    <s v="un fuste"/>
    <n v="10"/>
    <n v="10"/>
    <m/>
    <m/>
    <m/>
    <m/>
  </r>
  <r>
    <n v="1"/>
    <x v="2"/>
    <n v="1"/>
    <n v="2"/>
    <n v="2"/>
    <s v="Anacardiaceae"/>
    <x v="25"/>
    <s v="Chechem"/>
    <n v="70"/>
    <n v="22.281692032865347"/>
    <n v="3.5"/>
    <n v="12"/>
    <m/>
    <s v="C"/>
    <s v="S"/>
    <s v="un fuste"/>
    <n v="12.5"/>
    <n v="20"/>
    <n v="15"/>
    <s v="Vol = Exp(-9.45441486+1.86841300*LN(DIAMETRO)+0.93163520*LN(ALTURATOTAL))"/>
    <n v="0.26177424267000488"/>
    <n v="3.8992961057514354E-2"/>
  </r>
  <r>
    <n v="3"/>
    <x v="2"/>
    <n v="1"/>
    <n v="2"/>
    <n v="2"/>
    <s v="Anacardiaceae"/>
    <x v="25"/>
    <s v="Chechem"/>
    <n v="44"/>
    <n v="14.00563499208679"/>
    <n v="6"/>
    <n v="10"/>
    <m/>
    <s v="C"/>
    <s v="S"/>
    <s v="un fuste"/>
    <n v="10"/>
    <n v="15"/>
    <n v="15"/>
    <s v="Vol = Exp(-9.45441486+1.86841300*LN(DIAMETRO)+0.93163520*LN(ALTURATOTAL))"/>
    <n v="9.2768825280786782E-2"/>
    <n v="1.5406198491295471E-2"/>
  </r>
  <r>
    <n v="1"/>
    <x v="2"/>
    <n v="1"/>
    <n v="3"/>
    <n v="3"/>
    <s v="Anacardiaceae"/>
    <x v="25"/>
    <s v="Chechem"/>
    <n v="60"/>
    <n v="19.098593171027442"/>
    <n v="6"/>
    <n v="13"/>
    <m/>
    <s v="CB"/>
    <s v="S"/>
    <s v="un fuste"/>
    <n v="12.5"/>
    <n v="20"/>
    <n v="15"/>
    <s v="Vol = Exp(-9.45441486+1.86841300*LN(DIAMETRO)+0.93163520*LN(ALTURATOTAL))"/>
    <n v="0.21146001641603238"/>
    <n v="2.8647889756541162E-2"/>
  </r>
  <r>
    <n v="1"/>
    <x v="2"/>
    <n v="1"/>
    <s v="3A"/>
    <n v="4"/>
    <s v="Anacardiaceae"/>
    <x v="25"/>
    <s v="Chechem"/>
    <n v="71"/>
    <n v="22.600001919049138"/>
    <n v="7.5"/>
    <n v="14"/>
    <m/>
    <s v="C"/>
    <s v="S"/>
    <e v="#VALUE!"/>
    <n v="15"/>
    <n v="25"/>
    <n v="15"/>
    <s v="Vol = Exp(-9.45441486+1.86841300*LN(DIAMETRO)+0.93163520*LN(ALTURATOTAL))"/>
    <n v="0.31031795060100054"/>
    <n v="4.0115003406312216E-2"/>
  </r>
  <r>
    <n v="7"/>
    <x v="1"/>
    <m/>
    <n v="22"/>
    <n v="22"/>
    <s v="Rubiaceae"/>
    <x v="14"/>
    <s v="ka’an chak che"/>
    <m/>
    <m/>
    <m/>
    <n v="0.7"/>
    <e v="#REF!"/>
    <m/>
    <s v="S"/>
    <s v="un fuste"/>
    <n v="2.5"/>
    <n v="5"/>
    <m/>
    <m/>
    <m/>
    <m/>
  </r>
  <r>
    <n v="3"/>
    <x v="2"/>
    <n v="1"/>
    <n v="5"/>
    <n v="5"/>
    <s v="Anacardiaceae"/>
    <x v="25"/>
    <s v="Chechem"/>
    <n v="35.5"/>
    <n v="11.300000959524569"/>
    <n v="6"/>
    <n v="10"/>
    <m/>
    <s v="C"/>
    <s v="S"/>
    <s v="un fuste"/>
    <n v="10"/>
    <n v="10"/>
    <n v="15"/>
    <s v="Vol = Exp(-9.45441486+1.86841300*LN(DIAMETRO)+0.93163520*LN(ALTURATOTAL))"/>
    <n v="6.2118436965634988E-2"/>
    <n v="1.0028750851578054E-2"/>
  </r>
  <r>
    <n v="1"/>
    <x v="2"/>
    <n v="2"/>
    <n v="5"/>
    <n v="6"/>
    <s v="Anacardiaceae"/>
    <x v="25"/>
    <s v="Chechem"/>
    <n v="54"/>
    <n v="17.188733853924695"/>
    <n v="6"/>
    <n v="13"/>
    <m/>
    <s v="C"/>
    <s v="S"/>
    <s v="un fuste"/>
    <n v="12.5"/>
    <n v="15"/>
    <n v="15"/>
    <s v="Vol = Exp(-9.45441486+1.86841300*LN(DIAMETRO)+0.93163520*LN(ALTURATOTAL))"/>
    <n v="0.17367382582472168"/>
    <n v="2.3204790702798336E-2"/>
  </r>
  <r>
    <n v="7"/>
    <x v="0"/>
    <n v="3"/>
    <n v="6"/>
    <n v="6"/>
    <s v="Anacardiaceae"/>
    <x v="25"/>
    <s v="Chechem"/>
    <n v="24"/>
    <n v="7.6394372684109761"/>
    <n v="8"/>
    <n v="12"/>
    <m/>
    <s v="C"/>
    <s v="S"/>
    <s v="un fuste"/>
    <n v="12.5"/>
    <n v="10"/>
    <m/>
    <m/>
    <m/>
    <m/>
  </r>
  <r>
    <n v="1"/>
    <x v="2"/>
    <n v="2"/>
    <n v="6"/>
    <n v="7"/>
    <s v="Anacardiaceae"/>
    <x v="25"/>
    <s v="Chechem"/>
    <n v="32"/>
    <n v="10.185916357881302"/>
    <n v="4"/>
    <n v="7.5"/>
    <m/>
    <s v="C"/>
    <s v="S"/>
    <s v="un fuste"/>
    <n v="7.5"/>
    <n v="10"/>
    <n v="15"/>
    <s v="Vol = Exp(-9.45441486+1.86841300*LN(DIAMETRO)+0.93163520*LN(ALTURATOTAL))"/>
    <n v="3.9137958929067379E-2"/>
    <n v="8.1487330863050413E-3"/>
  </r>
  <r>
    <n v="6"/>
    <x v="2"/>
    <n v="2"/>
    <n v="6"/>
    <n v="7"/>
    <s v="Anacardiaceae"/>
    <x v="25"/>
    <s v="Chechem"/>
    <n v="32.5"/>
    <n v="10.345071300973197"/>
    <n v="8"/>
    <n v="11"/>
    <m/>
    <s v="C"/>
    <s v="S"/>
    <s v="un fuste"/>
    <n v="10"/>
    <n v="10"/>
    <n v="15"/>
    <s v="Vol = Exp(-9.45441486+1.86841300*LN(DIAMETRO)+0.93163520*LN(ALTURATOTAL))"/>
    <n v="5.7562430110280276E-2"/>
    <n v="8.4053704320407232E-3"/>
  </r>
  <r>
    <n v="7"/>
    <x v="1"/>
    <m/>
    <n v="23"/>
    <n v="23"/>
    <s v="Moraceae"/>
    <x v="45"/>
    <s v="Ramón"/>
    <m/>
    <m/>
    <m/>
    <n v="0.3"/>
    <e v="#REF!"/>
    <m/>
    <s v="S"/>
    <s v="un fuste"/>
    <n v="2.5"/>
    <n v="5"/>
    <m/>
    <m/>
    <m/>
    <m/>
  </r>
  <r>
    <n v="1"/>
    <x v="2"/>
    <n v="2"/>
    <n v="9"/>
    <n v="10"/>
    <s v="Anacardiaceae"/>
    <x v="25"/>
    <s v="Chechem"/>
    <n v="33"/>
    <n v="10.504226244065093"/>
    <n v="5.5"/>
    <n v="8"/>
    <m/>
    <s v="C"/>
    <s v="S"/>
    <s v="un fuste"/>
    <n v="7.5"/>
    <n v="10"/>
    <n v="15"/>
    <s v="Vol = Exp(-9.45441486+1.86841300*LN(DIAMETRO)+0.93163520*LN(ALTURATOTAL))"/>
    <n v="4.4023049005083581E-2"/>
    <n v="8.6659866513537007E-3"/>
  </r>
  <r>
    <n v="2"/>
    <x v="2"/>
    <n v="1"/>
    <n v="10"/>
    <n v="10"/>
    <s v="Anacardiaceae"/>
    <x v="25"/>
    <s v="Chechem"/>
    <n v="40"/>
    <n v="12.732395447351628"/>
    <n v="5"/>
    <n v="12"/>
    <m/>
    <s v="C"/>
    <s v="S"/>
    <s v="un fuste"/>
    <n v="12.5"/>
    <n v="15"/>
    <n v="15"/>
    <s v="Vol = Exp(-9.45441486+1.86841300*LN(DIAMETRO)+0.93163520*LN(ALTURATOTAL))"/>
    <n v="9.2009243969291984E-2"/>
    <n v="1.2732395447351628E-2"/>
  </r>
  <r>
    <n v="6"/>
    <x v="2"/>
    <n v="3"/>
    <n v="9"/>
    <n v="10"/>
    <s v="Anacardiaceae"/>
    <x v="25"/>
    <s v="Chechem"/>
    <n v="33.5"/>
    <n v="10.663381187156988"/>
    <n v="4.5"/>
    <n v="9"/>
    <m/>
    <s v="C"/>
    <s v="S"/>
    <s v="un fuste"/>
    <n v="10"/>
    <n v="10"/>
    <n v="15"/>
    <s v="Vol = Exp(-9.45441486+1.86841300*LN(DIAMETRO)+0.93163520*LN(ALTURATOTAL))"/>
    <n v="5.0528681488540506E-2"/>
    <n v="8.9305817442439771E-3"/>
  </r>
  <r>
    <n v="8"/>
    <x v="0"/>
    <n v="1"/>
    <n v="10"/>
    <n v="10"/>
    <s v="Anacardiaceae"/>
    <x v="25"/>
    <s v="Chechem"/>
    <n v="20"/>
    <n v="6.366197723675814"/>
    <n v="8"/>
    <n v="11"/>
    <m/>
    <s v="C"/>
    <s v="S"/>
    <s v="un fuste"/>
    <n v="10"/>
    <n v="5"/>
    <m/>
    <m/>
    <m/>
    <m/>
  </r>
  <r>
    <n v="2"/>
    <x v="2"/>
    <n v="1"/>
    <n v="11"/>
    <n v="11"/>
    <s v="Anacardiaceae"/>
    <x v="25"/>
    <s v="Chechem"/>
    <n v="41"/>
    <n v="13.050705333535419"/>
    <n v="8"/>
    <n v="12"/>
    <m/>
    <s v="C"/>
    <s v="S"/>
    <s v="un fuste"/>
    <n v="12.5"/>
    <n v="15"/>
    <n v="15"/>
    <s v="Vol = Exp(-9.45441486+1.86841300*LN(DIAMETRO)+0.93163520*LN(ALTURATOTAL))"/>
    <n v="9.6353627976860701E-2"/>
    <n v="1.3376972966873806E-2"/>
  </r>
  <r>
    <n v="3"/>
    <x v="2"/>
    <n v="1"/>
    <n v="12"/>
    <n v="12"/>
    <s v="Anacardiaceae"/>
    <x v="25"/>
    <s v="Chechem"/>
    <n v="42"/>
    <n v="13.369015219719209"/>
    <n v="7"/>
    <n v="11"/>
    <m/>
    <s v="C"/>
    <s v="S"/>
    <s v="un fuste"/>
    <n v="10"/>
    <n v="15"/>
    <n v="15"/>
    <s v="Vol = Exp(-9.45441486+1.86841300*LN(DIAMETRO)+0.93163520*LN(ALTURATOTAL))"/>
    <n v="9.2942996589490443E-2"/>
    <n v="1.4037465980705171E-2"/>
  </r>
  <r>
    <n v="2"/>
    <x v="2"/>
    <n v="1"/>
    <n v="13"/>
    <n v="13"/>
    <s v="Anacardiaceae"/>
    <x v="25"/>
    <s v="Chechem"/>
    <n v="42.5"/>
    <n v="13.528170162811104"/>
    <n v="4"/>
    <n v="12"/>
    <m/>
    <s v="C"/>
    <s v="S"/>
    <s v="un fuste"/>
    <n v="12.5"/>
    <n v="15"/>
    <n v="15"/>
    <s v="Vol = Exp(-9.45441486+1.86841300*LN(DIAMETRO)+0.93163520*LN(ALTURATOTAL))"/>
    <n v="0.10304449460951418"/>
    <n v="1.43736807979868E-2"/>
  </r>
  <r>
    <n v="3"/>
    <x v="2"/>
    <n v="1"/>
    <n v="14"/>
    <n v="14"/>
    <s v="Anacardiaceae"/>
    <x v="25"/>
    <s v="Chechem"/>
    <n v="37.54"/>
    <n v="11.949353127339503"/>
    <n v="3"/>
    <n v="9"/>
    <m/>
    <s v="C"/>
    <s v="S"/>
    <s v="un fuste"/>
    <n v="10"/>
    <n v="10"/>
    <n v="15"/>
    <s v="Vol = Exp(-9.45441486+1.86841300*LN(DIAMETRO)+0.93163520*LN(ALTURATOTAL))"/>
    <n v="6.2507190906733928E-2"/>
    <n v="1.1214467910008123E-2"/>
  </r>
  <r>
    <n v="5"/>
    <x v="0"/>
    <n v="2"/>
    <n v="13"/>
    <n v="14"/>
    <s v="Anacardiaceae"/>
    <x v="25"/>
    <s v="Chechem"/>
    <n v="21"/>
    <n v="6.6845076098596046"/>
    <n v="3"/>
    <n v="8"/>
    <m/>
    <s v="C"/>
    <s v="S"/>
    <s v="un fuste"/>
    <n v="7.5"/>
    <n v="5"/>
    <m/>
    <m/>
    <m/>
    <m/>
  </r>
  <r>
    <n v="1"/>
    <x v="2"/>
    <n v="2"/>
    <n v="12"/>
    <n v="15"/>
    <s v="Anacardiaceae"/>
    <x v="25"/>
    <s v="Chechem"/>
    <n v="32"/>
    <n v="10.185916357881302"/>
    <n v="3"/>
    <n v="9"/>
    <m/>
    <s v="C"/>
    <s v="S"/>
    <s v="un fuste"/>
    <n v="10"/>
    <n v="10"/>
    <n v="15"/>
    <s v="Vol = Exp(-9.45441486+1.86841300*LN(DIAMETRO)+0.93163520*LN(ALTURATOTAL))"/>
    <n v="4.6383787585078627E-2"/>
    <n v="8.1487330863050413E-3"/>
  </r>
  <r>
    <n v="8"/>
    <x v="2"/>
    <n v="1"/>
    <n v="14"/>
    <n v="15"/>
    <s v="Anacardiaceae"/>
    <x v="25"/>
    <s v="Chechem"/>
    <n v="41"/>
    <n v="13.050705333535419"/>
    <n v="5"/>
    <n v="12"/>
    <m/>
    <s v="C"/>
    <s v="S"/>
    <s v="un fuste"/>
    <n v="12.5"/>
    <n v="15"/>
    <n v="15"/>
    <s v="Vol = Exp(-9.45441486+1.86841300*LN(DIAMETRO)+0.93163520*LN(ALTURATOTAL))"/>
    <n v="9.6353627976860701E-2"/>
    <n v="1.3376972966873806E-2"/>
  </r>
  <r>
    <n v="6"/>
    <x v="0"/>
    <n v="3"/>
    <n v="15"/>
    <n v="15"/>
    <s v="Anacardiaceae"/>
    <x v="25"/>
    <s v="Chechem"/>
    <n v="26"/>
    <n v="8.2760570407785572"/>
    <n v="5"/>
    <n v="10"/>
    <m/>
    <s v="CB"/>
    <s v="S"/>
    <s v="un fuste"/>
    <n v="10"/>
    <n v="10"/>
    <m/>
    <m/>
    <m/>
    <m/>
  </r>
  <r>
    <n v="4"/>
    <x v="2"/>
    <n v="2"/>
    <n v="16"/>
    <n v="16"/>
    <s v="Anacardiaceae"/>
    <x v="25"/>
    <s v="Chechem"/>
    <n v="38.5"/>
    <n v="12.254930618075941"/>
    <n v="7"/>
    <n v="12"/>
    <m/>
    <s v="C"/>
    <s v="S"/>
    <s v="un fuste"/>
    <n v="12.5"/>
    <n v="10"/>
    <n v="15"/>
    <s v="Vol = Exp(-9.45441486+1.86841300*LN(DIAMETRO)+0.93163520*LN(ALTURATOTAL))"/>
    <n v="8.5667715472304437E-2"/>
    <n v="1.1795370719898092E-2"/>
  </r>
  <r>
    <n v="5"/>
    <x v="2"/>
    <n v="2"/>
    <n v="15"/>
    <n v="16"/>
    <s v="Anacardiaceae"/>
    <x v="25"/>
    <s v="Chechem"/>
    <n v="35"/>
    <n v="11.140846016432674"/>
    <n v="4.5"/>
    <n v="11"/>
    <m/>
    <s v="C"/>
    <s v="S"/>
    <s v="un fuste"/>
    <n v="10"/>
    <n v="10"/>
    <n v="15"/>
    <s v="Vol = Exp(-9.45441486+1.86841300*LN(DIAMETRO)+0.93163520*LN(ALTURATOTAL))"/>
    <n v="6.6110950476338373E-2"/>
    <n v="9.7482402643785885E-3"/>
  </r>
  <r>
    <n v="1"/>
    <x v="0"/>
    <n v="3"/>
    <n v="16"/>
    <n v="16"/>
    <s v="Anacardiaceae"/>
    <x v="25"/>
    <s v="Chechem"/>
    <n v="22"/>
    <n v="7.0028174960433951"/>
    <n v="6"/>
    <n v="11"/>
    <m/>
    <s v="C"/>
    <s v="S"/>
    <s v="un fuste"/>
    <n v="10"/>
    <n v="5"/>
    <m/>
    <m/>
    <m/>
    <m/>
  </r>
  <r>
    <n v="6"/>
    <x v="0"/>
    <n v="3"/>
    <s v="15A"/>
    <n v="16"/>
    <s v="Anacardiaceae"/>
    <x v="25"/>
    <s v="Chechem"/>
    <n v="24.5"/>
    <n v="7.7985922115028714"/>
    <n v="7"/>
    <n v="10"/>
    <m/>
    <s v="C"/>
    <s v="S"/>
    <e v="#VALUE!"/>
    <n v="10"/>
    <n v="10"/>
    <m/>
    <m/>
    <m/>
    <m/>
  </r>
  <r>
    <n v="2"/>
    <x v="2"/>
    <n v="1"/>
    <n v="17"/>
    <n v="17"/>
    <s v="Anacardiaceae"/>
    <x v="25"/>
    <s v="Chechem"/>
    <n v="37"/>
    <n v="11.777465788800255"/>
    <n v="5"/>
    <n v="10"/>
    <m/>
    <s v="C"/>
    <s v="S"/>
    <s v="un fuste"/>
    <n v="10"/>
    <n v="10"/>
    <n v="15"/>
    <s v="Vol = Exp(-9.45441486+1.86841300*LN(DIAMETRO)+0.93163520*LN(ALTURATOTAL))"/>
    <n v="6.7112311855052717E-2"/>
    <n v="1.0894155854640236E-2"/>
  </r>
  <r>
    <n v="5"/>
    <x v="2"/>
    <n v="2"/>
    <n v="16"/>
    <n v="17"/>
    <s v="Anacardiaceae"/>
    <x v="25"/>
    <s v="Chechem"/>
    <n v="34"/>
    <n v="10.822536130248883"/>
    <n v="5.5"/>
    <n v="11"/>
    <m/>
    <s v="C"/>
    <s v="S"/>
    <s v="un fuste"/>
    <n v="10"/>
    <n v="10"/>
    <n v="15"/>
    <s v="Vol = Exp(-9.45441486+1.86841300*LN(DIAMETRO)+0.93163520*LN(ALTURATOTAL))"/>
    <n v="6.2625572914895164E-2"/>
    <n v="9.1991557107115509E-3"/>
  </r>
  <r>
    <n v="1"/>
    <x v="0"/>
    <n v="3"/>
    <n v="17"/>
    <n v="17"/>
    <s v="Anacardiaceae"/>
    <x v="25"/>
    <s v="Chechem"/>
    <n v="25"/>
    <n v="7.9577471545947667"/>
    <n v="6"/>
    <n v="9"/>
    <m/>
    <s v="C"/>
    <s v="S"/>
    <s v="un fuste"/>
    <n v="10"/>
    <n v="10"/>
    <m/>
    <m/>
    <m/>
    <m/>
  </r>
  <r>
    <n v="6"/>
    <x v="0"/>
    <n v="3"/>
    <s v="15B"/>
    <n v="17"/>
    <s v="Anacardiaceae"/>
    <x v="25"/>
    <s v="Chechem"/>
    <n v="22"/>
    <n v="7.0028174960433951"/>
    <n v="4"/>
    <n v="9"/>
    <m/>
    <s v="C"/>
    <s v="S"/>
    <e v="#VALUE!"/>
    <n v="10"/>
    <n v="5"/>
    <m/>
    <m/>
    <m/>
    <m/>
  </r>
  <r>
    <n v="2"/>
    <x v="2"/>
    <n v="1"/>
    <n v="18"/>
    <n v="18"/>
    <s v="Anacardiaceae"/>
    <x v="25"/>
    <s v="Chechem"/>
    <n v="36"/>
    <n v="11.459155902616464"/>
    <n v="8"/>
    <n v="12"/>
    <m/>
    <s v="C"/>
    <s v="S"/>
    <s v="un fuste"/>
    <n v="12.5"/>
    <n v="10"/>
    <n v="15"/>
    <s v="Vol = Exp(-9.45441486+1.86841300*LN(DIAMETRO)+0.93163520*LN(ALTURATOTAL))"/>
    <n v="7.5567938006532748E-2"/>
    <n v="1.0313240312354817E-2"/>
  </r>
  <r>
    <n v="3"/>
    <x v="2"/>
    <n v="2"/>
    <n v="18"/>
    <n v="18"/>
    <s v="Anacardiaceae"/>
    <x v="25"/>
    <s v="Chechem"/>
    <n v="51"/>
    <n v="16.233804195373324"/>
    <n v="7.5"/>
    <n v="11"/>
    <m/>
    <s v="C"/>
    <s v="S"/>
    <s v="un fuste"/>
    <n v="10"/>
    <n v="15"/>
    <n v="15"/>
    <s v="Vol = Exp(-9.45441486+1.86841300*LN(DIAMETRO)+0.93163520*LN(ALTURATOTAL))"/>
    <n v="0.13358660401688185"/>
    <n v="2.0698100349100988E-2"/>
  </r>
  <r>
    <n v="5"/>
    <x v="2"/>
    <n v="2"/>
    <n v="17"/>
    <n v="18"/>
    <s v="Anacardiaceae"/>
    <x v="25"/>
    <s v="Chechem"/>
    <n v="44"/>
    <n v="14.00563499208679"/>
    <n v="7"/>
    <n v="10"/>
    <m/>
    <s v="C"/>
    <s v="S"/>
    <s v="un fuste"/>
    <n v="10"/>
    <n v="15"/>
    <n v="15"/>
    <s v="Vol = Exp(-9.45441486+1.86841300*LN(DIAMETRO)+0.93163520*LN(ALTURATOTAL))"/>
    <n v="9.2768825280786782E-2"/>
    <n v="1.5406198491295471E-2"/>
  </r>
  <r>
    <n v="6"/>
    <x v="0"/>
    <n v="3"/>
    <s v="15C"/>
    <n v="18"/>
    <s v="Anacardiaceae"/>
    <x v="25"/>
    <s v="Chechem"/>
    <n v="19.5"/>
    <n v="6.2070427805839179"/>
    <n v="3.5"/>
    <n v="8"/>
    <m/>
    <s v="C"/>
    <s v="S"/>
    <e v="#VALUE!"/>
    <n v="7.5"/>
    <n v="5"/>
    <m/>
    <m/>
    <m/>
    <m/>
  </r>
  <r>
    <n v="1"/>
    <x v="2"/>
    <n v="3"/>
    <n v="16"/>
    <n v="19"/>
    <s v="Anacardiaceae"/>
    <x v="25"/>
    <s v="Chechem"/>
    <n v="34"/>
    <n v="10.822536130248883"/>
    <n v="5"/>
    <n v="10"/>
    <m/>
    <s v="C"/>
    <s v="S"/>
    <s v="un fuste"/>
    <n v="10"/>
    <n v="10"/>
    <n v="15"/>
    <s v="Vol = Exp(-9.45441486+1.86841300*LN(DIAMETRO)+0.93163520*LN(ALTURATOTAL))"/>
    <n v="5.7304513444342842E-2"/>
    <n v="9.1991557107115509E-3"/>
  </r>
  <r>
    <n v="5"/>
    <x v="2"/>
    <n v="2"/>
    <n v="18"/>
    <n v="19"/>
    <s v="Anacardiaceae"/>
    <x v="25"/>
    <s v="Chechem"/>
    <n v="41.5"/>
    <n v="13.209860276627314"/>
    <n v="3"/>
    <n v="10"/>
    <m/>
    <s v="CB"/>
    <s v="S"/>
    <s v="un fuste"/>
    <n v="10"/>
    <n v="15"/>
    <n v="15"/>
    <s v="Vol = Exp(-9.45441486+1.86841300*LN(DIAMETRO)+0.93163520*LN(ALTURATOTAL))"/>
    <n v="8.3164084326966745E-2"/>
    <n v="1.3705230037000837E-2"/>
  </r>
  <r>
    <n v="4"/>
    <x v="0"/>
    <n v="3"/>
    <n v="18"/>
    <n v="19"/>
    <s v="Anacardiaceae"/>
    <x v="25"/>
    <s v="Chechem"/>
    <n v="19"/>
    <n v="6.0478878374920226"/>
    <n v="7"/>
    <n v="11"/>
    <m/>
    <s v="C"/>
    <s v="S"/>
    <s v="un fuste"/>
    <n v="10"/>
    <n v="5"/>
    <m/>
    <m/>
    <m/>
    <m/>
  </r>
  <r>
    <n v="12"/>
    <x v="0"/>
    <n v="2"/>
    <n v="14"/>
    <n v="19"/>
    <s v="Anacardiaceae"/>
    <x v="25"/>
    <s v="Chechem"/>
    <n v="16"/>
    <n v="5.0929581789406511"/>
    <n v="5"/>
    <n v="8"/>
    <m/>
    <s v="C"/>
    <s v="S"/>
    <s v="un fuste"/>
    <n v="7.5"/>
    <n v="5"/>
    <m/>
    <m/>
    <m/>
    <m/>
  </r>
  <r>
    <n v="3"/>
    <x v="2"/>
    <n v="2"/>
    <n v="20"/>
    <n v="20"/>
    <s v="Anacardiaceae"/>
    <x v="25"/>
    <s v="Chechem"/>
    <n v="44"/>
    <n v="14.00563499208679"/>
    <n v="6"/>
    <n v="12"/>
    <m/>
    <s v="C"/>
    <s v="S"/>
    <s v="un fuste"/>
    <n v="12.5"/>
    <n v="15"/>
    <n v="15"/>
    <s v="Vol = Exp(-9.45441486+1.86841300*LN(DIAMETRO)+0.93163520*LN(ALTURATOTAL))"/>
    <n v="0.1099436353883419"/>
    <n v="1.5406198491295471E-2"/>
  </r>
  <r>
    <n v="5"/>
    <x v="2"/>
    <n v="2"/>
    <s v="18A"/>
    <n v="20"/>
    <s v="Anacardiaceae"/>
    <x v="25"/>
    <s v="Chechem"/>
    <n v="34.5"/>
    <n v="10.981691073340778"/>
    <n v="6"/>
    <n v="9"/>
    <m/>
    <s v="C"/>
    <s v="S"/>
    <e v="#VALUE!"/>
    <n v="10"/>
    <n v="10"/>
    <n v="15"/>
    <s v="Vol = Exp(-9.45441486+1.86841300*LN(DIAMETRO)+0.93163520*LN(ALTURATOTAL))"/>
    <n v="5.3383323907952501E-2"/>
    <n v="9.4717085507564219E-3"/>
  </r>
  <r>
    <n v="8"/>
    <x v="1"/>
    <m/>
    <n v="1"/>
    <n v="1"/>
    <s v="Sapotaceae"/>
    <x v="18"/>
    <s v="Chicozapote"/>
    <m/>
    <m/>
    <m/>
    <n v="2.5"/>
    <e v="#REF!"/>
    <m/>
    <m/>
    <s v="un fuste"/>
    <n v="2.5"/>
    <n v="5"/>
    <m/>
    <m/>
    <m/>
    <m/>
  </r>
  <r>
    <n v="2"/>
    <x v="2"/>
    <n v="2"/>
    <n v="21"/>
    <n v="21"/>
    <s v="Anacardiaceae"/>
    <x v="25"/>
    <s v="Chechem"/>
    <n v="46"/>
    <n v="14.642254764454371"/>
    <n v="5"/>
    <n v="11"/>
    <m/>
    <s v="CB"/>
    <s v="S"/>
    <s v="un fuste"/>
    <n v="10"/>
    <n v="15"/>
    <n v="15"/>
    <s v="Vol = Exp(-9.45441486+1.86841300*LN(DIAMETRO)+0.93163520*LN(ALTURATOTAL))"/>
    <n v="0.11016279412741189"/>
    <n v="1.6838592979122526E-2"/>
  </r>
  <r>
    <n v="5"/>
    <x v="2"/>
    <n v="2"/>
    <n v="19"/>
    <n v="21"/>
    <s v="Anacardiaceae"/>
    <x v="25"/>
    <s v="Chechem"/>
    <n v="42"/>
    <n v="13.369015219719209"/>
    <n v="4.5"/>
    <n v="11"/>
    <m/>
    <s v="C"/>
    <s v="S"/>
    <s v="un fuste"/>
    <n v="10"/>
    <n v="15"/>
    <n v="15"/>
    <s v="Vol = Exp(-9.45441486+1.86841300*LN(DIAMETRO)+0.93163520*LN(ALTURATOTAL))"/>
    <n v="9.2942996589490443E-2"/>
    <n v="1.4037465980705171E-2"/>
  </r>
  <r>
    <n v="9"/>
    <x v="2"/>
    <n v="4"/>
    <n v="20"/>
    <n v="21"/>
    <s v="Anacardiaceae"/>
    <x v="25"/>
    <s v="Chechem"/>
    <n v="37.5"/>
    <n v="11.93662073189215"/>
    <n v="6"/>
    <n v="10"/>
    <m/>
    <s v="CB"/>
    <s v="S"/>
    <s v="un fuste"/>
    <n v="10"/>
    <n v="10"/>
    <n v="15"/>
    <s v="Vol = Exp(-9.45441486+1.86841300*LN(DIAMETRO)+0.93163520*LN(ALTURATOTAL))"/>
    <n v="6.8816755739047483E-2"/>
    <n v="1.1190581936148891E-2"/>
  </r>
  <r>
    <n v="2"/>
    <x v="2"/>
    <n v="2"/>
    <s v="21A"/>
    <n v="22"/>
    <s v="Anacardiaceae"/>
    <x v="25"/>
    <s v="Chechem"/>
    <n v="40"/>
    <n v="12.732395447351628"/>
    <n v="6"/>
    <n v="11"/>
    <m/>
    <s v="C"/>
    <s v="S"/>
    <e v="#VALUE!"/>
    <n v="10"/>
    <n v="15"/>
    <n v="15"/>
    <s v="Vol = Exp(-9.45441486+1.86841300*LN(DIAMETRO)+0.93163520*LN(ALTURATOTAL))"/>
    <n v="8.4845010681965774E-2"/>
    <n v="1.2732395447351628E-2"/>
  </r>
  <r>
    <n v="3"/>
    <x v="2"/>
    <n v="2"/>
    <n v="22"/>
    <n v="22"/>
    <s v="Anacardiaceae"/>
    <x v="25"/>
    <s v="Chechem"/>
    <n v="42"/>
    <n v="13.369015219719209"/>
    <n v="6"/>
    <n v="12"/>
    <m/>
    <s v="C"/>
    <s v="S"/>
    <s v="un fuste"/>
    <n v="12.5"/>
    <n v="15"/>
    <n v="15"/>
    <s v="Vol = Exp(-9.45441486+1.86841300*LN(DIAMETRO)+0.93163520*LN(ALTURATOTAL))"/>
    <n v="0.10079101622715905"/>
    <n v="1.4037465980705171E-2"/>
  </r>
  <r>
    <n v="1"/>
    <x v="0"/>
    <n v="4"/>
    <n v="22"/>
    <n v="22"/>
    <s v="Anacardiaceae"/>
    <x v="25"/>
    <s v="Chechem"/>
    <n v="19.5"/>
    <n v="6.2070427805839179"/>
    <n v="7"/>
    <n v="9"/>
    <m/>
    <s v="C"/>
    <s v="S"/>
    <s v="un fuste"/>
    <n v="10"/>
    <n v="5"/>
    <m/>
    <m/>
    <m/>
    <m/>
  </r>
  <r>
    <n v="3"/>
    <x v="2"/>
    <n v="2"/>
    <n v="24"/>
    <n v="24"/>
    <s v="Anacardiaceae"/>
    <x v="25"/>
    <s v="Chechem"/>
    <n v="31.5"/>
    <n v="10.026761414789407"/>
    <n v="4"/>
    <n v="9"/>
    <m/>
    <s v="C"/>
    <s v="S"/>
    <s v="un fuste"/>
    <n v="10"/>
    <n v="10"/>
    <n v="15"/>
    <s v="Vol = Exp(-9.45441486+1.86841300*LN(DIAMETRO)+0.93163520*LN(ALTURATOTAL))"/>
    <n v="4.5038854825831719E-2"/>
    <n v="7.8960746141466566E-3"/>
  </r>
  <r>
    <n v="3"/>
    <x v="2"/>
    <n v="2"/>
    <n v="26"/>
    <n v="26"/>
    <s v="Anacardiaceae"/>
    <x v="25"/>
    <s v="Chechem"/>
    <n v="34"/>
    <n v="10.822536130248883"/>
    <n v="7"/>
    <n v="11"/>
    <m/>
    <s v="C"/>
    <s v="S"/>
    <s v="un fuste"/>
    <n v="10"/>
    <n v="10"/>
    <n v="15"/>
    <s v="Vol = Exp(-9.45441486+1.86841300*LN(DIAMETRO)+0.93163520*LN(ALTURATOTAL))"/>
    <n v="6.2625572914895164E-2"/>
    <n v="9.1991557107115509E-3"/>
  </r>
  <r>
    <n v="4"/>
    <x v="2"/>
    <n v="2"/>
    <n v="25"/>
    <n v="26"/>
    <s v="Anacardiaceae"/>
    <x v="25"/>
    <s v="Chechem"/>
    <n v="44"/>
    <n v="14.00563499208679"/>
    <n v="6"/>
    <n v="10"/>
    <m/>
    <s v="C"/>
    <s v="S"/>
    <s v="un fuste"/>
    <n v="10"/>
    <n v="15"/>
    <n v="15"/>
    <s v="Vol = Exp(-9.45441486+1.86841300*LN(DIAMETRO)+0.93163520*LN(ALTURATOTAL))"/>
    <n v="9.2768825280786782E-2"/>
    <n v="1.5406198491295471E-2"/>
  </r>
  <r>
    <n v="4"/>
    <x v="2"/>
    <n v="2"/>
    <n v="26"/>
    <n v="27"/>
    <s v="Anacardiaceae"/>
    <x v="25"/>
    <s v="Chechem"/>
    <n v="31.5"/>
    <n v="10.026761414789407"/>
    <n v="5.5"/>
    <n v="11"/>
    <m/>
    <s v="C"/>
    <s v="S"/>
    <s v="un fuste"/>
    <n v="10"/>
    <n v="10"/>
    <n v="15"/>
    <s v="Vol = Exp(-9.45441486+1.86841300*LN(DIAMETRO)+0.93163520*LN(ALTURATOTAL))"/>
    <n v="5.4297459598910108E-2"/>
    <n v="7.8960746141466566E-3"/>
  </r>
  <r>
    <n v="1"/>
    <x v="0"/>
    <n v="4"/>
    <n v="27"/>
    <n v="27"/>
    <s v="Anacardiaceae"/>
    <x v="25"/>
    <s v="Chechem"/>
    <n v="27"/>
    <n v="8.5943669269623477"/>
    <n v="7"/>
    <n v="10"/>
    <m/>
    <s v="C"/>
    <s v="S"/>
    <s v="un fuste"/>
    <n v="10"/>
    <n v="10"/>
    <m/>
    <m/>
    <m/>
    <m/>
  </r>
  <r>
    <n v="1"/>
    <x v="2"/>
    <n v="4"/>
    <n v="25"/>
    <n v="28"/>
    <s v="Anacardiaceae"/>
    <x v="25"/>
    <s v="Chechem"/>
    <n v="34"/>
    <n v="10.822536130248883"/>
    <n v="9"/>
    <n v="12"/>
    <m/>
    <s v="C"/>
    <s v="S"/>
    <s v="un fuste"/>
    <n v="12.5"/>
    <n v="10"/>
    <n v="15"/>
    <s v="Vol = Exp(-9.45441486+1.86841300*LN(DIAMETRO)+0.93163520*LN(ALTURATOTAL))"/>
    <n v="6.7913617674492693E-2"/>
    <n v="9.1991557107115509E-3"/>
  </r>
  <r>
    <n v="2"/>
    <x v="2"/>
    <n v="2"/>
    <n v="27"/>
    <n v="28"/>
    <s v="Anacardiaceae"/>
    <x v="25"/>
    <s v="Chechem"/>
    <n v="38"/>
    <n v="12.095775674984045"/>
    <n v="8"/>
    <n v="10"/>
    <m/>
    <s v="C"/>
    <s v="S"/>
    <s v="un fuste"/>
    <n v="10"/>
    <n v="10"/>
    <n v="15"/>
    <s v="Vol = Exp(-9.45441486+1.86841300*LN(DIAMETRO)+0.93163520*LN(ALTURATOTAL))"/>
    <n v="7.0541050140047107E-2"/>
    <n v="1.1490986891234843E-2"/>
  </r>
  <r>
    <n v="5"/>
    <x v="2"/>
    <n v="3"/>
    <n v="26"/>
    <n v="28"/>
    <s v="Anacardiaceae"/>
    <x v="25"/>
    <s v="Chechem"/>
    <n v="44"/>
    <n v="14.00563499208679"/>
    <n v="6"/>
    <n v="9"/>
    <m/>
    <s v="C"/>
    <s v="S"/>
    <s v="un fuste"/>
    <n v="10"/>
    <n v="15"/>
    <n v="15"/>
    <s v="Vol = Exp(-9.45441486+1.86841300*LN(DIAMETRO)+0.93163520*LN(ALTURATOTAL))"/>
    <n v="8.4095502185124724E-2"/>
    <n v="1.5406198491295471E-2"/>
  </r>
  <r>
    <n v="2"/>
    <x v="2"/>
    <n v="2"/>
    <n v="28"/>
    <n v="29"/>
    <s v="Anacardiaceae"/>
    <x v="25"/>
    <s v="Chechem"/>
    <n v="46.5"/>
    <n v="14.801409707546267"/>
    <n v="5"/>
    <n v="10"/>
    <m/>
    <s v="C"/>
    <s v="S"/>
    <s v="un fuste"/>
    <n v="10"/>
    <n v="15"/>
    <n v="15"/>
    <s v="Vol = Exp(-9.45441486+1.86841300*LN(DIAMETRO)+0.93163520*LN(ALTURATOTAL))"/>
    <n v="0.10285951818264641"/>
    <n v="1.7206638785022533E-2"/>
  </r>
  <r>
    <n v="3"/>
    <x v="2"/>
    <n v="3"/>
    <n v="29"/>
    <n v="29"/>
    <s v="Anacardiaceae"/>
    <x v="25"/>
    <s v="Chechem"/>
    <n v="32.5"/>
    <n v="10.345071300973197"/>
    <n v="4"/>
    <n v="9"/>
    <m/>
    <s v="C"/>
    <s v="S"/>
    <s v="un fuste"/>
    <n v="10"/>
    <n v="10"/>
    <n v="15"/>
    <s v="Vol = Exp(-9.45441486+1.86841300*LN(DIAMETRO)+0.93163520*LN(ALTURATOTAL))"/>
    <n v="4.7747094473845987E-2"/>
    <n v="8.4053704320407232E-3"/>
  </r>
  <r>
    <n v="9"/>
    <x v="0"/>
    <n v="3"/>
    <n v="32"/>
    <n v="32"/>
    <s v="Anacardiaceae"/>
    <x v="25"/>
    <s v="Chechem"/>
    <n v="17"/>
    <n v="5.4112680651244416"/>
    <n v="7.5"/>
    <n v="10"/>
    <m/>
    <s v="C"/>
    <s v="S"/>
    <s v="un fuste"/>
    <n v="10"/>
    <n v="5"/>
    <m/>
    <m/>
    <m/>
    <m/>
  </r>
  <r>
    <n v="1"/>
    <x v="2"/>
    <n v="4"/>
    <n v="30"/>
    <n v="33"/>
    <s v="Anacardiaceae"/>
    <x v="25"/>
    <s v="Chechem"/>
    <n v="36"/>
    <n v="11.459155902616464"/>
    <n v="4.5"/>
    <n v="9"/>
    <m/>
    <s v="C"/>
    <s v="S"/>
    <s v="un fuste"/>
    <n v="10"/>
    <n v="10"/>
    <n v="15"/>
    <s v="Vol = Exp(-9.45441486+1.86841300*LN(DIAMETRO)+0.93163520*LN(ALTURATOTAL))"/>
    <n v="5.7801651485390147E-2"/>
    <n v="1.0313240312354817E-2"/>
  </r>
  <r>
    <n v="4"/>
    <x v="2"/>
    <n v="3"/>
    <n v="36"/>
    <n v="37"/>
    <s v="Anacardiaceae"/>
    <x v="25"/>
    <s v="Chechem"/>
    <n v="31.5"/>
    <n v="10.026761414789407"/>
    <n v="4"/>
    <n v="9"/>
    <m/>
    <s v="C"/>
    <s v="S"/>
    <s v="un fuste"/>
    <n v="10"/>
    <n v="10"/>
    <n v="15"/>
    <s v="Vol = Exp(-9.45441486+1.86841300*LN(DIAMETRO)+0.93163520*LN(ALTURATOTAL))"/>
    <n v="4.5038854825831719E-2"/>
    <n v="7.8960746141466566E-3"/>
  </r>
  <r>
    <n v="7"/>
    <x v="2"/>
    <n v="3"/>
    <n v="35"/>
    <n v="38"/>
    <s v="Anacardiaceae"/>
    <x v="25"/>
    <s v="Chechem"/>
    <n v="33"/>
    <n v="10.504226244065093"/>
    <n v="6"/>
    <n v="11"/>
    <m/>
    <s v="C"/>
    <s v="S"/>
    <s v="un fuste"/>
    <n v="10"/>
    <n v="10"/>
    <n v="15"/>
    <s v="Vol = Exp(-9.45441486+1.86841300*LN(DIAMETRO)+0.93163520*LN(ALTURATOTAL))"/>
    <n v="5.9228097147087003E-2"/>
    <n v="8.6659866513537007E-3"/>
  </r>
  <r>
    <n v="8"/>
    <x v="2"/>
    <n v="3"/>
    <n v="33"/>
    <n v="38"/>
    <s v="Anacardiaceae"/>
    <x v="25"/>
    <s v="Chechem"/>
    <n v="33"/>
    <n v="10.504226244065093"/>
    <n v="6"/>
    <n v="12"/>
    <m/>
    <s v="C"/>
    <s v="S"/>
    <s v="un fuste"/>
    <n v="12.5"/>
    <n v="10"/>
    <n v="15"/>
    <s v="Vol = Exp(-9.45441486+1.86841300*LN(DIAMETRO)+0.93163520*LN(ALTURATOTAL))"/>
    <n v="6.4229262232877282E-2"/>
    <n v="8.6659866513537007E-3"/>
  </r>
  <r>
    <n v="4"/>
    <x v="2"/>
    <n v="3"/>
    <n v="39"/>
    <n v="40"/>
    <s v="Anacardiaceae"/>
    <x v="25"/>
    <s v="Chechem"/>
    <n v="32"/>
    <n v="10.185916357881302"/>
    <n v="4"/>
    <n v="8"/>
    <m/>
    <s v="C"/>
    <s v="S"/>
    <s v="un fuste"/>
    <n v="7.5"/>
    <n v="10"/>
    <n v="15"/>
    <s v="Vol = Exp(-9.45441486+1.86841300*LN(DIAMETRO)+0.93163520*LN(ALTURATOTAL))"/>
    <n v="4.1563366682151257E-2"/>
    <n v="8.1487330863050413E-3"/>
  </r>
  <r>
    <n v="4"/>
    <x v="2"/>
    <n v="3"/>
    <n v="40"/>
    <n v="41"/>
    <s v="Anacardiaceae"/>
    <x v="25"/>
    <s v="Chechem"/>
    <n v="65.5"/>
    <n v="20.84929754503829"/>
    <n v="6"/>
    <n v="13"/>
    <m/>
    <s v="CB"/>
    <s v="S"/>
    <s v="un fuste"/>
    <n v="12.5"/>
    <n v="20"/>
    <n v="15"/>
    <s v="Vol = Exp(-9.45441486+1.86841300*LN(DIAMETRO)+0.93163520*LN(ALTURATOTAL))"/>
    <n v="0.24911289307601189"/>
    <n v="3.4140724730000196E-2"/>
  </r>
  <r>
    <n v="7"/>
    <x v="2"/>
    <n v="4"/>
    <n v="38"/>
    <n v="41"/>
    <s v="Anacardiaceae"/>
    <x v="25"/>
    <s v="Chechem"/>
    <n v="33"/>
    <n v="10.504226244065093"/>
    <n v="8"/>
    <n v="13"/>
    <m/>
    <s v="C"/>
    <s v="S"/>
    <s v="un fuste"/>
    <n v="12.5"/>
    <n v="10"/>
    <n v="15"/>
    <s v="Vol = Exp(-9.45441486+1.86841300*LN(DIAMETRO)+0.93163520*LN(ALTURATOTAL))"/>
    <n v="6.9201982346803359E-2"/>
    <n v="8.6659866513537007E-3"/>
  </r>
  <r>
    <n v="3"/>
    <x v="2"/>
    <n v="3"/>
    <n v="40"/>
    <n v="42"/>
    <s v="Anacardiaceae"/>
    <x v="25"/>
    <s v="Chechem"/>
    <n v="56"/>
    <n v="17.82535362629228"/>
    <n v="5.5"/>
    <n v="11"/>
    <m/>
    <s v="C"/>
    <s v="S"/>
    <s v="un fuste"/>
    <n v="10"/>
    <n v="20"/>
    <n v="15"/>
    <s v="Vol = Exp(-9.45441486+1.86841300*LN(DIAMETRO)+0.93163520*LN(ALTURATOTAL))"/>
    <n v="0.15909401063779105"/>
    <n v="2.4955495076809196E-2"/>
  </r>
  <r>
    <n v="4"/>
    <x v="2"/>
    <n v="3"/>
    <s v="40A"/>
    <n v="42"/>
    <s v="Anacardiaceae"/>
    <x v="25"/>
    <s v="Chechem"/>
    <n v="56.5"/>
    <n v="17.984508569384175"/>
    <n v="6"/>
    <n v="12"/>
    <m/>
    <s v="C"/>
    <s v="S"/>
    <e v="#VALUE!"/>
    <n v="12.5"/>
    <n v="20"/>
    <n v="15"/>
    <s v="Vol = Exp(-9.45441486+1.86841300*LN(DIAMETRO)+0.93163520*LN(ALTURATOTAL))"/>
    <n v="0.1754170665386981"/>
    <n v="2.5403118354255152E-2"/>
  </r>
  <r>
    <n v="3"/>
    <x v="2"/>
    <n v="3"/>
    <n v="42"/>
    <n v="44"/>
    <s v="Anacardiaceae"/>
    <x v="25"/>
    <s v="Chechem"/>
    <n v="52"/>
    <n v="16.552114081557114"/>
    <n v="3.5"/>
    <n v="12"/>
    <m/>
    <s v="C"/>
    <s v="S"/>
    <s v="un fuste"/>
    <n v="12.5"/>
    <n v="15"/>
    <n v="15"/>
    <s v="Vol = Exp(-9.45441486+1.86841300*LN(DIAMETRO)+0.93163520*LN(ALTURATOTAL))"/>
    <n v="0.1502189433768448"/>
    <n v="2.1517748306024244E-2"/>
  </r>
  <r>
    <n v="2"/>
    <x v="2"/>
    <n v="3"/>
    <n v="43"/>
    <n v="45"/>
    <s v="Anacardiaceae"/>
    <x v="25"/>
    <s v="Chechem"/>
    <n v="85"/>
    <n v="27.056340325622209"/>
    <n v="8"/>
    <n v="14"/>
    <m/>
    <s v="C"/>
    <s v="S"/>
    <s v="un fuste"/>
    <n v="15"/>
    <n v="25"/>
    <n v="15"/>
    <s v="Vol = Exp(-9.45441486+1.86841300*LN(DIAMETRO)+0.93163520*LN(ALTURATOTAL))"/>
    <n v="0.43435331116999504"/>
    <n v="5.7494723191947199E-2"/>
  </r>
  <r>
    <n v="4"/>
    <x v="2"/>
    <n v="4"/>
    <n v="45"/>
    <n v="47"/>
    <s v="Anacardiaceae"/>
    <x v="25"/>
    <s v="Chechem"/>
    <n v="34.5"/>
    <n v="10.981691073340778"/>
    <n v="7.5"/>
    <n v="11"/>
    <m/>
    <s v="C"/>
    <s v="S"/>
    <s v="un fuste"/>
    <n v="10"/>
    <n v="10"/>
    <n v="15"/>
    <s v="Vol = Exp(-9.45441486+1.86841300*LN(DIAMETRO)+0.93163520*LN(ALTURATOTAL))"/>
    <n v="6.4357295147858054E-2"/>
    <n v="9.4717085507564219E-3"/>
  </r>
  <r>
    <n v="4"/>
    <x v="2"/>
    <n v="4"/>
    <n v="48"/>
    <n v="50"/>
    <s v="Anacardiaceae"/>
    <x v="25"/>
    <s v="Chechem"/>
    <n v="36"/>
    <n v="11.459155902616464"/>
    <n v="5"/>
    <n v="11"/>
    <m/>
    <s v="C"/>
    <s v="S"/>
    <s v="un fuste"/>
    <n v="10"/>
    <n v="10"/>
    <n v="15"/>
    <s v="Vol = Exp(-9.45441486+1.86841300*LN(DIAMETRO)+0.93163520*LN(ALTURATOTAL))"/>
    <n v="6.9683895125996861E-2"/>
    <n v="1.0313240312354817E-2"/>
  </r>
  <r>
    <n v="4"/>
    <x v="2"/>
    <n v="4"/>
    <n v="51"/>
    <n v="53"/>
    <s v="Anacardiaceae"/>
    <x v="25"/>
    <s v="Chechem"/>
    <n v="33.5"/>
    <n v="10.663381187156988"/>
    <n v="6"/>
    <n v="13"/>
    <m/>
    <s v="C"/>
    <s v="S"/>
    <s v="un fuste"/>
    <n v="12.5"/>
    <n v="10"/>
    <n v="15"/>
    <s v="Vol = Exp(-9.45441486+1.86841300*LN(DIAMETRO)+0.93163520*LN(ALTURATOTAL))"/>
    <n v="7.1173921083408573E-2"/>
    <n v="8.9305817442439771E-3"/>
  </r>
  <r>
    <n v="2"/>
    <x v="2"/>
    <n v="4"/>
    <n v="50"/>
    <n v="55"/>
    <s v="Anacardiaceae"/>
    <x v="25"/>
    <s v="Chechem"/>
    <n v="34.5"/>
    <n v="10.981691073340778"/>
    <n v="6"/>
    <n v="12"/>
    <m/>
    <s v="C"/>
    <s v="S"/>
    <s v="un fuste"/>
    <n v="12.5"/>
    <n v="10"/>
    <n v="15"/>
    <s v="Vol = Exp(-9.45441486+1.86841300*LN(DIAMETRO)+0.93163520*LN(ALTURATOTAL))"/>
    <n v="6.9791564911920512E-2"/>
    <n v="9.4717085507564219E-3"/>
  </r>
  <r>
    <n v="4"/>
    <x v="2"/>
    <n v="4"/>
    <n v="53"/>
    <n v="55"/>
    <s v="Anacardiaceae"/>
    <x v="25"/>
    <s v="Chechem"/>
    <n v="50.5"/>
    <n v="16.074649252281429"/>
    <n v="8"/>
    <n v="13"/>
    <m/>
    <s v="C"/>
    <s v="S"/>
    <s v="un fuste"/>
    <n v="12.5"/>
    <n v="15"/>
    <n v="15"/>
    <s v="Vol = Exp(-9.45441486+1.86841300*LN(DIAMETRO)+0.93163520*LN(ALTURATOTAL))"/>
    <n v="0.15323539884347603"/>
    <n v="2.0294244681005304E-2"/>
  </r>
  <r>
    <n v="3"/>
    <x v="2"/>
    <n v="4"/>
    <n v="48"/>
    <n v="57"/>
    <s v="Anacardiaceae"/>
    <x v="25"/>
    <s v="Chechem"/>
    <n v="46"/>
    <n v="14.642254764454371"/>
    <n v="5.5"/>
    <n v="12"/>
    <m/>
    <s v="C"/>
    <s v="S"/>
    <s v="un fuste"/>
    <n v="12.5"/>
    <n v="15"/>
    <n v="15"/>
    <s v="Vol = Exp(-9.45441486+1.86841300*LN(DIAMETRO)+0.93163520*LN(ALTURATOTAL))"/>
    <n v="0.11946483735150713"/>
    <n v="1.6838592979122526E-2"/>
  </r>
  <r>
    <n v="2"/>
    <x v="2"/>
    <n v="4"/>
    <n v="53"/>
    <n v="58"/>
    <s v="Anacardiaceae"/>
    <x v="25"/>
    <s v="Chechem"/>
    <n v="45.5"/>
    <n v="14.483099821362476"/>
    <n v="7"/>
    <n v="13"/>
    <m/>
    <s v="C"/>
    <s v="S"/>
    <s v="un fuste"/>
    <n v="12.5"/>
    <n v="15"/>
    <n v="15"/>
    <s v="Vol = Exp(-9.45441486+1.86841300*LN(DIAMETRO)+0.93163520*LN(ALTURATOTAL))"/>
    <n v="0.12611228570285718"/>
    <n v="1.6474526046799814E-2"/>
  </r>
  <r>
    <n v="3"/>
    <x v="2"/>
    <n v="4"/>
    <n v="49"/>
    <n v="58"/>
    <s v="Anacardiaceae"/>
    <x v="25"/>
    <s v="Chechem"/>
    <n v="48.5"/>
    <n v="15.438029479913848"/>
    <n v="6"/>
    <n v="10"/>
    <m/>
    <s v="C"/>
    <s v="S"/>
    <s v="un fuste"/>
    <n v="10"/>
    <n v="15"/>
    <n v="15"/>
    <s v="Vol = Exp(-9.45441486+1.86841300*LN(DIAMETRO)+0.93163520*LN(ALTURATOTAL))"/>
    <n v="0.11127958327863874"/>
    <n v="1.8718610744395538E-2"/>
  </r>
  <r>
    <n v="2"/>
    <x v="2"/>
    <n v="4"/>
    <n v="54"/>
    <n v="59"/>
    <s v="Anacardiaceae"/>
    <x v="25"/>
    <s v="Chechem"/>
    <n v="40"/>
    <n v="12.732395447351628"/>
    <n v="4"/>
    <n v="8"/>
    <m/>
    <s v="CB"/>
    <s v="S"/>
    <s v="un fuste"/>
    <n v="7.5"/>
    <n v="15"/>
    <n v="15"/>
    <s v="Vol = Exp(-9.45441486+1.86841300*LN(DIAMETRO)+0.93163520*LN(ALTURATOTAL))"/>
    <n v="6.3063583721306896E-2"/>
    <n v="1.2732395447351628E-2"/>
  </r>
  <r>
    <n v="2"/>
    <x v="2"/>
    <n v="4"/>
    <s v="54A"/>
    <n v="60"/>
    <s v="Anacardiaceae"/>
    <x v="25"/>
    <s v="Chechem"/>
    <n v="32.5"/>
    <n v="10.345071300973197"/>
    <n v="5"/>
    <n v="8"/>
    <m/>
    <s v="C"/>
    <s v="S"/>
    <e v="#VALUE!"/>
    <n v="7.5"/>
    <n v="10"/>
    <n v="15"/>
    <s v="Vol = Exp(-9.45441486+1.86841300*LN(DIAMETRO)+0.93163520*LN(ALTURATOTAL))"/>
    <n v="4.2784992320510501E-2"/>
    <n v="8.4053704320407232E-3"/>
  </r>
  <r>
    <n v="8"/>
    <x v="1"/>
    <m/>
    <n v="2"/>
    <n v="2"/>
    <s v="Lauraceae"/>
    <x v="0"/>
    <s v="Aguacatillo"/>
    <m/>
    <m/>
    <m/>
    <n v="4"/>
    <e v="#REF!"/>
    <m/>
    <m/>
    <s v="un fuste"/>
    <n v="5"/>
    <n v="5"/>
    <m/>
    <m/>
    <m/>
    <m/>
  </r>
  <r>
    <n v="8"/>
    <x v="1"/>
    <m/>
    <n v="3"/>
    <n v="3"/>
    <s v="Putranjivaceae"/>
    <x v="46"/>
    <s v="Ekulub"/>
    <m/>
    <m/>
    <m/>
    <n v="3"/>
    <e v="#REF!"/>
    <m/>
    <m/>
    <s v="un fuste"/>
    <n v="2.5"/>
    <n v="5"/>
    <m/>
    <m/>
    <m/>
    <m/>
  </r>
  <r>
    <n v="9"/>
    <x v="0"/>
    <n v="1"/>
    <n v="10"/>
    <n v="10"/>
    <s v="Leguminosae"/>
    <x v="47"/>
    <s v="Choluul"/>
    <n v="22"/>
    <n v="7.0028174960433951"/>
    <n v="7"/>
    <n v="9"/>
    <m/>
    <s v="C"/>
    <s v="S"/>
    <s v="un fuste"/>
    <n v="10"/>
    <n v="5"/>
    <m/>
    <m/>
    <m/>
    <m/>
  </r>
  <r>
    <n v="8"/>
    <x v="2"/>
    <n v="3"/>
    <n v="38"/>
    <n v="43"/>
    <s v="Leguminosae"/>
    <x v="47"/>
    <s v="Choluul"/>
    <n v="32"/>
    <n v="10.185916357881302"/>
    <n v="4.5"/>
    <n v="7"/>
    <m/>
    <s v="C"/>
    <s v="SD"/>
    <s v="un fuste"/>
    <n v="7.5"/>
    <n v="10"/>
    <n v="17"/>
    <s v="Vol = Exp(-9.52375084+1.81551953*LN(DIAMETRO)+1.03039019*LN(ALTURATOTAL))"/>
    <n v="3.6703896467853298E-2"/>
    <n v="8.1487330863050413E-3"/>
  </r>
  <r>
    <n v="8"/>
    <x v="2"/>
    <n v="4"/>
    <n v="46"/>
    <n v="51"/>
    <s v="Leguminosae"/>
    <x v="47"/>
    <s v="Choluul"/>
    <n v="31.5"/>
    <n v="10.026761414789407"/>
    <n v="5"/>
    <n v="9"/>
    <m/>
    <s v="C"/>
    <s v="S"/>
    <s v="un fuste"/>
    <n v="10"/>
    <n v="10"/>
    <n v="17"/>
    <s v="Vol = Exp(-9.52375084+1.81551953*LN(DIAMETRO)+1.03039019*LN(ALTURATOTAL))"/>
    <n v="4.6212179647431767E-2"/>
    <n v="7.8960746141466566E-3"/>
  </r>
  <r>
    <n v="8"/>
    <x v="1"/>
    <m/>
    <n v="4"/>
    <n v="4"/>
    <s v="Anacardiaceae"/>
    <x v="25"/>
    <s v="Chechem"/>
    <m/>
    <m/>
    <m/>
    <n v="3"/>
    <e v="#REF!"/>
    <m/>
    <m/>
    <s v="un fuste"/>
    <n v="2.5"/>
    <n v="5"/>
    <m/>
    <m/>
    <m/>
    <m/>
  </r>
  <r>
    <n v="8"/>
    <x v="1"/>
    <m/>
    <n v="5"/>
    <n v="5"/>
    <s v="Araliaceae"/>
    <x v="28"/>
    <s v="Sak chacaj"/>
    <m/>
    <m/>
    <m/>
    <n v="3"/>
    <e v="#REF!"/>
    <m/>
    <m/>
    <s v="un fuste"/>
    <n v="2.5"/>
    <n v="5"/>
    <m/>
    <m/>
    <m/>
    <m/>
  </r>
  <r>
    <n v="7"/>
    <x v="0"/>
    <n v="1"/>
    <n v="2"/>
    <n v="2"/>
    <s v="Burseraceae"/>
    <x v="48"/>
    <s v="Copal "/>
    <n v="22"/>
    <n v="7.0028174960433951"/>
    <n v="4.5"/>
    <n v="8"/>
    <m/>
    <s v="C"/>
    <s v="S"/>
    <s v="un fuste"/>
    <n v="7.5"/>
    <n v="5"/>
    <m/>
    <m/>
    <m/>
    <m/>
  </r>
  <r>
    <n v="8"/>
    <x v="1"/>
    <m/>
    <n v="6"/>
    <n v="6"/>
    <s v="Malvaceae"/>
    <x v="27"/>
    <s v="Ho'ol"/>
    <m/>
    <m/>
    <m/>
    <n v="5"/>
    <e v="#REF!"/>
    <m/>
    <m/>
    <s v="un fuste"/>
    <n v="5"/>
    <n v="5"/>
    <m/>
    <m/>
    <m/>
    <m/>
  </r>
  <r>
    <n v="8"/>
    <x v="1"/>
    <m/>
    <n v="7"/>
    <n v="7"/>
    <s v="Burseraceae"/>
    <x v="48"/>
    <s v="Copal "/>
    <m/>
    <m/>
    <m/>
    <n v="1.5"/>
    <e v="#REF!"/>
    <m/>
    <m/>
    <s v="un fuste"/>
    <n v="2.5"/>
    <n v="5"/>
    <m/>
    <m/>
    <m/>
    <m/>
  </r>
  <r>
    <n v="2"/>
    <x v="2"/>
    <n v="4"/>
    <n v="51"/>
    <n v="56"/>
    <s v="Burseraceae"/>
    <x v="48"/>
    <s v="Copal "/>
    <n v="60.5"/>
    <n v="19.257748114119337"/>
    <n v="4"/>
    <n v="14"/>
    <m/>
    <s v="C"/>
    <s v="S"/>
    <s v="un fuste"/>
    <n v="15"/>
    <n v="20"/>
    <n v="17"/>
    <s v="Vol = Exp(-9.52375084+1.81551953*LN(DIAMETRO)+1.03039019*LN(ALTURATOTAL))"/>
    <n v="0.23827200798926257"/>
    <n v="2.9127344022605497E-2"/>
  </r>
  <r>
    <n v="8"/>
    <x v="1"/>
    <m/>
    <n v="8"/>
    <n v="8"/>
    <s v="Rubiaceae"/>
    <x v="35"/>
    <s v="Café de Monte"/>
    <m/>
    <m/>
    <m/>
    <n v="1.6"/>
    <e v="#REF!"/>
    <m/>
    <m/>
    <s v="un fuste"/>
    <n v="2.5"/>
    <n v="5"/>
    <m/>
    <m/>
    <m/>
    <m/>
  </r>
  <r>
    <n v="8"/>
    <x v="1"/>
    <m/>
    <n v="9"/>
    <n v="9"/>
    <s v="Lauraceae"/>
    <x v="0"/>
    <s v="Aguacatillo"/>
    <m/>
    <m/>
    <m/>
    <n v="1"/>
    <e v="#REF!"/>
    <m/>
    <m/>
    <s v="un fuste"/>
    <n v="2.5"/>
    <n v="5"/>
    <m/>
    <m/>
    <m/>
    <m/>
  </r>
  <r>
    <n v="8"/>
    <x v="1"/>
    <m/>
    <n v="10"/>
    <n v="10"/>
    <s v="Lauraceae"/>
    <x v="0"/>
    <s v="Aguacatillo"/>
    <m/>
    <m/>
    <m/>
    <n v="1"/>
    <e v="#REF!"/>
    <m/>
    <m/>
    <s v="un fuste"/>
    <n v="2.5"/>
    <n v="5"/>
    <m/>
    <m/>
    <m/>
    <m/>
  </r>
  <r>
    <n v="8"/>
    <x v="1"/>
    <m/>
    <n v="11"/>
    <n v="11"/>
    <s v="Lauraceae"/>
    <x v="0"/>
    <s v="Aguacatillo"/>
    <m/>
    <m/>
    <m/>
    <n v="0.4"/>
    <e v="#REF!"/>
    <m/>
    <m/>
    <s v="un fuste"/>
    <n v="2.5"/>
    <n v="5"/>
    <m/>
    <m/>
    <m/>
    <m/>
  </r>
  <r>
    <n v="8"/>
    <x v="1"/>
    <m/>
    <n v="12"/>
    <n v="12"/>
    <s v="Putranjivaceae"/>
    <x v="46"/>
    <s v="Ekulub"/>
    <m/>
    <m/>
    <m/>
    <n v="0.9"/>
    <e v="#REF!"/>
    <m/>
    <m/>
    <s v="un fuste"/>
    <n v="2.5"/>
    <n v="5"/>
    <m/>
    <m/>
    <m/>
    <m/>
  </r>
  <r>
    <n v="8"/>
    <x v="1"/>
    <m/>
    <n v="13"/>
    <n v="13"/>
    <s v="Rubiaceae"/>
    <x v="35"/>
    <s v="Café de Monte"/>
    <m/>
    <m/>
    <m/>
    <n v="1"/>
    <e v="#REF!"/>
    <m/>
    <m/>
    <s v="un fuste"/>
    <n v="2.5"/>
    <n v="5"/>
    <m/>
    <m/>
    <m/>
    <m/>
  </r>
  <r>
    <n v="8"/>
    <x v="1"/>
    <m/>
    <n v="14"/>
    <n v="14"/>
    <s v="Malvaceae "/>
    <x v="49"/>
    <s v="Tulipancillo"/>
    <m/>
    <m/>
    <m/>
    <n v="1.2"/>
    <e v="#REF!"/>
    <m/>
    <m/>
    <s v="un fuste"/>
    <n v="2.5"/>
    <n v="5"/>
    <m/>
    <m/>
    <m/>
    <m/>
  </r>
  <r>
    <n v="8"/>
    <x v="1"/>
    <m/>
    <n v="15"/>
    <n v="15"/>
    <s v="Meliaceae"/>
    <x v="37"/>
    <s v="Choobem che'"/>
    <m/>
    <m/>
    <m/>
    <n v="1.7"/>
    <e v="#REF!"/>
    <m/>
    <m/>
    <s v="un fuste"/>
    <n v="2.5"/>
    <n v="5"/>
    <m/>
    <m/>
    <m/>
    <m/>
  </r>
  <r>
    <n v="8"/>
    <x v="1"/>
    <m/>
    <n v="16"/>
    <n v="16"/>
    <s v="Rubiaceae"/>
    <x v="14"/>
    <s v="ka’an chak che"/>
    <m/>
    <m/>
    <m/>
    <n v="2"/>
    <e v="#REF!"/>
    <m/>
    <m/>
    <s v="un fuste"/>
    <n v="2.5"/>
    <n v="5"/>
    <m/>
    <m/>
    <m/>
    <m/>
  </r>
  <r>
    <n v="9"/>
    <x v="1"/>
    <m/>
    <n v="1"/>
    <n v="1"/>
    <s v="Smilacaceae"/>
    <x v="50"/>
    <s v="Bejuco diente de perro"/>
    <m/>
    <m/>
    <m/>
    <n v="6"/>
    <e v="#REF!"/>
    <m/>
    <s v="S"/>
    <s v="un fuste"/>
    <n v="5"/>
    <n v="5"/>
    <m/>
    <m/>
    <m/>
    <m/>
  </r>
  <r>
    <n v="9"/>
    <x v="1"/>
    <m/>
    <n v="2"/>
    <n v="2"/>
    <s v="Moraceae"/>
    <x v="23"/>
    <s v="Amatillo"/>
    <m/>
    <m/>
    <m/>
    <n v="1.5"/>
    <e v="#REF!"/>
    <m/>
    <s v="S"/>
    <s v="un fuste"/>
    <n v="2.5"/>
    <n v="5"/>
    <m/>
    <m/>
    <m/>
    <m/>
  </r>
  <r>
    <n v="3"/>
    <x v="2"/>
    <n v="1"/>
    <n v="4"/>
    <n v="4"/>
    <s v="Ebenaceae"/>
    <x v="51"/>
    <s v="Diospyros"/>
    <n v="38"/>
    <n v="12.095775674984045"/>
    <n v="7"/>
    <n v="9"/>
    <m/>
    <s v="C"/>
    <s v="S"/>
    <s v="un fuste"/>
    <n v="10"/>
    <n v="10"/>
    <n v="9"/>
    <s v="Vol = Exp(-9.45811109+1.82568462*LN(DIAMETRO)+1.00281859*LN(ALTURATOTAL))"/>
    <n v="6.6969092074145434E-2"/>
    <n v="1.1490986891234843E-2"/>
  </r>
  <r>
    <n v="2"/>
    <x v="0"/>
    <n v="1"/>
    <n v="4"/>
    <n v="4"/>
    <s v="Ebenaceae"/>
    <x v="51"/>
    <s v="Diospyros"/>
    <n v="16"/>
    <n v="5.0929581789406511"/>
    <n v="6"/>
    <n v="11"/>
    <m/>
    <s v="C"/>
    <s v="S"/>
    <s v="un fuste"/>
    <n v="10"/>
    <n v="5"/>
    <m/>
    <m/>
    <m/>
    <m/>
  </r>
  <r>
    <n v="9"/>
    <x v="1"/>
    <m/>
    <n v="3"/>
    <n v="3"/>
    <s v="Annonaceae"/>
    <x v="7"/>
    <s v="Ek elemuy"/>
    <m/>
    <m/>
    <m/>
    <n v="3"/>
    <e v="#REF!"/>
    <m/>
    <s v="S"/>
    <s v="un fuste"/>
    <n v="2.5"/>
    <n v="5"/>
    <m/>
    <m/>
    <m/>
    <m/>
  </r>
  <r>
    <n v="2"/>
    <x v="0"/>
    <n v="2"/>
    <n v="9"/>
    <n v="9"/>
    <s v="Ebenaceae"/>
    <x v="51"/>
    <s v="Diospyros"/>
    <n v="17"/>
    <n v="5.4112680651244416"/>
    <n v="8"/>
    <n v="9"/>
    <m/>
    <s v="C"/>
    <s v="S"/>
    <s v="un fuste"/>
    <n v="10"/>
    <n v="5"/>
    <m/>
    <m/>
    <m/>
    <m/>
  </r>
  <r>
    <n v="9"/>
    <x v="1"/>
    <m/>
    <n v="4"/>
    <n v="4"/>
    <s v="Annonaceae"/>
    <x v="7"/>
    <s v="Ek elemuy"/>
    <m/>
    <m/>
    <m/>
    <n v="1.9"/>
    <e v="#REF!"/>
    <m/>
    <s v="S"/>
    <s v="un fuste"/>
    <n v="2.5"/>
    <n v="5"/>
    <m/>
    <m/>
    <m/>
    <m/>
  </r>
  <r>
    <n v="9"/>
    <x v="1"/>
    <m/>
    <n v="5"/>
    <n v="5"/>
    <s v="Annonaceae"/>
    <x v="7"/>
    <s v="Ek elemuy"/>
    <m/>
    <m/>
    <m/>
    <n v="1.6"/>
    <e v="#REF!"/>
    <m/>
    <s v="S"/>
    <s v="un fuste"/>
    <n v="2.5"/>
    <n v="5"/>
    <m/>
    <m/>
    <m/>
    <m/>
  </r>
  <r>
    <n v="9"/>
    <x v="1"/>
    <m/>
    <n v="6"/>
    <n v="6"/>
    <s v="Leguminosae"/>
    <x v="52"/>
    <s v="Xul"/>
    <m/>
    <m/>
    <m/>
    <n v="2.5"/>
    <e v="#REF!"/>
    <m/>
    <s v="S"/>
    <s v="un fuste"/>
    <n v="2.5"/>
    <n v="5"/>
    <m/>
    <m/>
    <m/>
    <m/>
  </r>
  <r>
    <n v="9"/>
    <x v="1"/>
    <m/>
    <n v="7"/>
    <n v="7"/>
    <s v="Leguminosae"/>
    <x v="52"/>
    <s v="Xul"/>
    <m/>
    <m/>
    <m/>
    <n v="0.9"/>
    <e v="#REF!"/>
    <m/>
    <s v="S"/>
    <s v="un fuste"/>
    <n v="2.5"/>
    <n v="5"/>
    <m/>
    <m/>
    <m/>
    <m/>
  </r>
  <r>
    <n v="8"/>
    <x v="0"/>
    <n v="3"/>
    <n v="18"/>
    <n v="18"/>
    <s v="Ebenaceae"/>
    <x v="51"/>
    <s v="Diospyros"/>
    <n v="19"/>
    <n v="6.0478878374920226"/>
    <n v="9"/>
    <n v="10"/>
    <m/>
    <s v="C"/>
    <s v="S"/>
    <s v="un fuste"/>
    <n v="10"/>
    <n v="5"/>
    <m/>
    <m/>
    <m/>
    <m/>
  </r>
  <r>
    <n v="8"/>
    <x v="0"/>
    <n v="3"/>
    <n v="19"/>
    <n v="19"/>
    <s v="Ebenaceae"/>
    <x v="51"/>
    <s v="Diospyros"/>
    <n v="29"/>
    <n v="9.2309866993299305"/>
    <n v="9"/>
    <n v="9"/>
    <m/>
    <s v="C"/>
    <s v="SD"/>
    <s v="un fuste"/>
    <n v="10"/>
    <n v="10"/>
    <m/>
    <m/>
    <m/>
    <m/>
  </r>
  <r>
    <n v="8"/>
    <x v="0"/>
    <n v="3"/>
    <n v="20"/>
    <n v="20"/>
    <s v="Ebenaceae"/>
    <x v="51"/>
    <s v="Diospyros"/>
    <n v="20"/>
    <n v="6.366197723675814"/>
    <n v="9"/>
    <n v="11"/>
    <m/>
    <s v="C"/>
    <s v="S"/>
    <s v="un fuste"/>
    <n v="10"/>
    <n v="5"/>
    <m/>
    <m/>
    <m/>
    <m/>
  </r>
  <r>
    <n v="4"/>
    <x v="0"/>
    <n v="4"/>
    <n v="24"/>
    <n v="25"/>
    <s v="Ebenaceae"/>
    <x v="51"/>
    <s v="Diospyros"/>
    <n v="24"/>
    <n v="7.6394372684109761"/>
    <n v="6"/>
    <n v="9"/>
    <m/>
    <s v="C"/>
    <s v="S"/>
    <s v="un fuste"/>
    <n v="10"/>
    <n v="10"/>
    <m/>
    <m/>
    <m/>
    <m/>
  </r>
  <r>
    <n v="4"/>
    <x v="0"/>
    <n v="4"/>
    <n v="25"/>
    <n v="26"/>
    <s v="Ebenaceae"/>
    <x v="51"/>
    <s v="Diospyros"/>
    <n v="16"/>
    <n v="5.0929581789406511"/>
    <n v="7"/>
    <n v="9"/>
    <m/>
    <s v="C"/>
    <s v="S"/>
    <s v="un fuste"/>
    <n v="10"/>
    <n v="5"/>
    <m/>
    <m/>
    <m/>
    <m/>
  </r>
  <r>
    <n v="11"/>
    <x v="0"/>
    <n v="3"/>
    <n v="26"/>
    <n v="26"/>
    <s v="Ebenaceae"/>
    <x v="51"/>
    <s v="Diospyros"/>
    <n v="16"/>
    <n v="5.0929581789406511"/>
    <n v="4.5"/>
    <n v="8"/>
    <m/>
    <s v="C"/>
    <s v="S"/>
    <s v="un fuste"/>
    <n v="7.5"/>
    <n v="5"/>
    <m/>
    <m/>
    <m/>
    <m/>
  </r>
  <r>
    <n v="11"/>
    <x v="0"/>
    <n v="3"/>
    <n v="31"/>
    <n v="31"/>
    <s v="Ebenaceae"/>
    <x v="51"/>
    <s v="Diospyros"/>
    <n v="23"/>
    <n v="7.3211273822271856"/>
    <n v="6"/>
    <n v="10"/>
    <m/>
    <s v="C"/>
    <s v="S"/>
    <s v="un fuste"/>
    <n v="10"/>
    <n v="5"/>
    <m/>
    <m/>
    <m/>
    <m/>
  </r>
  <r>
    <n v="11"/>
    <x v="0"/>
    <n v="3"/>
    <n v="32"/>
    <n v="32"/>
    <s v="Ebenaceae"/>
    <x v="51"/>
    <s v="Diospyros"/>
    <n v="24"/>
    <n v="7.6394372684109761"/>
    <n v="4"/>
    <n v="10"/>
    <m/>
    <s v="C"/>
    <s v="S"/>
    <s v="un fuste"/>
    <n v="10"/>
    <n v="10"/>
    <m/>
    <m/>
    <m/>
    <m/>
  </r>
  <r>
    <n v="9"/>
    <x v="1"/>
    <m/>
    <n v="8"/>
    <n v="8"/>
    <s v="Leguminosae"/>
    <x v="52"/>
    <s v="Xul"/>
    <m/>
    <m/>
    <m/>
    <n v="2.2000000000000002"/>
    <e v="#REF!"/>
    <m/>
    <s v="S"/>
    <s v="un fuste"/>
    <n v="2.5"/>
    <n v="5"/>
    <m/>
    <m/>
    <m/>
    <m/>
  </r>
  <r>
    <n v="9"/>
    <x v="1"/>
    <m/>
    <n v="9"/>
    <n v="9"/>
    <s v="Leguminosae"/>
    <x v="52"/>
    <s v="Xul"/>
    <m/>
    <m/>
    <m/>
    <n v="2"/>
    <e v="#REF!"/>
    <m/>
    <s v="S"/>
    <s v="un fuste"/>
    <n v="2.5"/>
    <n v="5"/>
    <m/>
    <m/>
    <m/>
    <m/>
  </r>
  <r>
    <n v="9"/>
    <x v="1"/>
    <m/>
    <n v="10"/>
    <n v="10"/>
    <s v="Leguminosae"/>
    <x v="5"/>
    <s v="Cacao che"/>
    <m/>
    <m/>
    <m/>
    <n v="0.8"/>
    <e v="#REF!"/>
    <m/>
    <s v="S"/>
    <s v="un fuste"/>
    <n v="2.5"/>
    <n v="5"/>
    <m/>
    <m/>
    <m/>
    <m/>
  </r>
  <r>
    <n v="9"/>
    <x v="1"/>
    <m/>
    <n v="11"/>
    <n v="11"/>
    <s v="Leguminosae"/>
    <x v="5"/>
    <s v="Cacao che"/>
    <m/>
    <m/>
    <m/>
    <n v="1.2"/>
    <e v="#REF!"/>
    <m/>
    <s v="S"/>
    <s v="un fuste"/>
    <n v="2.5"/>
    <n v="5"/>
    <m/>
    <m/>
    <m/>
    <m/>
  </r>
  <r>
    <n v="9"/>
    <x v="1"/>
    <m/>
    <n v="12"/>
    <n v="12"/>
    <s v="Leguminosae"/>
    <x v="52"/>
    <s v="Xul"/>
    <m/>
    <m/>
    <m/>
    <n v="0.5"/>
    <e v="#REF!"/>
    <m/>
    <s v="S"/>
    <s v="un fuste"/>
    <n v="2.5"/>
    <n v="5"/>
    <m/>
    <m/>
    <m/>
    <m/>
  </r>
  <r>
    <n v="8"/>
    <x v="0"/>
    <n v="2"/>
    <n v="13"/>
    <n v="13"/>
    <s v="Annonaceae"/>
    <x v="7"/>
    <s v="Ek elemuy"/>
    <n v="26"/>
    <n v="8.2760570407785572"/>
    <n v="5"/>
    <n v="9"/>
    <m/>
    <s v="C"/>
    <s v="S"/>
    <s v="un fuste"/>
    <n v="10"/>
    <n v="10"/>
    <m/>
    <m/>
    <m/>
    <m/>
  </r>
  <r>
    <n v="9"/>
    <x v="1"/>
    <m/>
    <n v="13"/>
    <n v="13"/>
    <s v="Sapindaceae"/>
    <x v="33"/>
    <s v="Sak poom"/>
    <m/>
    <m/>
    <m/>
    <n v="4"/>
    <e v="#REF!"/>
    <m/>
    <s v="S"/>
    <s v="un fuste"/>
    <n v="5"/>
    <n v="5"/>
    <m/>
    <m/>
    <m/>
    <m/>
  </r>
  <r>
    <n v="9"/>
    <x v="1"/>
    <m/>
    <n v="14"/>
    <n v="14"/>
    <s v="Malvaceae"/>
    <x v="27"/>
    <s v="Ho'ol"/>
    <m/>
    <m/>
    <m/>
    <n v="6"/>
    <e v="#REF!"/>
    <m/>
    <s v="S"/>
    <s v="un fuste"/>
    <n v="5"/>
    <n v="5"/>
    <m/>
    <m/>
    <m/>
    <m/>
  </r>
  <r>
    <n v="9"/>
    <x v="1"/>
    <m/>
    <n v="15"/>
    <n v="15"/>
    <s v="Moraceae"/>
    <x v="21"/>
    <s v="Álamo"/>
    <m/>
    <m/>
    <m/>
    <n v="6"/>
    <e v="#REF!"/>
    <m/>
    <s v="S"/>
    <s v="un fuste"/>
    <n v="5"/>
    <n v="5"/>
    <m/>
    <m/>
    <m/>
    <m/>
  </r>
  <r>
    <n v="9"/>
    <x v="1"/>
    <m/>
    <n v="16"/>
    <n v="16"/>
    <s v="Moraceae"/>
    <x v="21"/>
    <s v="Álamo"/>
    <m/>
    <m/>
    <m/>
    <n v="3.5"/>
    <e v="#REF!"/>
    <m/>
    <s v="S"/>
    <s v="un fuste"/>
    <n v="2.5"/>
    <n v="5"/>
    <m/>
    <m/>
    <m/>
    <m/>
  </r>
  <r>
    <n v="9"/>
    <x v="1"/>
    <m/>
    <n v="17"/>
    <n v="17"/>
    <s v="Rubiaceae"/>
    <x v="14"/>
    <s v="ka’an chak che"/>
    <m/>
    <m/>
    <m/>
    <n v="4"/>
    <e v="#REF!"/>
    <m/>
    <s v="S"/>
    <s v="un fuste"/>
    <n v="5"/>
    <n v="5"/>
    <m/>
    <m/>
    <m/>
    <m/>
  </r>
  <r>
    <n v="9"/>
    <x v="1"/>
    <m/>
    <n v="18"/>
    <n v="18"/>
    <s v="Rubiaceae"/>
    <x v="15"/>
    <s v="Tasta'ab"/>
    <m/>
    <m/>
    <m/>
    <n v="5"/>
    <e v="#REF!"/>
    <m/>
    <s v="S"/>
    <s v="un fuste"/>
    <n v="5"/>
    <n v="5"/>
    <m/>
    <m/>
    <m/>
    <m/>
  </r>
  <r>
    <n v="9"/>
    <x v="1"/>
    <m/>
    <n v="19"/>
    <n v="19"/>
    <s v="Sapindaceae"/>
    <x v="24"/>
    <s v="Bejuco alado"/>
    <m/>
    <m/>
    <m/>
    <n v="8"/>
    <e v="#REF!"/>
    <m/>
    <s v="S"/>
    <s v="un fuste"/>
    <n v="7.5"/>
    <n v="5"/>
    <m/>
    <m/>
    <m/>
    <m/>
  </r>
  <r>
    <n v="9"/>
    <x v="1"/>
    <m/>
    <n v="20"/>
    <n v="20"/>
    <s v="Leguminosae"/>
    <x v="52"/>
    <s v="Xul"/>
    <m/>
    <m/>
    <m/>
    <n v="5"/>
    <e v="#REF!"/>
    <m/>
    <s v="S"/>
    <s v="un fuste"/>
    <n v="5"/>
    <n v="5"/>
    <m/>
    <m/>
    <m/>
    <m/>
  </r>
  <r>
    <n v="9"/>
    <x v="1"/>
    <m/>
    <n v="21"/>
    <n v="21"/>
    <s v="Sapindaceae"/>
    <x v="3"/>
    <s v="Bejuco tres lomos"/>
    <m/>
    <m/>
    <m/>
    <n v="0.4"/>
    <e v="#REF!"/>
    <m/>
    <s v="S"/>
    <s v="un fuste"/>
    <n v="2.5"/>
    <n v="5"/>
    <m/>
    <m/>
    <m/>
    <m/>
  </r>
  <r>
    <n v="4"/>
    <x v="2"/>
    <n v="2"/>
    <n v="31"/>
    <n v="32"/>
    <s v="Malvaceae"/>
    <x v="53"/>
    <s v="Guasimo blanco"/>
    <n v="32"/>
    <n v="10.185916357881302"/>
    <n v="4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4"/>
    <x v="2"/>
    <n v="3"/>
    <n v="41"/>
    <n v="43"/>
    <s v="Malvaceae"/>
    <x v="53"/>
    <s v="Guasimo blanco"/>
    <n v="32"/>
    <n v="10.185916357881302"/>
    <n v="4.5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9"/>
    <x v="1"/>
    <m/>
    <n v="22"/>
    <n v="22"/>
    <s v="Leguminosae"/>
    <x v="52"/>
    <s v="Xul"/>
    <m/>
    <m/>
    <m/>
    <n v="4"/>
    <e v="#REF!"/>
    <m/>
    <s v="S"/>
    <s v="un fuste"/>
    <n v="5"/>
    <n v="5"/>
    <m/>
    <m/>
    <m/>
    <m/>
  </r>
  <r>
    <n v="9"/>
    <x v="1"/>
    <m/>
    <n v="23"/>
    <n v="23"/>
    <s v="Leguminosae"/>
    <x v="52"/>
    <s v="Xul"/>
    <m/>
    <m/>
    <m/>
    <n v="3"/>
    <e v="#REF!"/>
    <m/>
    <s v="S"/>
    <s v="un fuste"/>
    <n v="2.5"/>
    <n v="5"/>
    <m/>
    <m/>
    <m/>
    <m/>
  </r>
  <r>
    <n v="9"/>
    <x v="1"/>
    <m/>
    <n v="24"/>
    <n v="24"/>
    <s v="Leguminosae"/>
    <x v="52"/>
    <s v="Xul"/>
    <m/>
    <m/>
    <m/>
    <n v="4"/>
    <e v="#REF!"/>
    <m/>
    <s v="S"/>
    <s v="un fuste"/>
    <n v="5"/>
    <n v="5"/>
    <m/>
    <m/>
    <m/>
    <m/>
  </r>
  <r>
    <n v="9"/>
    <x v="1"/>
    <m/>
    <n v="25"/>
    <n v="25"/>
    <s v="Malvaceae"/>
    <x v="27"/>
    <s v="Ho'ol"/>
    <m/>
    <m/>
    <m/>
    <n v="4"/>
    <e v="#REF!"/>
    <m/>
    <s v="S"/>
    <s v="un fuste"/>
    <n v="5"/>
    <n v="5"/>
    <m/>
    <m/>
    <m/>
    <m/>
  </r>
  <r>
    <n v="9"/>
    <x v="1"/>
    <m/>
    <n v="26"/>
    <n v="26"/>
    <s v="Malvaceae"/>
    <x v="27"/>
    <s v="Ho'ol"/>
    <m/>
    <m/>
    <m/>
    <n v="7"/>
    <e v="#REF!"/>
    <m/>
    <s v="S"/>
    <s v="un fuste"/>
    <n v="7.5"/>
    <n v="5"/>
    <m/>
    <m/>
    <m/>
    <m/>
  </r>
  <r>
    <n v="9"/>
    <x v="1"/>
    <m/>
    <n v="27"/>
    <n v="27"/>
    <s v="Leguminosae"/>
    <x v="5"/>
    <s v="Cacao che"/>
    <m/>
    <m/>
    <m/>
    <n v="1.3"/>
    <e v="#REF!"/>
    <m/>
    <s v="S"/>
    <s v="un fuste"/>
    <n v="2.5"/>
    <n v="5"/>
    <m/>
    <m/>
    <m/>
    <m/>
  </r>
  <r>
    <n v="9"/>
    <x v="1"/>
    <m/>
    <n v="28"/>
    <n v="28"/>
    <s v="Leguminosae"/>
    <x v="5"/>
    <s v="Cacao che"/>
    <m/>
    <m/>
    <m/>
    <n v="1"/>
    <e v="#REF!"/>
    <m/>
    <s v="S"/>
    <s v="un fuste"/>
    <n v="2.5"/>
    <n v="5"/>
    <m/>
    <m/>
    <m/>
    <m/>
  </r>
  <r>
    <n v="4"/>
    <x v="0"/>
    <n v="1"/>
    <n v="2"/>
    <n v="2"/>
    <s v="Malvaceae"/>
    <x v="27"/>
    <s v="Ho'ol"/>
    <n v="18.5"/>
    <n v="5.8887328944001274"/>
    <n v="6"/>
    <n v="7"/>
    <m/>
    <s v="C"/>
    <s v="S"/>
    <s v="un fuste"/>
    <n v="7.5"/>
    <n v="5"/>
    <m/>
    <m/>
    <m/>
    <m/>
  </r>
  <r>
    <n v="9"/>
    <x v="1"/>
    <m/>
    <n v="29"/>
    <n v="29"/>
    <s v="Rubiaceae"/>
    <x v="14"/>
    <s v="ka’an chak che"/>
    <m/>
    <m/>
    <m/>
    <n v="7"/>
    <e v="#REF!"/>
    <m/>
    <s v="S"/>
    <s v="un fuste"/>
    <n v="7.5"/>
    <n v="5"/>
    <m/>
    <m/>
    <m/>
    <m/>
  </r>
  <r>
    <n v="9"/>
    <x v="1"/>
    <m/>
    <n v="30"/>
    <n v="30"/>
    <s v="Leguminosae"/>
    <x v="5"/>
    <s v="Cacao che"/>
    <m/>
    <m/>
    <m/>
    <n v="2"/>
    <e v="#REF!"/>
    <m/>
    <s v="S"/>
    <s v="un fuste"/>
    <n v="2.5"/>
    <n v="5"/>
    <m/>
    <m/>
    <m/>
    <m/>
  </r>
  <r>
    <n v="3"/>
    <x v="0"/>
    <n v="2"/>
    <n v="6"/>
    <n v="6"/>
    <s v="Malvaceae"/>
    <x v="27"/>
    <s v="Ho'ol"/>
    <n v="18.5"/>
    <n v="5.8887328944001274"/>
    <n v="3.5"/>
    <n v="8"/>
    <m/>
    <s v="C"/>
    <s v="S"/>
    <s v="un fuste"/>
    <n v="7.5"/>
    <n v="5"/>
    <m/>
    <m/>
    <m/>
    <m/>
  </r>
  <r>
    <n v="9"/>
    <x v="1"/>
    <m/>
    <n v="31"/>
    <n v="31"/>
    <s v="Annonaceae"/>
    <x v="7"/>
    <s v="Ek elemuy"/>
    <m/>
    <m/>
    <m/>
    <n v="3"/>
    <e v="#REF!"/>
    <m/>
    <s v="S"/>
    <s v="un fuste"/>
    <n v="2.5"/>
    <n v="5"/>
    <m/>
    <m/>
    <m/>
    <m/>
  </r>
  <r>
    <n v="1"/>
    <x v="0"/>
    <n v="2"/>
    <n v="7"/>
    <n v="7"/>
    <s v="Malvaceae"/>
    <x v="27"/>
    <s v="Ho'ol"/>
    <n v="17"/>
    <n v="5.4112680651244416"/>
    <n v="2"/>
    <n v="6"/>
    <m/>
    <s v="C"/>
    <s v="S"/>
    <s v="un fuste"/>
    <n v="5"/>
    <n v="5"/>
    <m/>
    <m/>
    <m/>
    <m/>
  </r>
  <r>
    <n v="6"/>
    <x v="0"/>
    <n v="1"/>
    <n v="7"/>
    <n v="7"/>
    <s v="Malvaceae"/>
    <x v="27"/>
    <s v="Ho'ol"/>
    <n v="16.5"/>
    <n v="5.2521131220325463"/>
    <n v="4"/>
    <n v="9"/>
    <m/>
    <s v="C"/>
    <s v="S"/>
    <s v="un fuste"/>
    <n v="10"/>
    <n v="5"/>
    <m/>
    <m/>
    <m/>
    <m/>
  </r>
  <r>
    <n v="3"/>
    <x v="0"/>
    <n v="3"/>
    <n v="11"/>
    <n v="11"/>
    <s v="Malvaceae"/>
    <x v="27"/>
    <s v="Ho'ol"/>
    <n v="19.5"/>
    <n v="6.2070427805839179"/>
    <n v="3.5"/>
    <n v="8"/>
    <m/>
    <s v="C"/>
    <s v="S"/>
    <s v="un fuste"/>
    <n v="7.5"/>
    <n v="5"/>
    <m/>
    <m/>
    <m/>
    <m/>
  </r>
  <r>
    <n v="6"/>
    <x v="0"/>
    <n v="2"/>
    <n v="12"/>
    <n v="12"/>
    <s v="Malvaceae"/>
    <x v="27"/>
    <s v="Ho'ol"/>
    <n v="26"/>
    <n v="8.2760570407785572"/>
    <n v="7"/>
    <n v="9"/>
    <m/>
    <s v="C"/>
    <s v="S"/>
    <s v="un fuste"/>
    <n v="10"/>
    <n v="10"/>
    <m/>
    <m/>
    <m/>
    <m/>
  </r>
  <r>
    <n v="9"/>
    <x v="0"/>
    <n v="1"/>
    <n v="12"/>
    <n v="12"/>
    <s v="Malvaceae"/>
    <x v="27"/>
    <s v="Ho'ol"/>
    <n v="18"/>
    <n v="5.7295779513082321"/>
    <n v="6"/>
    <n v="9"/>
    <m/>
    <s v="C"/>
    <s v="S"/>
    <s v="un fuste"/>
    <n v="10"/>
    <n v="5"/>
    <m/>
    <m/>
    <m/>
    <m/>
  </r>
  <r>
    <n v="10"/>
    <x v="0"/>
    <n v="1"/>
    <n v="12"/>
    <n v="12"/>
    <s v="Malvaceae"/>
    <x v="27"/>
    <s v="Ho'ol"/>
    <n v="17.5"/>
    <n v="5.5704230082163368"/>
    <n v="8"/>
    <n v="10"/>
    <m/>
    <s v="C"/>
    <s v="S"/>
    <s v="un fuste"/>
    <n v="10"/>
    <n v="5"/>
    <m/>
    <m/>
    <m/>
    <m/>
  </r>
  <r>
    <n v="9"/>
    <x v="1"/>
    <m/>
    <n v="32"/>
    <n v="32"/>
    <s v="Rubiaceae"/>
    <x v="14"/>
    <s v="ka’an chak che"/>
    <m/>
    <m/>
    <m/>
    <n v="5"/>
    <e v="#REF!"/>
    <m/>
    <s v="S"/>
    <s v="un fuste"/>
    <n v="5"/>
    <n v="5"/>
    <m/>
    <m/>
    <m/>
    <m/>
  </r>
  <r>
    <n v="6"/>
    <x v="0"/>
    <n v="2"/>
    <n v="14"/>
    <n v="14"/>
    <s v="Malvaceae"/>
    <x v="27"/>
    <s v="Ho'ol"/>
    <n v="16.5"/>
    <n v="5.2521131220325463"/>
    <n v="5"/>
    <n v="8"/>
    <m/>
    <s v="C"/>
    <s v="S"/>
    <s v="un fuste"/>
    <n v="7.5"/>
    <n v="5"/>
    <m/>
    <m/>
    <m/>
    <m/>
  </r>
  <r>
    <n v="9"/>
    <x v="1"/>
    <m/>
    <n v="33"/>
    <n v="33"/>
    <s v="Moraceae"/>
    <x v="23"/>
    <s v="Amatillo"/>
    <m/>
    <m/>
    <m/>
    <n v="1.6"/>
    <e v="#REF!"/>
    <m/>
    <s v="S"/>
    <s v="un fuste"/>
    <n v="2.5"/>
    <n v="5"/>
    <m/>
    <m/>
    <m/>
    <m/>
  </r>
  <r>
    <n v="10"/>
    <x v="0"/>
    <n v="2"/>
    <n v="17"/>
    <n v="17"/>
    <s v="Malvaceae"/>
    <x v="27"/>
    <s v="Ho'ol"/>
    <n v="21"/>
    <n v="6.6845076098596046"/>
    <n v="6"/>
    <n v="10"/>
    <m/>
    <s v="C"/>
    <s v="S"/>
    <s v="un fuste"/>
    <n v="10"/>
    <n v="5"/>
    <m/>
    <m/>
    <m/>
    <m/>
  </r>
  <r>
    <n v="9"/>
    <x v="0"/>
    <n v="2"/>
    <n v="23"/>
    <n v="23"/>
    <s v="Malvaceae"/>
    <x v="27"/>
    <s v="Ho'ol"/>
    <n v="17.5"/>
    <n v="5.5704230082163368"/>
    <n v="5"/>
    <n v="9"/>
    <m/>
    <s v="C"/>
    <s v="S"/>
    <s v="un fuste"/>
    <n v="10"/>
    <n v="5"/>
    <m/>
    <m/>
    <m/>
    <m/>
  </r>
  <r>
    <n v="9"/>
    <x v="1"/>
    <m/>
    <n v="34"/>
    <n v="34"/>
    <s v="Moraceae"/>
    <x v="23"/>
    <s v="Amatillo"/>
    <m/>
    <m/>
    <m/>
    <n v="1"/>
    <e v="#REF!"/>
    <m/>
    <s v="S"/>
    <s v="un fuste"/>
    <n v="2.5"/>
    <n v="5"/>
    <m/>
    <m/>
    <m/>
    <m/>
  </r>
  <r>
    <n v="9"/>
    <x v="1"/>
    <m/>
    <n v="35"/>
    <n v="35"/>
    <s v="Euphorbiaceae"/>
    <x v="54"/>
    <s v="P'e'es k'uuch"/>
    <m/>
    <m/>
    <m/>
    <n v="1"/>
    <e v="#REF!"/>
    <m/>
    <s v="S"/>
    <s v="un fuste"/>
    <n v="2.5"/>
    <n v="5"/>
    <m/>
    <m/>
    <m/>
    <m/>
  </r>
  <r>
    <n v="11"/>
    <x v="0"/>
    <n v="3"/>
    <n v="29"/>
    <n v="29"/>
    <s v="Malvaceae"/>
    <x v="27"/>
    <s v="Ho'ol"/>
    <n v="17.5"/>
    <n v="5.5704230082163368"/>
    <n v="6"/>
    <n v="9"/>
    <m/>
    <s v="C"/>
    <s v="S"/>
    <s v="un fuste"/>
    <n v="10"/>
    <n v="5"/>
    <m/>
    <m/>
    <m/>
    <m/>
  </r>
  <r>
    <n v="9"/>
    <x v="0"/>
    <n v="3"/>
    <n v="36"/>
    <n v="36"/>
    <s v="Malvaceae"/>
    <x v="27"/>
    <s v="Ho'ol"/>
    <n v="16.5"/>
    <n v="5.2521131220325463"/>
    <n v="5"/>
    <n v="9"/>
    <m/>
    <s v="C"/>
    <s v="S"/>
    <s v="un fuste"/>
    <n v="10"/>
    <n v="5"/>
    <m/>
    <m/>
    <m/>
    <m/>
  </r>
  <r>
    <n v="9"/>
    <x v="0"/>
    <n v="3"/>
    <n v="38"/>
    <n v="38"/>
    <s v="Malvaceae"/>
    <x v="27"/>
    <s v="Ho'ol"/>
    <n v="17"/>
    <n v="5.4112680651244416"/>
    <n v="5"/>
    <n v="10"/>
    <m/>
    <s v="C"/>
    <s v="S"/>
    <s v="un fuste"/>
    <n v="10"/>
    <n v="5"/>
    <m/>
    <m/>
    <m/>
    <m/>
  </r>
  <r>
    <n v="10"/>
    <x v="0"/>
    <n v="4"/>
    <n v="40"/>
    <n v="40"/>
    <s v="Malvaceae"/>
    <x v="27"/>
    <s v="Ho'ol"/>
    <n v="17"/>
    <n v="5.4112680651244416"/>
    <n v="6"/>
    <n v="11"/>
    <m/>
    <s v="C"/>
    <s v="S"/>
    <s v="un fuste"/>
    <n v="10"/>
    <n v="5"/>
    <m/>
    <m/>
    <m/>
    <m/>
  </r>
  <r>
    <n v="10"/>
    <x v="0"/>
    <n v="4"/>
    <n v="41"/>
    <n v="41"/>
    <s v="Malvaceae"/>
    <x v="27"/>
    <s v="Ho'ol"/>
    <n v="17.5"/>
    <n v="5.5704230082163368"/>
    <n v="4"/>
    <n v="10"/>
    <m/>
    <s v="C"/>
    <s v="S"/>
    <s v="un fuste"/>
    <n v="10"/>
    <n v="5"/>
    <m/>
    <m/>
    <m/>
    <m/>
  </r>
  <r>
    <n v="10"/>
    <x v="0"/>
    <n v="4"/>
    <n v="42"/>
    <n v="42"/>
    <s v="Malvaceae"/>
    <x v="27"/>
    <s v="Ho'ol"/>
    <n v="18"/>
    <n v="5.7295779513082321"/>
    <n v="8"/>
    <n v="10"/>
    <m/>
    <s v="C"/>
    <s v="S"/>
    <s v="un fuste"/>
    <n v="10"/>
    <n v="5"/>
    <m/>
    <m/>
    <m/>
    <m/>
  </r>
  <r>
    <n v="1"/>
    <x v="2"/>
    <n v="1"/>
    <n v="1"/>
    <n v="1"/>
    <s v="Leguminosae"/>
    <x v="41"/>
    <s v="Jabín"/>
    <n v="44"/>
    <n v="14.00563499208679"/>
    <n v="6"/>
    <n v="12"/>
    <m/>
    <s v="C"/>
    <s v="S"/>
    <s v="un fuste"/>
    <n v="12.5"/>
    <n v="15"/>
    <n v="5"/>
    <s v="Vol = Exp(-9.5208709+1.85580925*LN(DIAMETRO)+0.96207943*LN(ALTURATOTAL))"/>
    <n v="0.10732866559467072"/>
    <n v="1.5406198491295471E-2"/>
  </r>
  <r>
    <n v="11"/>
    <x v="2"/>
    <n v="2"/>
    <n v="8"/>
    <n v="9"/>
    <s v="Leguminosae"/>
    <x v="41"/>
    <s v="Jabín"/>
    <n v="33.5"/>
    <n v="10.663381187156988"/>
    <n v="6"/>
    <n v="11"/>
    <m/>
    <s v="C"/>
    <s v="S"/>
    <s v="un fuste"/>
    <n v="10"/>
    <n v="10"/>
    <n v="5"/>
    <s v="Vol = Exp(-9.5208709+1.85580925*LN(DIAMETRO)+0.96207943*LN(ALTURATOTAL))"/>
    <n v="5.9513804408211086E-2"/>
    <n v="8.9305817442439771E-3"/>
  </r>
  <r>
    <n v="1"/>
    <x v="0"/>
    <n v="3"/>
    <n v="15"/>
    <n v="15"/>
    <s v="Leguminosae"/>
    <x v="41"/>
    <s v="Jabín"/>
    <n v="28"/>
    <n v="8.91267681314614"/>
    <n v="2.5"/>
    <n v="4"/>
    <m/>
    <s v="C"/>
    <s v="S"/>
    <s v="un fuste"/>
    <n v="5"/>
    <n v="10"/>
    <m/>
    <m/>
    <m/>
    <m/>
  </r>
  <r>
    <n v="10"/>
    <x v="1"/>
    <m/>
    <n v="1"/>
    <n v="1"/>
    <s v="Lauraceae"/>
    <x v="0"/>
    <s v="Aguacatillo"/>
    <m/>
    <m/>
    <m/>
    <n v="6"/>
    <e v="#REF!"/>
    <m/>
    <s v="S"/>
    <s v="un fuste"/>
    <n v="5"/>
    <n v="5"/>
    <m/>
    <m/>
    <m/>
    <m/>
  </r>
  <r>
    <n v="1"/>
    <x v="2"/>
    <n v="3"/>
    <n v="17"/>
    <n v="20"/>
    <s v="Leguminosae"/>
    <x v="41"/>
    <s v="Jabín"/>
    <n v="38.5"/>
    <n v="12.254930618075941"/>
    <n v="7"/>
    <n v="13"/>
    <m/>
    <s v="C"/>
    <s v="S"/>
    <s v="un fuste"/>
    <n v="12.5"/>
    <n v="10"/>
    <n v="5"/>
    <s v="Vol = Exp(-9.5208709+1.85580925*LN(DIAMETRO)+0.96207943*LN(ALTURATOTAL))"/>
    <n v="9.0476886170866258E-2"/>
    <n v="1.1795370719898092E-2"/>
  </r>
  <r>
    <n v="1"/>
    <x v="2"/>
    <n v="4"/>
    <n v="20"/>
    <n v="23"/>
    <s v="Leguminosae"/>
    <x v="41"/>
    <s v="Jabín"/>
    <n v="43.5"/>
    <n v="13.846480048994895"/>
    <n v="8"/>
    <n v="12"/>
    <m/>
    <s v="C"/>
    <s v="S"/>
    <s v="un fuste"/>
    <n v="12.5"/>
    <n v="15"/>
    <n v="5"/>
    <s v="Vol = Exp(-9.5208709+1.85580925*LN(DIAMETRO)+0.96207943*LN(ALTURATOTAL))"/>
    <n v="0.10507625117394749"/>
    <n v="1.5058047053281948E-2"/>
  </r>
  <r>
    <n v="1"/>
    <x v="0"/>
    <n v="4"/>
    <n v="23"/>
    <n v="23"/>
    <s v="Leguminosae"/>
    <x v="41"/>
    <s v="Jabín"/>
    <n v="18"/>
    <n v="5.7295779513082321"/>
    <n v="6"/>
    <n v="9"/>
    <m/>
    <s v="C"/>
    <s v="S"/>
    <s v="un fuste"/>
    <n v="10"/>
    <n v="5"/>
    <m/>
    <m/>
    <m/>
    <m/>
  </r>
  <r>
    <n v="1"/>
    <x v="0"/>
    <n v="4"/>
    <n v="24"/>
    <n v="24"/>
    <s v="Leguminosae"/>
    <x v="41"/>
    <s v="Jabín"/>
    <n v="17"/>
    <n v="5.4112680651244416"/>
    <n v="6"/>
    <n v="9"/>
    <m/>
    <s v="C"/>
    <s v="S"/>
    <s v="un fuste"/>
    <n v="10"/>
    <n v="5"/>
    <m/>
    <m/>
    <m/>
    <m/>
  </r>
  <r>
    <n v="1"/>
    <x v="2"/>
    <n v="4"/>
    <n v="23"/>
    <n v="26"/>
    <s v="Leguminosae"/>
    <x v="41"/>
    <s v="Jabín"/>
    <n v="53.5"/>
    <n v="17.0295789108328"/>
    <n v="5"/>
    <n v="13"/>
    <m/>
    <s v="C"/>
    <s v="S"/>
    <s v="un fuste"/>
    <n v="12.5"/>
    <n v="15"/>
    <n v="5"/>
    <s v="Vol = Exp(-9.5208709+1.85580925*LN(DIAMETRO)+0.96207943*LN(ALTURATOTAL))"/>
    <n v="0.16661722391675937"/>
    <n v="2.2777061793238865E-2"/>
  </r>
  <r>
    <n v="1"/>
    <x v="0"/>
    <n v="4"/>
    <n v="28"/>
    <n v="28"/>
    <s v="Leguminosae"/>
    <x v="41"/>
    <s v="Jabín"/>
    <n v="30"/>
    <n v="9.5492965855137211"/>
    <n v="9"/>
    <n v="14"/>
    <m/>
    <s v="C"/>
    <s v="S"/>
    <s v="un fuste"/>
    <n v="15"/>
    <n v="10"/>
    <m/>
    <m/>
    <m/>
    <m/>
  </r>
  <r>
    <n v="1"/>
    <x v="2"/>
    <n v="4"/>
    <n v="26"/>
    <n v="29"/>
    <s v="Leguminosae"/>
    <x v="41"/>
    <s v="Jabín"/>
    <n v="50.5"/>
    <n v="16.074649252281429"/>
    <n v="9"/>
    <n v="14"/>
    <m/>
    <s v="C"/>
    <s v="S"/>
    <s v="un fuste"/>
    <n v="15"/>
    <n v="15"/>
    <n v="5"/>
    <s v="Vol = Exp(-9.5208709+1.85580925*LN(DIAMETRO)+0.96207943*LN(ALTURATOTAL))"/>
    <n v="0.16075817789671062"/>
    <n v="2.0294244681005304E-2"/>
  </r>
  <r>
    <n v="1"/>
    <x v="2"/>
    <n v="4"/>
    <n v="29"/>
    <n v="32"/>
    <s v="Leguminosae"/>
    <x v="41"/>
    <s v="Jabín"/>
    <n v="41"/>
    <n v="13.050705333535419"/>
    <n v="6"/>
    <n v="12"/>
    <m/>
    <s v="C"/>
    <s v="S"/>
    <s v="un fuste"/>
    <n v="12.5"/>
    <n v="15"/>
    <n v="5"/>
    <s v="Vol = Exp(-9.5208709+1.85580925*LN(DIAMETRO)+0.96207943*LN(ALTURATOTAL))"/>
    <n v="9.4145648311599883E-2"/>
    <n v="1.3376972966873806E-2"/>
  </r>
  <r>
    <n v="11"/>
    <x v="0"/>
    <n v="4"/>
    <n v="40"/>
    <n v="40"/>
    <s v="Leguminosae"/>
    <x v="41"/>
    <s v="Jabín"/>
    <n v="20"/>
    <n v="6.366197723675814"/>
    <n v="5.5"/>
    <n v="8"/>
    <m/>
    <s v="C"/>
    <s v="S"/>
    <s v="un fuste"/>
    <n v="7.5"/>
    <n v="5"/>
    <m/>
    <m/>
    <m/>
    <m/>
  </r>
  <r>
    <n v="3"/>
    <x v="2"/>
    <n v="1"/>
    <n v="15"/>
    <n v="15"/>
    <s v="Anacardiaceae"/>
    <x v="55"/>
    <s v="Jobo"/>
    <n v="46"/>
    <n v="14.642254764454371"/>
    <n v="6"/>
    <n v="11"/>
    <m/>
    <s v="C"/>
    <s v="S"/>
    <s v="un fuste"/>
    <n v="10"/>
    <n v="15"/>
    <n v="14"/>
    <s v="Vol = Exp(-9.52375084+1.81551953*LN(DIAMETRO)+1.03039019*LN(ALTURATOTAL))"/>
    <n v="0.11300883133652777"/>
    <n v="1.6838592979122526E-2"/>
  </r>
  <r>
    <n v="1"/>
    <x v="2"/>
    <n v="3"/>
    <n v="15"/>
    <n v="18"/>
    <s v="Anacardiaceae"/>
    <x v="55"/>
    <s v="Jobo"/>
    <n v="35"/>
    <n v="11.140846016432674"/>
    <n v="5"/>
    <n v="11"/>
    <m/>
    <s v="C"/>
    <s v="S"/>
    <s v="un fuste"/>
    <n v="10"/>
    <n v="10"/>
    <n v="14"/>
    <s v="Vol = Exp(-9.52375084+1.81551953*LN(DIAMETRO)+1.03039019*LN(ALTURATOTAL))"/>
    <n v="6.8806387484092887E-2"/>
    <n v="9.7482402643785885E-3"/>
  </r>
  <r>
    <n v="8"/>
    <x v="2"/>
    <n v="2"/>
    <n v="24"/>
    <n v="26"/>
    <s v="Anacardiaceae"/>
    <x v="55"/>
    <s v="Jobo"/>
    <n v="37"/>
    <n v="11.777465788800255"/>
    <n v="5"/>
    <n v="10"/>
    <m/>
    <s v="C"/>
    <s v="S"/>
    <s v="un fuste"/>
    <n v="10"/>
    <n v="10"/>
    <n v="14"/>
    <s v="Vol = Exp(-9.52375084+1.81551953*LN(DIAMETRO)+1.03039019*LN(ALTURATOTAL))"/>
    <n v="6.8991137736137118E-2"/>
    <n v="1.0894155854640236E-2"/>
  </r>
  <r>
    <n v="3"/>
    <x v="2"/>
    <n v="2"/>
    <n v="27"/>
    <n v="27"/>
    <s v="Anacardiaceae"/>
    <x v="55"/>
    <s v="Jobo"/>
    <n v="32"/>
    <n v="10.185916357881302"/>
    <n v="7"/>
    <n v="9"/>
    <m/>
    <s v="C"/>
    <s v="S"/>
    <s v="un fuste"/>
    <n v="10"/>
    <n v="10"/>
    <n v="14"/>
    <s v="Vol = Exp(-9.52375084+1.81551953*LN(DIAMETRO)+1.03039019*LN(ALTURATOTAL))"/>
    <n v="4.7552522724025326E-2"/>
    <n v="8.1487330863050413E-3"/>
  </r>
  <r>
    <n v="3"/>
    <x v="2"/>
    <n v="2"/>
    <n v="28"/>
    <n v="28"/>
    <s v="Anacardiaceae"/>
    <x v="55"/>
    <s v="Jobo"/>
    <n v="34"/>
    <n v="10.822536130248883"/>
    <n v="7"/>
    <n v="9"/>
    <m/>
    <s v="C"/>
    <s v="S"/>
    <s v="un fuste"/>
    <n v="10"/>
    <n v="10"/>
    <n v="14"/>
    <s v="Vol = Exp(-9.52375084+1.81551953*LN(DIAMETRO)+1.03039019*LN(ALTURATOTAL))"/>
    <n v="5.3085298559275906E-2"/>
    <n v="9.1991557107115509E-3"/>
  </r>
  <r>
    <n v="10"/>
    <x v="1"/>
    <m/>
    <n v="2"/>
    <n v="2"/>
    <s v="Leguminosae"/>
    <x v="31"/>
    <s v="Kanasin"/>
    <m/>
    <m/>
    <m/>
    <n v="3"/>
    <e v="#REF!"/>
    <m/>
    <s v="S"/>
    <s v="un fuste"/>
    <n v="2.5"/>
    <n v="5"/>
    <m/>
    <m/>
    <m/>
    <m/>
  </r>
  <r>
    <n v="10"/>
    <x v="1"/>
    <m/>
    <n v="3"/>
    <n v="3"/>
    <s v="Ebenaceae"/>
    <x v="51"/>
    <s v="Diospyros"/>
    <m/>
    <m/>
    <m/>
    <n v="3"/>
    <e v="#REF!"/>
    <m/>
    <s v="S"/>
    <s v="un fuste"/>
    <n v="2.5"/>
    <n v="5"/>
    <m/>
    <m/>
    <m/>
    <m/>
  </r>
  <r>
    <n v="10"/>
    <x v="1"/>
    <m/>
    <n v="4"/>
    <n v="4"/>
    <s v="Araliaceae"/>
    <x v="28"/>
    <s v="Sak chacaj"/>
    <m/>
    <m/>
    <m/>
    <n v="1.8"/>
    <e v="#REF!"/>
    <m/>
    <s v="S"/>
    <s v="un fuste"/>
    <n v="2.5"/>
    <n v="5"/>
    <m/>
    <m/>
    <m/>
    <m/>
  </r>
  <r>
    <n v="10"/>
    <x v="1"/>
    <m/>
    <n v="5"/>
    <n v="5"/>
    <s v="Burseraceae"/>
    <x v="48"/>
    <s v="Copal "/>
    <m/>
    <m/>
    <m/>
    <n v="2"/>
    <e v="#REF!"/>
    <m/>
    <s v="S"/>
    <s v="un fuste"/>
    <n v="2.5"/>
    <n v="5"/>
    <m/>
    <m/>
    <m/>
    <m/>
  </r>
  <r>
    <n v="10"/>
    <x v="1"/>
    <m/>
    <n v="6"/>
    <n v="6"/>
    <s v="Araliaceae"/>
    <x v="28"/>
    <s v="Sak chacaj"/>
    <m/>
    <m/>
    <m/>
    <n v="3"/>
    <e v="#REF!"/>
    <m/>
    <s v="S"/>
    <s v="un fuste"/>
    <n v="2.5"/>
    <n v="5"/>
    <m/>
    <m/>
    <m/>
    <m/>
  </r>
  <r>
    <n v="10"/>
    <x v="1"/>
    <m/>
    <n v="7"/>
    <n v="7"/>
    <s v="Leguminosae"/>
    <x v="17"/>
    <s v="Ahmuk "/>
    <m/>
    <m/>
    <m/>
    <n v="10"/>
    <e v="#REF!"/>
    <m/>
    <s v="S"/>
    <s v="un fuste"/>
    <n v="10"/>
    <n v="5"/>
    <m/>
    <m/>
    <m/>
    <m/>
  </r>
  <r>
    <n v="10"/>
    <x v="1"/>
    <m/>
    <n v="8"/>
    <n v="8"/>
    <s v="Leguminosae"/>
    <x v="17"/>
    <s v="Ahmuk "/>
    <m/>
    <m/>
    <m/>
    <n v="10"/>
    <e v="#REF!"/>
    <m/>
    <s v="S"/>
    <s v="un fuste"/>
    <n v="10"/>
    <n v="5"/>
    <m/>
    <m/>
    <m/>
    <m/>
  </r>
  <r>
    <n v="2"/>
    <x v="0"/>
    <n v="1"/>
    <n v="5"/>
    <n v="5"/>
    <s v="Leguminosae"/>
    <x v="31"/>
    <s v="Kanasin"/>
    <n v="25"/>
    <n v="7.9577471545947667"/>
    <n v="5"/>
    <n v="11"/>
    <m/>
    <s v="C"/>
    <s v="S"/>
    <s v="un fuste"/>
    <n v="10"/>
    <n v="10"/>
    <m/>
    <m/>
    <m/>
    <m/>
  </r>
  <r>
    <n v="2"/>
    <x v="0"/>
    <n v="1"/>
    <n v="6"/>
    <n v="6"/>
    <s v="Leguminosae"/>
    <x v="31"/>
    <s v="Kanasin"/>
    <n v="26"/>
    <n v="8.2760570407785572"/>
    <n v="5"/>
    <n v="11"/>
    <m/>
    <s v="C"/>
    <s v="S"/>
    <s v="un fuste"/>
    <n v="10"/>
    <n v="10"/>
    <m/>
    <m/>
    <m/>
    <m/>
  </r>
  <r>
    <n v="5"/>
    <x v="0"/>
    <n v="1"/>
    <n v="6"/>
    <n v="7"/>
    <s v="Leguminosae"/>
    <x v="31"/>
    <s v="Kanasin"/>
    <n v="30"/>
    <n v="9.5492965855137211"/>
    <n v="6"/>
    <n v="12"/>
    <m/>
    <s v="C"/>
    <s v="S"/>
    <s v="un fuste"/>
    <n v="12.5"/>
    <n v="10"/>
    <m/>
    <m/>
    <m/>
    <m/>
  </r>
  <r>
    <n v="10"/>
    <x v="1"/>
    <m/>
    <n v="9"/>
    <n v="9"/>
    <s v="Lauraceae"/>
    <x v="0"/>
    <s v="Aguacatillo"/>
    <m/>
    <m/>
    <m/>
    <n v="0.8"/>
    <e v="#REF!"/>
    <m/>
    <s v="S"/>
    <s v="un fuste"/>
    <n v="2.5"/>
    <n v="5"/>
    <m/>
    <m/>
    <m/>
    <m/>
  </r>
  <r>
    <n v="5"/>
    <x v="2"/>
    <n v="1"/>
    <n v="8"/>
    <n v="8"/>
    <s v="Leguminosae"/>
    <x v="31"/>
    <s v="Kanasin"/>
    <n v="34.5"/>
    <n v="10.981691073340778"/>
    <n v="3.5"/>
    <n v="9"/>
    <m/>
    <s v="C"/>
    <s v="S"/>
    <s v="un fuste"/>
    <n v="10"/>
    <n v="10"/>
    <n v="5"/>
    <s v="Vol = Exp(-9.5208709+1.85580925*LN(DIAMETRO)+0.96207943*LN(ALTURATOTAL))"/>
    <n v="5.1817799215331653E-2"/>
    <n v="9.4717085507564219E-3"/>
  </r>
  <r>
    <n v="3"/>
    <x v="0"/>
    <n v="2"/>
    <n v="8"/>
    <n v="8"/>
    <s v="Leguminosae"/>
    <x v="31"/>
    <s v="Kanasin"/>
    <n v="27"/>
    <n v="8.5943669269623477"/>
    <n v="5"/>
    <n v="13"/>
    <m/>
    <s v="C"/>
    <s v="S"/>
    <s v="un fuste"/>
    <n v="12.5"/>
    <n v="10"/>
    <m/>
    <m/>
    <m/>
    <m/>
  </r>
  <r>
    <n v="10"/>
    <x v="1"/>
    <m/>
    <n v="10"/>
    <n v="10"/>
    <s v="Lauraceae"/>
    <x v="0"/>
    <s v="Aguacatillo"/>
    <m/>
    <m/>
    <m/>
    <n v="0.3"/>
    <e v="#REF!"/>
    <m/>
    <s v="S"/>
    <s v="un fuste"/>
    <n v="2.5"/>
    <n v="5"/>
    <m/>
    <m/>
    <m/>
    <m/>
  </r>
  <r>
    <n v="5"/>
    <x v="2"/>
    <n v="1"/>
    <n v="9"/>
    <n v="9"/>
    <s v="Leguminosae"/>
    <x v="31"/>
    <s v="Kanasin"/>
    <n v="34.5"/>
    <n v="10.981691073340778"/>
    <n v="7"/>
    <n v="10"/>
    <m/>
    <s v="C"/>
    <s v="S"/>
    <s v="un fuste"/>
    <n v="10"/>
    <n v="10"/>
    <n v="5"/>
    <s v="Vol = Exp(-9.5208709+1.85580925*LN(DIAMETRO)+0.96207943*LN(ALTURATOTAL))"/>
    <n v="5.7345758878432622E-2"/>
    <n v="9.4717085507564219E-3"/>
  </r>
  <r>
    <n v="6"/>
    <x v="0"/>
    <n v="2"/>
    <n v="9"/>
    <n v="9"/>
    <s v="Leguminosae"/>
    <x v="31"/>
    <s v="Kanasin"/>
    <n v="23"/>
    <n v="7.3211273822271856"/>
    <n v="7"/>
    <n v="9"/>
    <m/>
    <s v="C"/>
    <s v="S"/>
    <s v="un fuste"/>
    <n v="10"/>
    <n v="5"/>
    <m/>
    <m/>
    <m/>
    <m/>
  </r>
  <r>
    <n v="6"/>
    <x v="0"/>
    <n v="2"/>
    <n v="11"/>
    <n v="11"/>
    <s v="Leguminosae"/>
    <x v="31"/>
    <s v="Kanasin"/>
    <n v="17"/>
    <n v="5.4112680651244416"/>
    <n v="7"/>
    <n v="9"/>
    <m/>
    <s v="C"/>
    <s v="S"/>
    <s v="un fuste"/>
    <n v="10"/>
    <n v="5"/>
    <m/>
    <m/>
    <m/>
    <m/>
  </r>
  <r>
    <n v="10"/>
    <x v="1"/>
    <m/>
    <n v="11"/>
    <n v="11"/>
    <s v="Lauraceae"/>
    <x v="0"/>
    <s v="Aguacatillo"/>
    <m/>
    <m/>
    <m/>
    <n v="0.1"/>
    <e v="#REF!"/>
    <m/>
    <s v="S"/>
    <s v="un fuste"/>
    <n v="2.5"/>
    <n v="5"/>
    <m/>
    <m/>
    <m/>
    <m/>
  </r>
  <r>
    <n v="1"/>
    <x v="0"/>
    <n v="3"/>
    <n v="13"/>
    <n v="13"/>
    <s v="Leguminosae"/>
    <x v="31"/>
    <s v="Kanasin"/>
    <n v="22"/>
    <n v="7.0028174960433951"/>
    <n v="9"/>
    <n v="12"/>
    <m/>
    <s v="C"/>
    <s v="S"/>
    <s v="un fuste"/>
    <n v="12.5"/>
    <n v="5"/>
    <m/>
    <m/>
    <m/>
    <m/>
  </r>
  <r>
    <n v="6"/>
    <x v="0"/>
    <n v="2"/>
    <n v="13"/>
    <n v="13"/>
    <s v="Leguminosae"/>
    <x v="31"/>
    <s v="Kanasin"/>
    <n v="21"/>
    <n v="6.6845076098596046"/>
    <n v="7"/>
    <n v="10"/>
    <m/>
    <s v="C"/>
    <s v="S"/>
    <s v="un fuste"/>
    <n v="10"/>
    <n v="5"/>
    <m/>
    <m/>
    <m/>
    <m/>
  </r>
  <r>
    <n v="5"/>
    <x v="2"/>
    <n v="1"/>
    <n v="14"/>
    <n v="15"/>
    <s v="Leguminosae"/>
    <x v="31"/>
    <s v="Kanasin"/>
    <n v="33.5"/>
    <n v="10.663381187156988"/>
    <n v="7"/>
    <n v="11"/>
    <m/>
    <s v="C"/>
    <s v="S"/>
    <s v="un fuste"/>
    <n v="10"/>
    <n v="10"/>
    <n v="5"/>
    <s v="Vol = Exp(-9.5208709+1.85580925*LN(DIAMETRO)+0.96207943*LN(ALTURATOTAL))"/>
    <n v="5.9513804408211086E-2"/>
    <n v="8.9305817442439771E-3"/>
  </r>
  <r>
    <n v="10"/>
    <x v="1"/>
    <m/>
    <n v="12"/>
    <n v="12"/>
    <s v="Lauraceae"/>
    <x v="0"/>
    <s v="Aguacatillo"/>
    <m/>
    <m/>
    <m/>
    <n v="0.1"/>
    <e v="#REF!"/>
    <m/>
    <s v="S"/>
    <s v="un fuste"/>
    <n v="2.5"/>
    <n v="5"/>
    <m/>
    <m/>
    <m/>
    <m/>
  </r>
  <r>
    <n v="3"/>
    <x v="2"/>
    <n v="2"/>
    <n v="17"/>
    <n v="17"/>
    <s v="Leguminosae"/>
    <x v="31"/>
    <s v="Kanasin"/>
    <n v="55.5"/>
    <n v="17.666198683200381"/>
    <n v="8"/>
    <n v="14"/>
    <m/>
    <s v="C"/>
    <s v="S"/>
    <s v="un fuste"/>
    <n v="15"/>
    <n v="20"/>
    <n v="5"/>
    <s v="Vol = Exp(-9.5208709+1.85580925*LN(DIAMETRO)+0.96207943*LN(ALTURATOTAL))"/>
    <n v="0.19154209485507201"/>
    <n v="2.4511850672940524E-2"/>
  </r>
  <r>
    <n v="10"/>
    <x v="1"/>
    <m/>
    <n v="13"/>
    <n v="13"/>
    <s v="Lauraceae"/>
    <x v="0"/>
    <s v="Aguacatillo"/>
    <m/>
    <m/>
    <m/>
    <n v="0.2"/>
    <e v="#REF!"/>
    <m/>
    <s v="S"/>
    <s v="un fuste"/>
    <n v="2.5"/>
    <n v="5"/>
    <m/>
    <m/>
    <m/>
    <m/>
  </r>
  <r>
    <n v="4"/>
    <x v="0"/>
    <n v="3"/>
    <n v="17"/>
    <n v="18"/>
    <s v="Leguminosae"/>
    <x v="31"/>
    <s v="Kanasin"/>
    <n v="19"/>
    <n v="6.0478878374920226"/>
    <n v="10"/>
    <n v="12"/>
    <m/>
    <s v="C"/>
    <s v="S"/>
    <s v="un fuste"/>
    <n v="12.5"/>
    <n v="5"/>
    <m/>
    <m/>
    <m/>
    <m/>
  </r>
  <r>
    <n v="11"/>
    <x v="0"/>
    <n v="2"/>
    <n v="19"/>
    <n v="19"/>
    <s v="Leguminosae"/>
    <x v="31"/>
    <s v="Kanasin"/>
    <n v="21"/>
    <n v="6.6845076098596046"/>
    <n v="7"/>
    <n v="9"/>
    <m/>
    <s v="C"/>
    <s v="S"/>
    <s v="un fuste"/>
    <n v="10"/>
    <n v="5"/>
    <m/>
    <m/>
    <m/>
    <m/>
  </r>
  <r>
    <n v="4"/>
    <x v="0"/>
    <n v="3"/>
    <n v="19"/>
    <n v="20"/>
    <s v="Leguminosae"/>
    <x v="31"/>
    <s v="Kanasin"/>
    <n v="19.5"/>
    <n v="6.2070427805839179"/>
    <n v="6"/>
    <n v="10"/>
    <m/>
    <s v="C"/>
    <s v="S"/>
    <s v="un fuste"/>
    <n v="10"/>
    <n v="5"/>
    <m/>
    <m/>
    <m/>
    <m/>
  </r>
  <r>
    <n v="4"/>
    <x v="0"/>
    <n v="3"/>
    <n v="20"/>
    <n v="21"/>
    <s v="Leguminosae"/>
    <x v="31"/>
    <s v="Kanasin"/>
    <n v="19"/>
    <n v="6.0478878374920226"/>
    <n v="7"/>
    <n v="9"/>
    <m/>
    <s v="C"/>
    <s v="S"/>
    <s v="un fuste"/>
    <n v="10"/>
    <n v="5"/>
    <m/>
    <m/>
    <m/>
    <m/>
  </r>
  <r>
    <n v="5"/>
    <x v="0"/>
    <n v="3"/>
    <n v="20"/>
    <n v="21"/>
    <s v="Leguminosae"/>
    <x v="31"/>
    <s v="Kanasin"/>
    <n v="16.5"/>
    <n v="5.2521131220325463"/>
    <n v="6"/>
    <n v="8"/>
    <m/>
    <s v="C"/>
    <s v="S"/>
    <s v="un fuste"/>
    <n v="7.5"/>
    <n v="5"/>
    <m/>
    <m/>
    <m/>
    <m/>
  </r>
  <r>
    <n v="10"/>
    <x v="1"/>
    <m/>
    <n v="14"/>
    <n v="14"/>
    <s v="Lauraceae"/>
    <x v="0"/>
    <s v="Aguacatillo"/>
    <m/>
    <m/>
    <m/>
    <n v="0.12"/>
    <e v="#REF!"/>
    <m/>
    <s v="S"/>
    <s v="un fuste"/>
    <n v="2.5"/>
    <n v="5"/>
    <m/>
    <m/>
    <m/>
    <m/>
  </r>
  <r>
    <n v="10"/>
    <x v="1"/>
    <m/>
    <n v="15"/>
    <n v="15"/>
    <s v="Annonaceae"/>
    <x v="7"/>
    <s v="Ek elemuy"/>
    <m/>
    <m/>
    <m/>
    <n v="0.6"/>
    <e v="#REF!"/>
    <m/>
    <s v="S"/>
    <s v="un fuste"/>
    <n v="2.5"/>
    <n v="5"/>
    <m/>
    <m/>
    <m/>
    <m/>
  </r>
  <r>
    <n v="8"/>
    <x v="2"/>
    <n v="2"/>
    <n v="22"/>
    <n v="24"/>
    <s v="Leguminosae"/>
    <x v="31"/>
    <s v="Kanasin"/>
    <n v="39"/>
    <n v="12.414085561167836"/>
    <n v="10"/>
    <n v="14"/>
    <m/>
    <s v="C"/>
    <s v="S"/>
    <s v="un fuste"/>
    <n v="15"/>
    <n v="10"/>
    <n v="5"/>
    <s v="Vol = Exp(-9.5208709+1.85580925*LN(DIAMETRO)+0.96207943*LN(ALTURATOTAL))"/>
    <n v="9.951798984833457E-2"/>
    <n v="1.210373342213864E-2"/>
  </r>
  <r>
    <n v="10"/>
    <x v="0"/>
    <n v="2"/>
    <n v="24"/>
    <n v="24"/>
    <s v="Leguminosae"/>
    <x v="31"/>
    <s v="Kanasin"/>
    <n v="17"/>
    <n v="5.4112680651244416"/>
    <n v="6"/>
    <n v="8"/>
    <m/>
    <s v="C"/>
    <s v="S"/>
    <s v="un fuste"/>
    <n v="7.5"/>
    <n v="5"/>
    <m/>
    <m/>
    <m/>
    <m/>
  </r>
  <r>
    <n v="10"/>
    <x v="0"/>
    <n v="3"/>
    <n v="28"/>
    <n v="28"/>
    <s v="Leguminosae"/>
    <x v="31"/>
    <s v="Kanasin"/>
    <n v="20.5"/>
    <n v="6.5253526667677093"/>
    <n v="7"/>
    <n v="9"/>
    <m/>
    <s v="C"/>
    <s v="S"/>
    <s v="un fuste"/>
    <n v="10"/>
    <n v="5"/>
    <m/>
    <m/>
    <m/>
    <m/>
  </r>
  <r>
    <n v="10"/>
    <x v="0"/>
    <n v="3"/>
    <n v="30"/>
    <n v="30"/>
    <s v="Leguminosae"/>
    <x v="31"/>
    <s v="Kanasin"/>
    <n v="27.5"/>
    <n v="8.753521870054243"/>
    <n v="5"/>
    <n v="10"/>
    <m/>
    <s v="C"/>
    <s v="S"/>
    <s v="un fuste"/>
    <n v="10"/>
    <n v="10"/>
    <m/>
    <m/>
    <m/>
    <m/>
  </r>
  <r>
    <n v="10"/>
    <x v="0"/>
    <n v="3"/>
    <n v="31"/>
    <n v="31"/>
    <s v="Leguminosae"/>
    <x v="31"/>
    <s v="Kanasin"/>
    <n v="20"/>
    <n v="6.366197723675814"/>
    <n v="6"/>
    <n v="10"/>
    <m/>
    <s v="C"/>
    <s v="S"/>
    <s v="un fuste"/>
    <n v="10"/>
    <n v="5"/>
    <m/>
    <m/>
    <m/>
    <m/>
  </r>
  <r>
    <n v="10"/>
    <x v="0"/>
    <n v="3"/>
    <n v="34"/>
    <n v="34"/>
    <s v="Leguminosae"/>
    <x v="31"/>
    <s v="Kanasin"/>
    <n v="22.5"/>
    <n v="7.1619724391352904"/>
    <n v="7"/>
    <n v="11"/>
    <m/>
    <s v="C"/>
    <s v="S"/>
    <s v="un fuste"/>
    <n v="10"/>
    <n v="5"/>
    <m/>
    <m/>
    <m/>
    <m/>
  </r>
  <r>
    <n v="3"/>
    <x v="2"/>
    <n v="3"/>
    <n v="33"/>
    <n v="35"/>
    <s v="Leguminosae"/>
    <x v="31"/>
    <s v="Kanasin"/>
    <n v="40.5"/>
    <n v="12.891550390443523"/>
    <n v="8"/>
    <n v="13"/>
    <m/>
    <s v="C"/>
    <s v="S"/>
    <s v="un fuste"/>
    <n v="12.5"/>
    <n v="15"/>
    <n v="5"/>
    <s v="Vol = Exp(-9.5208709+1.85580925*LN(DIAMETRO)+0.96207943*LN(ALTURATOTAL))"/>
    <n v="9.9392784896936592E-2"/>
    <n v="1.3052694770324067E-2"/>
  </r>
  <r>
    <n v="10"/>
    <x v="0"/>
    <n v="3"/>
    <n v="35"/>
    <n v="35"/>
    <s v="Leguminosae"/>
    <x v="31"/>
    <s v="Kanasin"/>
    <n v="24.5"/>
    <n v="7.7985922115028714"/>
    <n v="7"/>
    <n v="10"/>
    <m/>
    <s v="C"/>
    <s v="S"/>
    <s v="un fuste"/>
    <n v="10"/>
    <n v="10"/>
    <m/>
    <m/>
    <m/>
    <m/>
  </r>
  <r>
    <n v="4"/>
    <x v="2"/>
    <n v="4"/>
    <n v="49"/>
    <n v="51"/>
    <s v="Leguminosae"/>
    <x v="31"/>
    <s v="Kanasin"/>
    <n v="44.5"/>
    <n v="14.164789935178685"/>
    <n v="7"/>
    <n v="14"/>
    <m/>
    <s v="C"/>
    <s v="S"/>
    <s v="un fuste"/>
    <n v="15"/>
    <n v="15"/>
    <n v="5"/>
    <s v="Vol = Exp(-9.5208709+1.85580925*LN(DIAMETRO)+0.96207943*LN(ALTURATOTAL))"/>
    <n v="0.12712499118476892"/>
    <n v="1.5758328802886287E-2"/>
  </r>
  <r>
    <n v="8"/>
    <x v="2"/>
    <n v="4"/>
    <n v="59"/>
    <n v="66"/>
    <s v="Leguminosae"/>
    <x v="31"/>
    <s v="Kanasin"/>
    <n v="32"/>
    <n v="10.185916357881302"/>
    <n v="9"/>
    <n v="13"/>
    <m/>
    <s v="C"/>
    <s v="S"/>
    <s v="un fuste"/>
    <n v="12.5"/>
    <n v="10"/>
    <n v="5"/>
    <s v="Vol = Exp(-9.5208709+1.85580925*LN(DIAMETRO)+0.96207943*LN(ALTURATOTAL))"/>
    <n v="6.4194262038205441E-2"/>
    <n v="8.1487330863050413E-3"/>
  </r>
  <r>
    <n v="9"/>
    <x v="2"/>
    <n v="1"/>
    <n v="1"/>
    <n v="1"/>
    <s v="Sapotaceae"/>
    <x v="38"/>
    <s v="Kaniste"/>
    <n v="33"/>
    <n v="10.504226244065093"/>
    <n v="7"/>
    <n v="11"/>
    <m/>
    <s v="C"/>
    <s v="S"/>
    <s v="un fuste"/>
    <n v="10"/>
    <n v="10"/>
    <n v="11"/>
    <s v="Vol = Exp(-9.88332368+1.9131735*LN(DIAMETRO)+1.07391062*LN(ALTURATOTAL))"/>
    <n v="6.0274885532040856E-2"/>
    <n v="8.6659866513537007E-3"/>
  </r>
  <r>
    <n v="10"/>
    <x v="1"/>
    <m/>
    <n v="16"/>
    <n v="16"/>
    <s v="Vitaceae "/>
    <x v="32"/>
    <s v="Bejuco Cissus"/>
    <m/>
    <m/>
    <m/>
    <n v="1.8"/>
    <e v="#REF!"/>
    <m/>
    <s v="S"/>
    <s v="un fuste"/>
    <n v="2.5"/>
    <n v="5"/>
    <m/>
    <m/>
    <m/>
    <m/>
  </r>
  <r>
    <n v="3"/>
    <x v="2"/>
    <n v="1"/>
    <n v="3"/>
    <n v="3"/>
    <s v="Sapotaceae"/>
    <x v="38"/>
    <s v="Kaniste"/>
    <n v="36"/>
    <n v="11.459155902616464"/>
    <n v="3.5"/>
    <n v="8"/>
    <m/>
    <s v="C"/>
    <s v="S"/>
    <s v="un fuste"/>
    <n v="7.5"/>
    <n v="10"/>
    <n v="11"/>
    <s v="Vol = Exp(-9.88332368+1.9131735*LN(DIAMETRO)+1.07391062*LN(ALTURATOTAL))"/>
    <n v="5.0571720759831372E-2"/>
    <n v="1.0313240312354817E-2"/>
  </r>
  <r>
    <n v="7"/>
    <x v="2"/>
    <n v="4"/>
    <n v="45"/>
    <n v="48"/>
    <s v="Sapotaceae"/>
    <x v="38"/>
    <s v="Kaniste"/>
    <n v="40"/>
    <n v="12.732395447351628"/>
    <n v="3"/>
    <n v="9"/>
    <m/>
    <s v="C"/>
    <s v="S"/>
    <s v="un fuste"/>
    <n v="10"/>
    <n v="15"/>
    <n v="11"/>
    <s v="Vol = Exp(-9.88332368+1.9131735*LN(DIAMETRO)+1.07391062*LN(ALTURATOTAL))"/>
    <n v="7.0207415625856279E-2"/>
    <n v="1.2732395447351628E-2"/>
  </r>
  <r>
    <n v="2"/>
    <x v="2"/>
    <n v="3"/>
    <n v="47"/>
    <n v="51"/>
    <s v="Sapotaceae"/>
    <x v="38"/>
    <s v="Kaniste"/>
    <n v="72"/>
    <n v="22.918311805232928"/>
    <n v="5"/>
    <n v="12"/>
    <m/>
    <s v="C"/>
    <s v="S"/>
    <s v="un fuste"/>
    <n v="12.5"/>
    <n v="25"/>
    <n v="11"/>
    <s v="Vol = Exp(-9.88332368+1.9131735*LN(DIAMETRO)+1.07391062*LN(ALTURATOTAL))"/>
    <n v="0.2943991927644426"/>
    <n v="4.1252961249419268E-2"/>
  </r>
  <r>
    <n v="5"/>
    <x v="0"/>
    <n v="1"/>
    <n v="4"/>
    <n v="5"/>
    <s v="Leguminosae"/>
    <x v="30"/>
    <s v="Katalox"/>
    <n v="18"/>
    <n v="5.7295779513082321"/>
    <n v="6"/>
    <n v="9"/>
    <m/>
    <s v="C"/>
    <s v="S"/>
    <s v="un fuste"/>
    <n v="10"/>
    <n v="5"/>
    <m/>
    <m/>
    <m/>
    <m/>
  </r>
  <r>
    <n v="10"/>
    <x v="1"/>
    <m/>
    <n v="17"/>
    <n v="17"/>
    <s v="Smilacaceae"/>
    <x v="50"/>
    <s v="Bejuco diente de perro"/>
    <m/>
    <m/>
    <m/>
    <n v="0.6"/>
    <e v="#REF!"/>
    <m/>
    <s v="S"/>
    <s v="un fuste"/>
    <n v="2.5"/>
    <n v="5"/>
    <m/>
    <m/>
    <m/>
    <m/>
  </r>
  <r>
    <n v="4"/>
    <x v="0"/>
    <n v="2"/>
    <n v="8"/>
    <n v="9"/>
    <s v="Leguminosae"/>
    <x v="30"/>
    <s v="Katalox"/>
    <n v="18.5"/>
    <n v="5.8887328944001274"/>
    <n v="5"/>
    <n v="8"/>
    <m/>
    <s v="C"/>
    <s v="S"/>
    <s v="un fuste"/>
    <n v="7.5"/>
    <n v="5"/>
    <m/>
    <m/>
    <m/>
    <m/>
  </r>
  <r>
    <n v="5"/>
    <x v="0"/>
    <n v="1"/>
    <n v="9"/>
    <n v="10"/>
    <s v="Leguminosae"/>
    <x v="30"/>
    <s v="Katalox"/>
    <n v="16"/>
    <n v="5.0929581789406511"/>
    <n v="6"/>
    <n v="8"/>
    <m/>
    <s v="C"/>
    <s v="S"/>
    <s v="un fuste"/>
    <n v="7.5"/>
    <n v="5"/>
    <m/>
    <m/>
    <m/>
    <m/>
  </r>
  <r>
    <n v="4"/>
    <x v="0"/>
    <n v="2"/>
    <n v="11"/>
    <n v="12"/>
    <s v="Leguminosae"/>
    <x v="30"/>
    <s v="Katalox"/>
    <n v="27.5"/>
    <n v="8.753521870054243"/>
    <n v="8"/>
    <n v="12"/>
    <m/>
    <s v="C"/>
    <s v="S"/>
    <s v="un fuste"/>
    <n v="12.5"/>
    <n v="10"/>
    <m/>
    <m/>
    <m/>
    <m/>
  </r>
  <r>
    <n v="4"/>
    <x v="0"/>
    <n v="2"/>
    <n v="12"/>
    <n v="13"/>
    <s v="Leguminosae"/>
    <x v="30"/>
    <s v="Katalox"/>
    <n v="18.5"/>
    <n v="5.8887328944001274"/>
    <n v="8"/>
    <n v="10"/>
    <m/>
    <s v="C"/>
    <s v="S"/>
    <s v="un fuste"/>
    <n v="10"/>
    <n v="5"/>
    <m/>
    <m/>
    <m/>
    <m/>
  </r>
  <r>
    <n v="4"/>
    <x v="0"/>
    <n v="2"/>
    <n v="13"/>
    <n v="14"/>
    <s v="Leguminosae"/>
    <x v="30"/>
    <s v="Katalox"/>
    <n v="17"/>
    <n v="5.4112680651244416"/>
    <n v="1.3"/>
    <n v="6"/>
    <m/>
    <s v="C"/>
    <s v="S"/>
    <s v="un fuste"/>
    <n v="5"/>
    <n v="5"/>
    <m/>
    <m/>
    <m/>
    <m/>
  </r>
  <r>
    <n v="5"/>
    <x v="0"/>
    <n v="2"/>
    <n v="14"/>
    <n v="15"/>
    <s v="Leguminosae"/>
    <x v="30"/>
    <s v="Katalox"/>
    <n v="27"/>
    <n v="8.5943669269623477"/>
    <n v="9"/>
    <n v="12"/>
    <m/>
    <s v="C"/>
    <s v="S"/>
    <s v="un fuste"/>
    <n v="12.5"/>
    <n v="10"/>
    <m/>
    <m/>
    <m/>
    <m/>
  </r>
  <r>
    <n v="5"/>
    <x v="0"/>
    <n v="2"/>
    <n v="15"/>
    <n v="16"/>
    <s v="Leguminosae"/>
    <x v="30"/>
    <s v="Katalox"/>
    <n v="16.5"/>
    <n v="5.2521131220325463"/>
    <n v="6"/>
    <n v="8"/>
    <m/>
    <s v="C"/>
    <s v="S"/>
    <s v="un fuste"/>
    <n v="7.5"/>
    <n v="5"/>
    <m/>
    <m/>
    <m/>
    <m/>
  </r>
  <r>
    <n v="4"/>
    <x v="0"/>
    <n v="2"/>
    <n v="16"/>
    <n v="17"/>
    <s v="Leguminosae"/>
    <x v="30"/>
    <s v="Katalox"/>
    <n v="17"/>
    <n v="5.4112680651244416"/>
    <n v="3"/>
    <n v="9"/>
    <m/>
    <s v="C"/>
    <s v="S"/>
    <s v="un fuste"/>
    <n v="10"/>
    <n v="5"/>
    <m/>
    <m/>
    <m/>
    <m/>
  </r>
  <r>
    <n v="11"/>
    <x v="2"/>
    <n v="4"/>
    <n v="18"/>
    <n v="19"/>
    <s v="Leguminosae"/>
    <x v="30"/>
    <s v="Katalox"/>
    <n v="36.5"/>
    <n v="11.618310845708359"/>
    <n v="9"/>
    <n v="12"/>
    <m/>
    <s v="C"/>
    <s v="S"/>
    <s v="un fuste"/>
    <n v="12.5"/>
    <n v="10"/>
    <n v="4"/>
    <s v="Vol = Exp(-9.67348922+1.86887607*LN(DIAMETRO)+1.01858126*LN(ALTURATOTAL))."/>
    <n v="7.7394669998741117E-2"/>
    <n v="1.0601708646708877E-2"/>
  </r>
  <r>
    <n v="5"/>
    <x v="2"/>
    <n v="2"/>
    <n v="23"/>
    <n v="25"/>
    <s v="Leguminosae"/>
    <x v="30"/>
    <s v="Katalox"/>
    <n v="32.5"/>
    <n v="10.345071300973197"/>
    <n v="5.5"/>
    <n v="10"/>
    <m/>
    <s v="C"/>
    <s v="S"/>
    <s v="un fuste"/>
    <n v="10"/>
    <n v="10"/>
    <n v="4"/>
    <s v="Vol = Exp(-9.67348922+1.86887607*LN(DIAMETRO)+1.01858126*LN(ALTURATOTAL))."/>
    <n v="5.1742737848470985E-2"/>
    <n v="8.4053704320407232E-3"/>
  </r>
  <r>
    <n v="5"/>
    <x v="2"/>
    <n v="3"/>
    <n v="25"/>
    <n v="27"/>
    <s v="Leguminosae"/>
    <x v="30"/>
    <s v="Katalox"/>
    <n v="36"/>
    <n v="11.459155902616464"/>
    <n v="7"/>
    <n v="12"/>
    <m/>
    <s v="C"/>
    <s v="S"/>
    <s v="un fuste"/>
    <n v="12.5"/>
    <n v="10"/>
    <n v="4"/>
    <s v="Vol = Exp(-9.67348922+1.86887607*LN(DIAMETRO)+1.01858126*LN(ALTURATOTAL))."/>
    <n v="7.5425084510373483E-2"/>
    <n v="1.0313240312354817E-2"/>
  </r>
  <r>
    <n v="5"/>
    <x v="0"/>
    <n v="4"/>
    <n v="26"/>
    <n v="28"/>
    <s v="Leguminosae"/>
    <x v="30"/>
    <s v="Katalox"/>
    <n v="23.5"/>
    <n v="7.4802823253190809"/>
    <n v="10"/>
    <n v="12"/>
    <m/>
    <s v="C"/>
    <s v="S"/>
    <s v="un fuste"/>
    <n v="12.5"/>
    <n v="5"/>
    <m/>
    <m/>
    <m/>
    <m/>
  </r>
  <r>
    <n v="4"/>
    <x v="2"/>
    <n v="2"/>
    <n v="30"/>
    <n v="31"/>
    <s v="Leguminosae"/>
    <x v="30"/>
    <s v="Katalox"/>
    <n v="40"/>
    <n v="12.732395447351628"/>
    <n v="5"/>
    <n v="13"/>
    <m/>
    <s v="C"/>
    <s v="S"/>
    <s v="un fuste"/>
    <n v="12.5"/>
    <n v="15"/>
    <n v="4"/>
    <s v="Vol = Exp(-9.67348922+1.86887607*LN(DIAMETRO)+1.01858126*LN(ALTURATOTAL))."/>
    <n v="9.9641192058036815E-2"/>
    <n v="1.2732395447351628E-2"/>
  </r>
  <r>
    <n v="5"/>
    <x v="0"/>
    <n v="4"/>
    <n v="32"/>
    <n v="34"/>
    <s v="Leguminosae"/>
    <x v="30"/>
    <s v="Katalox"/>
    <n v="23.5"/>
    <n v="7.4802823253190809"/>
    <n v="5"/>
    <n v="12"/>
    <m/>
    <s v="C"/>
    <s v="S"/>
    <s v="un fuste"/>
    <n v="12.5"/>
    <n v="5"/>
    <m/>
    <m/>
    <m/>
    <m/>
  </r>
  <r>
    <n v="4"/>
    <x v="2"/>
    <n v="3"/>
    <n v="34"/>
    <n v="35"/>
    <s v="Leguminosae"/>
    <x v="30"/>
    <s v="Katalox"/>
    <n v="32"/>
    <n v="10.185916357881302"/>
    <n v="6"/>
    <n v="7"/>
    <m/>
    <s v="C"/>
    <s v="S"/>
    <s v="un fuste"/>
    <n v="7.5"/>
    <n v="10"/>
    <n v="4"/>
    <s v="Vol = Exp(-9.67348922+1.86887607*LN(DIAMETRO)+1.01858126*LN(ALTURATOTAL))."/>
    <n v="3.4953068925715002E-2"/>
    <n v="8.1487330863050413E-3"/>
  </r>
  <r>
    <n v="4"/>
    <x v="2"/>
    <n v="3"/>
    <n v="35"/>
    <n v="36"/>
    <s v="Leguminosae"/>
    <x v="30"/>
    <s v="Katalox"/>
    <n v="40"/>
    <n v="12.732395447351628"/>
    <n v="8.5"/>
    <n v="12"/>
    <m/>
    <s v="C"/>
    <s v="S"/>
    <s v="un fuste"/>
    <n v="12.5"/>
    <n v="15"/>
    <n v="4"/>
    <s v="Vol = Exp(-9.67348922+1.86887607*LN(DIAMETRO)+1.01858126*LN(ALTURATOTAL))."/>
    <n v="9.1839790546696887E-2"/>
    <n v="1.2732395447351628E-2"/>
  </r>
  <r>
    <n v="11"/>
    <x v="0"/>
    <n v="4"/>
    <n v="36"/>
    <n v="36"/>
    <s v="Leguminosae"/>
    <x v="30"/>
    <s v="Katalox"/>
    <n v="16.5"/>
    <n v="5.2521131220325463"/>
    <n v="7"/>
    <n v="9"/>
    <m/>
    <s v="C"/>
    <s v="S"/>
    <s v="un fuste"/>
    <n v="10"/>
    <n v="5"/>
    <m/>
    <m/>
    <m/>
    <m/>
  </r>
  <r>
    <n v="8"/>
    <x v="2"/>
    <n v="3"/>
    <n v="39"/>
    <n v="44"/>
    <s v="Leguminosae"/>
    <x v="30"/>
    <s v="Katalox"/>
    <n v="37.5"/>
    <n v="11.93662073189215"/>
    <n v="7"/>
    <n v="14"/>
    <m/>
    <s v="C"/>
    <s v="SC"/>
    <s v="un fuste"/>
    <n v="15"/>
    <n v="10"/>
    <n v="4"/>
    <s v="Vol = Exp(-9.67348922+1.86887607*LN(DIAMETRO)+1.01858126*LN(ALTURATOTAL))."/>
    <n v="9.5244393166173807E-2"/>
    <n v="1.1190581936148891E-2"/>
  </r>
  <r>
    <n v="8"/>
    <x v="2"/>
    <n v="3"/>
    <n v="41"/>
    <n v="46"/>
    <s v="Leguminosae"/>
    <x v="30"/>
    <s v="Katalox"/>
    <n v="41"/>
    <n v="13.050705333535419"/>
    <n v="8"/>
    <n v="13"/>
    <m/>
    <s v="C"/>
    <s v="S"/>
    <s v="un fuste"/>
    <n v="12.5"/>
    <n v="15"/>
    <n v="4"/>
    <s v="Vol = Exp(-9.67348922+1.86887607*LN(DIAMETRO)+1.01858126*LN(ALTURATOTAL))."/>
    <n v="0.1043471255335823"/>
    <n v="1.3376972966873806E-2"/>
  </r>
  <r>
    <n v="1"/>
    <x v="0"/>
    <n v="2"/>
    <n v="10"/>
    <n v="10"/>
    <s v="Leguminosae"/>
    <x v="56"/>
    <s v="Kitamche"/>
    <n v="25"/>
    <n v="7.9577471545947667"/>
    <n v="6"/>
    <n v="9"/>
    <m/>
    <s v="C"/>
    <s v="S"/>
    <s v="un fuste"/>
    <n v="10"/>
    <n v="10"/>
    <m/>
    <m/>
    <m/>
    <m/>
  </r>
  <r>
    <n v="1"/>
    <x v="2"/>
    <n v="2"/>
    <n v="10"/>
    <n v="11"/>
    <s v="Leguminosae"/>
    <x v="56"/>
    <s v="Kitamche"/>
    <n v="43"/>
    <n v="13.687325105903"/>
    <n v="1.6"/>
    <n v="6"/>
    <m/>
    <s v="C"/>
    <s v="SD"/>
    <s v="un fuste"/>
    <n v="5"/>
    <n v="15"/>
    <n v="5"/>
    <s v="Vol = Exp(-9.5208709+1.85580925*LN(DIAMETRO)+0.96207943*LN(ALTURATOTAL))"/>
    <n v="5.2792490896479499E-2"/>
    <n v="1.4713874488845724E-2"/>
  </r>
  <r>
    <n v="1"/>
    <x v="0"/>
    <n v="3"/>
    <n v="20"/>
    <n v="20"/>
    <s v="Leguminosae"/>
    <x v="56"/>
    <s v="Kitamche"/>
    <n v="18"/>
    <n v="5.7295779513082321"/>
    <n v="5"/>
    <n v="12"/>
    <m/>
    <s v="C"/>
    <s v="S"/>
    <s v="un fuste"/>
    <n v="12.5"/>
    <n v="5"/>
    <m/>
    <m/>
    <m/>
    <m/>
  </r>
  <r>
    <n v="9"/>
    <x v="0"/>
    <n v="4"/>
    <n v="41"/>
    <n v="41"/>
    <s v="Leguminosae"/>
    <x v="56"/>
    <s v="Kitamche"/>
    <n v="17"/>
    <n v="5.4112680651244416"/>
    <n v="5"/>
    <n v="9"/>
    <m/>
    <s v="C"/>
    <s v="S"/>
    <s v="un fuste"/>
    <n v="10"/>
    <n v="5"/>
    <m/>
    <m/>
    <m/>
    <m/>
  </r>
  <r>
    <n v="9"/>
    <x v="0"/>
    <n v="4"/>
    <n v="46"/>
    <n v="46"/>
    <s v="Leguminosae"/>
    <x v="56"/>
    <s v="Kitamche"/>
    <n v="17.5"/>
    <n v="5.5704230082163368"/>
    <n v="8"/>
    <n v="10"/>
    <m/>
    <s v="C"/>
    <s v="S"/>
    <s v="un fuste"/>
    <n v="10"/>
    <n v="5"/>
    <m/>
    <m/>
    <m/>
    <m/>
  </r>
  <r>
    <n v="6"/>
    <x v="2"/>
    <n v="4"/>
    <n v="17"/>
    <n v="18"/>
    <s v="Boraginaceae"/>
    <x v="57"/>
    <s v="Bakal che'"/>
    <n v="33.5"/>
    <n v="10.663381187156988"/>
    <n v="3.5"/>
    <n v="10"/>
    <m/>
    <s v="C"/>
    <s v="S"/>
    <s v="un fuste"/>
    <n v="10"/>
    <n v="10"/>
    <n v="14"/>
    <s v="Vol = Exp(-9.52375084+1.81551953*LN(DIAMETRO)+1.03039019*LN(ALTURATOTAL))"/>
    <n v="5.760246666265334E-2"/>
    <n v="8.9305817442439771E-3"/>
  </r>
  <r>
    <n v="1"/>
    <x v="0"/>
    <n v="4"/>
    <n v="25"/>
    <n v="25"/>
    <s v="Leguminosae"/>
    <x v="58"/>
    <s v="Maay wakax"/>
    <n v="17"/>
    <n v="5.4112680651244416"/>
    <n v="3"/>
    <n v="9"/>
    <m/>
    <s v="C"/>
    <s v="S"/>
    <s v="un fuste"/>
    <n v="10"/>
    <n v="5"/>
    <m/>
    <m/>
    <m/>
    <m/>
  </r>
  <r>
    <n v="8"/>
    <x v="2"/>
    <n v="1"/>
    <n v="8"/>
    <n v="9"/>
    <s v="Arecaceae"/>
    <x v="40"/>
    <s v="Palma chit"/>
    <n v="40"/>
    <n v="12.732395447351628"/>
    <n v="1.9"/>
    <n v="5"/>
    <m/>
    <s v="R"/>
    <s v="S"/>
    <s v="un fuste"/>
    <m/>
    <m/>
    <m/>
    <m/>
    <m/>
    <m/>
  </r>
  <r>
    <n v="10"/>
    <x v="1"/>
    <m/>
    <n v="18"/>
    <n v="18"/>
    <s v="Vitaceae "/>
    <x v="32"/>
    <s v="Bejuco Cissus"/>
    <m/>
    <m/>
    <m/>
    <n v="0.1"/>
    <e v="#REF!"/>
    <m/>
    <s v="S"/>
    <s v="un fuste"/>
    <n v="2.5"/>
    <n v="5"/>
    <m/>
    <m/>
    <m/>
    <m/>
  </r>
  <r>
    <n v="10"/>
    <x v="1"/>
    <m/>
    <n v="19"/>
    <n v="19"/>
    <s v="Vitaceae "/>
    <x v="32"/>
    <s v="Bejuco Cissus"/>
    <m/>
    <m/>
    <m/>
    <n v="0.6"/>
    <e v="#REF!"/>
    <m/>
    <s v="S"/>
    <s v="un fuste"/>
    <n v="2.5"/>
    <n v="5"/>
    <m/>
    <m/>
    <m/>
    <m/>
  </r>
  <r>
    <n v="8"/>
    <x v="2"/>
    <n v="1"/>
    <n v="3"/>
    <n v="3"/>
    <s v="Simaroubaceae"/>
    <x v="59"/>
    <s v="Pasak"/>
    <n v="49"/>
    <n v="15.597184423005743"/>
    <n v="8"/>
    <n v="10"/>
    <m/>
    <s v="C"/>
    <s v="S"/>
    <s v="un fuste"/>
    <n v="10"/>
    <n v="15"/>
    <n v="13"/>
    <s v="Vol = Exp(-9.84052491+1.92716537*LN(DIAMETRO)+1.00282618*LN(ALTURATOTAL))."/>
    <n v="0.1067426174866082"/>
    <n v="1.9106550918182034E-2"/>
  </r>
  <r>
    <n v="4"/>
    <x v="2"/>
    <n v="2"/>
    <n v="27"/>
    <n v="28"/>
    <s v="Simaroubaceae"/>
    <x v="59"/>
    <s v="Pasak"/>
    <n v="32.5"/>
    <n v="10.345071300973197"/>
    <n v="3"/>
    <n v="8"/>
    <m/>
    <s v="C"/>
    <s v="SD"/>
    <s v="un fuste"/>
    <n v="7.5"/>
    <n v="10"/>
    <n v="13"/>
    <s v="Vol = Exp(-9.84052491+1.92716537*LN(DIAMETRO)+1.00282618*LN(ALTURATOTAL))."/>
    <n v="3.8682617447481221E-2"/>
    <n v="8.4053704320407232E-3"/>
  </r>
  <r>
    <n v="11"/>
    <x v="0"/>
    <n v="3"/>
    <n v="28"/>
    <n v="28"/>
    <s v="Simaroubaceae"/>
    <x v="59"/>
    <s v="Pasak"/>
    <n v="27"/>
    <n v="8.5943669269623477"/>
    <n v="7"/>
    <n v="12"/>
    <m/>
    <s v="C"/>
    <s v="S"/>
    <s v="un fuste"/>
    <n v="12.5"/>
    <n v="10"/>
    <m/>
    <m/>
    <m/>
    <m/>
  </r>
  <r>
    <n v="2"/>
    <x v="2"/>
    <n v="2"/>
    <n v="30"/>
    <n v="31"/>
    <s v="Simaroubaceae"/>
    <x v="59"/>
    <s v="Pasak"/>
    <n v="52.5"/>
    <n v="16.71126902464901"/>
    <n v="7"/>
    <n v="13"/>
    <m/>
    <s v="C"/>
    <s v="S"/>
    <s v="un fuste"/>
    <n v="12.5"/>
    <n v="15"/>
    <n v="13"/>
    <s v="Vol = Exp(-9.84052491+1.92716537*LN(DIAMETRO)+1.00282618*LN(ALTURATOTAL))."/>
    <n v="0.15861611605268491"/>
    <n v="2.1933540594851822E-2"/>
  </r>
  <r>
    <n v="7"/>
    <x v="2"/>
    <n v="4"/>
    <n v="36"/>
    <n v="39"/>
    <s v="Simaroubaceae"/>
    <x v="59"/>
    <s v="Pasak"/>
    <n v="32"/>
    <n v="10.185916357881302"/>
    <n v="5"/>
    <n v="10"/>
    <m/>
    <s v="C"/>
    <s v="S"/>
    <s v="un fuste"/>
    <n v="10"/>
    <n v="10"/>
    <n v="13"/>
    <s v="Vol = Exp(-9.84052491+1.92716537*LN(DIAMETRO)+1.00282618*LN(ALTURATOTAL))."/>
    <n v="4.6959494047362563E-2"/>
    <n v="8.1487330863050413E-3"/>
  </r>
  <r>
    <n v="7"/>
    <x v="2"/>
    <n v="4"/>
    <n v="37"/>
    <n v="40"/>
    <s v="Simaroubaceae"/>
    <x v="59"/>
    <s v="Pasak"/>
    <n v="33"/>
    <n v="10.504226244065093"/>
    <n v="8"/>
    <n v="12"/>
    <m/>
    <s v="C"/>
    <s v="S"/>
    <s v="un fuste"/>
    <n v="12.5"/>
    <n v="10"/>
    <n v="13"/>
    <s v="Vol = Exp(-9.84052491+1.92716537*LN(DIAMETRO)+1.00282618*LN(ALTURATOTAL))."/>
    <n v="5.9825040252638385E-2"/>
    <n v="8.6659866513537007E-3"/>
  </r>
  <r>
    <n v="3"/>
    <x v="2"/>
    <n v="4"/>
    <n v="50"/>
    <n v="59"/>
    <s v="Simaroubaceae"/>
    <x v="59"/>
    <s v="Pasak"/>
    <n v="43"/>
    <n v="13.687325105903"/>
    <n v="6"/>
    <n v="12"/>
    <m/>
    <s v="C"/>
    <s v="S"/>
    <s v="un fuste"/>
    <n v="12.5"/>
    <n v="15"/>
    <n v="13"/>
    <s v="Vol = Exp(-9.84052491+1.92716537*LN(DIAMETRO)+1.00282618*LN(ALTURATOTAL))."/>
    <n v="9.9636706000216499E-2"/>
    <n v="1.4713874488845724E-2"/>
  </r>
  <r>
    <n v="10"/>
    <x v="1"/>
    <m/>
    <n v="20"/>
    <n v="20"/>
    <s v="Vitaceae "/>
    <x v="32"/>
    <s v="Bejuco Cissus"/>
    <m/>
    <m/>
    <m/>
    <n v="0.4"/>
    <e v="#REF!"/>
    <m/>
    <s v="S"/>
    <s v="un fuste"/>
    <n v="2.5"/>
    <n v="5"/>
    <m/>
    <m/>
    <m/>
    <m/>
  </r>
  <r>
    <n v="10"/>
    <x v="1"/>
    <m/>
    <n v="21"/>
    <n v="21"/>
    <s v="Vitaceae "/>
    <x v="32"/>
    <s v="Bejuco Cissus"/>
    <m/>
    <m/>
    <m/>
    <n v="3"/>
    <e v="#REF!"/>
    <m/>
    <s v="S"/>
    <s v="un fuste"/>
    <n v="2.5"/>
    <n v="5"/>
    <m/>
    <m/>
    <m/>
    <m/>
  </r>
  <r>
    <n v="10"/>
    <x v="1"/>
    <m/>
    <n v="22"/>
    <n v="22"/>
    <s v="Leguminosae"/>
    <x v="31"/>
    <s v="Kanasin"/>
    <m/>
    <m/>
    <m/>
    <n v="0.25"/>
    <e v="#REF!"/>
    <m/>
    <s v="S"/>
    <s v="un fuste"/>
    <n v="2.5"/>
    <n v="5"/>
    <m/>
    <m/>
    <m/>
    <m/>
  </r>
  <r>
    <n v="4"/>
    <x v="0"/>
    <n v="1"/>
    <s v="5A"/>
    <n v="6"/>
    <s v="Araliaceae"/>
    <x v="28"/>
    <s v="Sak chacaj"/>
    <n v="17.5"/>
    <n v="5.5704230082163368"/>
    <n v="5"/>
    <n v="8"/>
    <m/>
    <s v="C"/>
    <s v="S"/>
    <e v="#VALUE!"/>
    <n v="7.5"/>
    <n v="5"/>
    <m/>
    <m/>
    <m/>
    <m/>
  </r>
  <r>
    <n v="10"/>
    <x v="0"/>
    <n v="1"/>
    <n v="6"/>
    <n v="6"/>
    <s v="Araliaceae"/>
    <x v="28"/>
    <s v="Sak chacaj"/>
    <n v="28"/>
    <n v="8.91267681314614"/>
    <n v="5.5"/>
    <n v="8"/>
    <m/>
    <s v="C"/>
    <s v="S"/>
    <s v="un fuste"/>
    <n v="7.5"/>
    <n v="10"/>
    <m/>
    <m/>
    <m/>
    <m/>
  </r>
  <r>
    <n v="10"/>
    <x v="1"/>
    <m/>
    <n v="23"/>
    <n v="23"/>
    <s v="Polygonaceae"/>
    <x v="22"/>
    <s v="Toyub"/>
    <m/>
    <m/>
    <m/>
    <n v="0.8"/>
    <e v="#REF!"/>
    <m/>
    <s v="S"/>
    <s v="un fuste"/>
    <n v="2.5"/>
    <n v="5"/>
    <m/>
    <m/>
    <m/>
    <m/>
  </r>
  <r>
    <n v="10"/>
    <x v="1"/>
    <m/>
    <n v="24"/>
    <n v="24"/>
    <s v="Vitaceae "/>
    <x v="32"/>
    <s v="Bejuco Cissus"/>
    <m/>
    <m/>
    <m/>
    <n v="0.2"/>
    <e v="#REF!"/>
    <m/>
    <s v="S"/>
    <s v="un fuste"/>
    <n v="2.5"/>
    <n v="5"/>
    <m/>
    <m/>
    <m/>
    <m/>
  </r>
  <r>
    <n v="4"/>
    <x v="2"/>
    <n v="1"/>
    <n v="7"/>
    <n v="7"/>
    <s v="Araliaceae"/>
    <x v="28"/>
    <s v="Sak chacaj"/>
    <n v="36"/>
    <n v="11.459155902616464"/>
    <n v="7"/>
    <n v="11"/>
    <m/>
    <s v="C"/>
    <s v="S"/>
    <s v="un fuste"/>
    <n v="10"/>
    <n v="10"/>
    <n v="17"/>
    <s v="Vol = Exp(-9.52375084+1.81551953*LN(DIAMETRO)+1.03039019*LN(ALTURATOTAL))"/>
    <n v="7.2417020336136742E-2"/>
    <n v="1.0313240312354817E-2"/>
  </r>
  <r>
    <n v="10"/>
    <x v="1"/>
    <m/>
    <n v="25"/>
    <n v="25"/>
    <s v="Lauraceae"/>
    <x v="0"/>
    <s v="Aguacatillo"/>
    <m/>
    <m/>
    <m/>
    <n v="0.2"/>
    <e v="#REF!"/>
    <m/>
    <s v="S"/>
    <s v="un fuste"/>
    <n v="2.5"/>
    <n v="5"/>
    <m/>
    <m/>
    <m/>
    <m/>
  </r>
  <r>
    <n v="2"/>
    <x v="2"/>
    <n v="1"/>
    <n v="8"/>
    <n v="8"/>
    <s v="Araliaceae"/>
    <x v="28"/>
    <s v="Sak chacaj"/>
    <n v="56"/>
    <n v="17.82535362629228"/>
    <n v="7"/>
    <n v="12"/>
    <m/>
    <s v="C"/>
    <s v="S"/>
    <s v="un fuste"/>
    <n v="12.5"/>
    <n v="20"/>
    <n v="17"/>
    <s v="Vol = Exp(-9.52375084+1.81551953*LN(DIAMETRO)+1.03039019*LN(ALTURATOTAL))"/>
    <n v="0.17666459993056352"/>
    <n v="2.4955495076809196E-2"/>
  </r>
  <r>
    <n v="8"/>
    <x v="2"/>
    <n v="1"/>
    <n v="7"/>
    <n v="8"/>
    <s v="Araliaceae"/>
    <x v="28"/>
    <s v="Sak chacaj"/>
    <n v="38"/>
    <n v="12.095775674984045"/>
    <n v="8"/>
    <n v="14"/>
    <m/>
    <s v="C"/>
    <s v="S"/>
    <s v="un fuste"/>
    <n v="15"/>
    <n v="10"/>
    <n v="17"/>
    <s v="Vol = Exp(-9.52375084+1.81551953*LN(DIAMETRO)+1.03039019*LN(ALTURATOTAL))"/>
    <n v="0.10242107202935821"/>
    <n v="1.1490986891234843E-2"/>
  </r>
  <r>
    <n v="5"/>
    <x v="0"/>
    <n v="1"/>
    <n v="7"/>
    <n v="8"/>
    <s v="Araliaceae"/>
    <x v="28"/>
    <s v="Sak chacaj"/>
    <n v="21"/>
    <n v="6.6845076098596046"/>
    <n v="6"/>
    <n v="8"/>
    <m/>
    <s v="C"/>
    <s v="S"/>
    <s v="un fuste"/>
    <n v="7.5"/>
    <n v="5"/>
    <m/>
    <m/>
    <m/>
    <m/>
  </r>
  <r>
    <n v="10"/>
    <x v="1"/>
    <m/>
    <n v="26"/>
    <n v="26"/>
    <s v="Lauraceae"/>
    <x v="0"/>
    <s v="Aguacatillo"/>
    <m/>
    <m/>
    <m/>
    <n v="0.1"/>
    <e v="#REF!"/>
    <m/>
    <s v="S"/>
    <s v="un fuste"/>
    <n v="2.5"/>
    <n v="5"/>
    <m/>
    <m/>
    <m/>
    <m/>
  </r>
  <r>
    <n v="5"/>
    <x v="0"/>
    <n v="1"/>
    <n v="8"/>
    <n v="9"/>
    <s v="Araliaceae"/>
    <x v="28"/>
    <s v="Sak chacaj"/>
    <n v="24"/>
    <n v="7.6394372684109761"/>
    <n v="5"/>
    <n v="8"/>
    <m/>
    <s v="C"/>
    <s v="S"/>
    <s v="un fuste"/>
    <n v="7.5"/>
    <n v="10"/>
    <m/>
    <m/>
    <m/>
    <m/>
  </r>
  <r>
    <n v="11"/>
    <x v="1"/>
    <m/>
    <n v="1"/>
    <n v="1"/>
    <s v="Arecaceae"/>
    <x v="60"/>
    <s v="Xa'an"/>
    <m/>
    <m/>
    <m/>
    <n v="3.5"/>
    <e v="#REF!"/>
    <m/>
    <s v="S"/>
    <s v="un fuste"/>
    <m/>
    <m/>
    <m/>
    <m/>
    <m/>
    <m/>
  </r>
  <r>
    <n v="8"/>
    <x v="2"/>
    <n v="1"/>
    <n v="10"/>
    <n v="11"/>
    <s v="Araliaceae"/>
    <x v="28"/>
    <s v="Sak chacaj"/>
    <n v="46"/>
    <n v="14.642254764454371"/>
    <n v="5"/>
    <n v="13"/>
    <m/>
    <s v="C"/>
    <s v="S"/>
    <s v="un fuste"/>
    <n v="12.5"/>
    <n v="15"/>
    <n v="17"/>
    <s v="Vol = Exp(-9.52375084+1.81551953*LN(DIAMETRO)+1.03039019*LN(ALTURATOTAL))"/>
    <n v="0.1342356528954648"/>
    <n v="1.6838592979122526E-2"/>
  </r>
  <r>
    <n v="10"/>
    <x v="0"/>
    <n v="1"/>
    <n v="11"/>
    <n v="11"/>
    <s v="Araliaceae"/>
    <x v="28"/>
    <s v="Sak chacaj"/>
    <n v="18.5"/>
    <n v="5.8887328944001274"/>
    <n v="6"/>
    <n v="9"/>
    <m/>
    <s v="C"/>
    <s v="S"/>
    <s v="un fuste"/>
    <n v="10"/>
    <n v="5"/>
    <m/>
    <m/>
    <m/>
    <m/>
  </r>
  <r>
    <n v="8"/>
    <x v="2"/>
    <n v="1"/>
    <n v="11"/>
    <n v="12"/>
    <s v="Araliaceae"/>
    <x v="28"/>
    <s v="Sak chacaj"/>
    <n v="42"/>
    <n v="13.369015219719209"/>
    <n v="6"/>
    <n v="10"/>
    <m/>
    <s v="C"/>
    <s v="S"/>
    <s v="un fuste"/>
    <n v="10"/>
    <n v="15"/>
    <n v="17"/>
    <s v="Vol = Exp(-9.52375084+1.81551953*LN(DIAMETRO)+1.03039019*LN(ALTURATOTAL))"/>
    <n v="8.6842684246796406E-2"/>
    <n v="1.4037465980705171E-2"/>
  </r>
  <r>
    <n v="1"/>
    <x v="0"/>
    <n v="2"/>
    <n v="12"/>
    <n v="12"/>
    <s v="Araliaceae"/>
    <x v="28"/>
    <s v="Sak chacaj"/>
    <n v="20"/>
    <n v="6.366197723675814"/>
    <n v="6"/>
    <n v="9"/>
    <m/>
    <s v="C"/>
    <s v="S"/>
    <s v="un fuste"/>
    <n v="10"/>
    <n v="5"/>
    <m/>
    <m/>
    <m/>
    <m/>
  </r>
  <r>
    <n v="5"/>
    <x v="0"/>
    <n v="2"/>
    <n v="12"/>
    <n v="13"/>
    <s v="Araliaceae"/>
    <x v="28"/>
    <s v="Sak chacaj"/>
    <n v="17"/>
    <n v="5.4112680651244416"/>
    <n v="3"/>
    <n v="8"/>
    <m/>
    <s v="C"/>
    <s v="S"/>
    <s v="un fuste"/>
    <n v="7.5"/>
    <n v="5"/>
    <m/>
    <m/>
    <m/>
    <m/>
  </r>
  <r>
    <n v="11"/>
    <x v="1"/>
    <m/>
    <n v="2"/>
    <n v="2"/>
    <s v="Malvaceae"/>
    <x v="27"/>
    <s v="Ho'ol"/>
    <m/>
    <m/>
    <m/>
    <n v="3.5"/>
    <e v="#REF!"/>
    <m/>
    <s v="S"/>
    <s v="un fuste"/>
    <n v="2.5"/>
    <n v="5"/>
    <m/>
    <m/>
    <m/>
    <m/>
  </r>
  <r>
    <n v="8"/>
    <x v="2"/>
    <n v="1"/>
    <n v="13"/>
    <n v="14"/>
    <s v="Araliaceae"/>
    <x v="28"/>
    <s v="Sak chacaj"/>
    <n v="49.5"/>
    <n v="15.756339366097638"/>
    <n v="6"/>
    <n v="14"/>
    <m/>
    <s v="C"/>
    <s v="S"/>
    <s v="un fuste"/>
    <n v="15"/>
    <n v="15"/>
    <n v="17"/>
    <s v="Vol = Exp(-9.52375084+1.81551953*LN(DIAMETRO)+1.03039019*LN(ALTURATOTAL))"/>
    <n v="0.16551988606149298"/>
    <n v="1.9498469965545825E-2"/>
  </r>
  <r>
    <n v="8"/>
    <x v="0"/>
    <n v="2"/>
    <n v="14"/>
    <n v="14"/>
    <s v="Araliaceae"/>
    <x v="28"/>
    <s v="Sak chacaj"/>
    <n v="19"/>
    <n v="6.0478878374920226"/>
    <n v="6"/>
    <n v="9"/>
    <m/>
    <s v="C"/>
    <s v="S"/>
    <s v="un fuste"/>
    <n v="10"/>
    <n v="5"/>
    <m/>
    <m/>
    <m/>
    <m/>
  </r>
  <r>
    <n v="4"/>
    <x v="2"/>
    <n v="1"/>
    <n v="15"/>
    <n v="15"/>
    <s v="Araliaceae"/>
    <x v="28"/>
    <s v="Sak chacaj"/>
    <n v="39"/>
    <n v="12.414085561167836"/>
    <n v="6"/>
    <n v="13"/>
    <m/>
    <s v="C"/>
    <s v="S"/>
    <s v="un fuste"/>
    <n v="12.5"/>
    <n v="10"/>
    <n v="17"/>
    <s v="Vol = Exp(-9.52375084+1.81551953*LN(DIAMETRO)+1.03039019*LN(ALTURATOTAL))"/>
    <n v="9.9473507092131805E-2"/>
    <n v="1.210373342213864E-2"/>
  </r>
  <r>
    <n v="1"/>
    <x v="2"/>
    <n v="2"/>
    <n v="13"/>
    <n v="16"/>
    <s v="Araliaceae"/>
    <x v="28"/>
    <s v="Sak chacaj"/>
    <n v="40.5"/>
    <n v="12.891550390443523"/>
    <n v="7"/>
    <n v="14"/>
    <m/>
    <s v="C"/>
    <s v="S"/>
    <s v="un fuste"/>
    <n v="15"/>
    <n v="15"/>
    <n v="17"/>
    <s v="Vol = Exp(-9.52375084+1.81551953*LN(DIAMETRO)+1.03039019*LN(ALTURATOTAL))"/>
    <n v="0.11498133126508182"/>
    <n v="1.3052694770324067E-2"/>
  </r>
  <r>
    <n v="8"/>
    <x v="0"/>
    <n v="2"/>
    <n v="16"/>
    <n v="16"/>
    <s v="Araliaceae"/>
    <x v="28"/>
    <s v="Sak chacaj"/>
    <n v="22"/>
    <n v="7.0028174960433951"/>
    <n v="7"/>
    <n v="10"/>
    <m/>
    <s v="C"/>
    <s v="S"/>
    <s v="un fuste"/>
    <n v="10"/>
    <n v="5"/>
    <m/>
    <m/>
    <m/>
    <m/>
  </r>
  <r>
    <n v="8"/>
    <x v="0"/>
    <n v="3"/>
    <n v="17"/>
    <n v="17"/>
    <s v="Araliaceae"/>
    <x v="28"/>
    <s v="Sak chacaj"/>
    <n v="27"/>
    <n v="8.5943669269623477"/>
    <n v="6"/>
    <n v="9"/>
    <m/>
    <s v="C"/>
    <s v="S"/>
    <s v="un fuste"/>
    <n v="10"/>
    <n v="10"/>
    <m/>
    <m/>
    <m/>
    <m/>
  </r>
  <r>
    <n v="1"/>
    <x v="0"/>
    <n v="3"/>
    <n v="18"/>
    <n v="18"/>
    <s v="Araliaceae"/>
    <x v="28"/>
    <s v="Sak chacaj"/>
    <n v="16.5"/>
    <n v="5.2521131220325463"/>
    <n v="1.6"/>
    <n v="3.5"/>
    <m/>
    <s v="C"/>
    <s v="S"/>
    <s v="un fuste"/>
    <n v="2.5"/>
    <n v="5"/>
    <m/>
    <m/>
    <m/>
    <m/>
  </r>
  <r>
    <n v="3"/>
    <x v="0"/>
    <n v="4"/>
    <n v="18"/>
    <n v="18"/>
    <s v="Araliaceae"/>
    <x v="28"/>
    <s v="Sak chacaj"/>
    <n v="16"/>
    <n v="5.0929581789406511"/>
    <n v="3"/>
    <n v="8"/>
    <m/>
    <s v="C"/>
    <s v="S"/>
    <s v="un fuste"/>
    <n v="7.5"/>
    <n v="5"/>
    <m/>
    <m/>
    <m/>
    <m/>
  </r>
  <r>
    <n v="10"/>
    <x v="0"/>
    <n v="2"/>
    <n v="18"/>
    <n v="18"/>
    <s v="Araliaceae"/>
    <x v="28"/>
    <s v="Sak chacaj"/>
    <n v="16"/>
    <n v="5.0929581789406511"/>
    <n v="4"/>
    <n v="9"/>
    <m/>
    <s v="C"/>
    <s v="S"/>
    <s v="un fuste"/>
    <n v="10"/>
    <n v="5"/>
    <m/>
    <m/>
    <m/>
    <m/>
  </r>
  <r>
    <n v="2"/>
    <x v="2"/>
    <n v="1"/>
    <n v="19"/>
    <n v="19"/>
    <s v="Araliaceae"/>
    <x v="28"/>
    <s v="Sak chacaj"/>
    <n v="38"/>
    <n v="12.095775674984045"/>
    <n v="7"/>
    <n v="13"/>
    <m/>
    <s v="C"/>
    <s v="S"/>
    <s v="un fuste"/>
    <n v="12.5"/>
    <n v="10"/>
    <n v="17"/>
    <s v="Vol = Exp(-9.52375084+1.81551953*LN(DIAMETRO)+1.03039019*LN(ALTURATOTAL))"/>
    <n v="9.4891330317624589E-2"/>
    <n v="1.1490986891234843E-2"/>
  </r>
  <r>
    <n v="8"/>
    <x v="2"/>
    <n v="2"/>
    <n v="17"/>
    <n v="19"/>
    <s v="Araliaceae"/>
    <x v="28"/>
    <s v="Sak chacaj"/>
    <n v="36"/>
    <n v="11.459155902616464"/>
    <n v="10"/>
    <n v="13"/>
    <m/>
    <s v="C"/>
    <s v="S"/>
    <s v="un fuste"/>
    <n v="12.5"/>
    <n v="10"/>
    <n v="17"/>
    <s v="Vol = Exp(-9.52375084+1.81551953*LN(DIAMETRO)+1.03039019*LN(ALTURATOTAL))"/>
    <n v="8.6019348139417251E-2"/>
    <n v="1.0313240312354817E-2"/>
  </r>
  <r>
    <n v="5"/>
    <x v="0"/>
    <n v="3"/>
    <n v="18"/>
    <n v="19"/>
    <s v="Araliaceae"/>
    <x v="28"/>
    <s v="Sak chacaj"/>
    <n v="23"/>
    <n v="7.3211273822271856"/>
    <n v="6"/>
    <n v="11"/>
    <m/>
    <s v="C"/>
    <s v="S"/>
    <s v="un fuste"/>
    <n v="10"/>
    <n v="5"/>
    <m/>
    <m/>
    <m/>
    <m/>
  </r>
  <r>
    <n v="11"/>
    <x v="2"/>
    <n v="4"/>
    <n v="19"/>
    <n v="20"/>
    <s v="Araliaceae"/>
    <x v="28"/>
    <s v="Sak chacaj"/>
    <n v="32"/>
    <n v="10.185916357881302"/>
    <n v="6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10"/>
    <x v="0"/>
    <n v="2"/>
    <n v="20"/>
    <n v="20"/>
    <s v="Araliaceae"/>
    <x v="28"/>
    <s v="Sak chacaj"/>
    <n v="17"/>
    <n v="5.4112680651244416"/>
    <n v="2.2000000000000002"/>
    <n v="6.5"/>
    <m/>
    <s v="C"/>
    <s v="S"/>
    <s v="un fuste"/>
    <n v="7.5"/>
    <n v="5"/>
    <m/>
    <m/>
    <m/>
    <m/>
  </r>
  <r>
    <n v="1"/>
    <x v="0"/>
    <n v="3"/>
    <n v="21"/>
    <n v="21"/>
    <s v="Araliaceae"/>
    <x v="28"/>
    <s v="Sak chacaj"/>
    <n v="25"/>
    <n v="7.9577471545947667"/>
    <n v="4"/>
    <n v="10"/>
    <m/>
    <s v="C"/>
    <s v="S"/>
    <s v="un fuste"/>
    <n v="10"/>
    <n v="10"/>
    <m/>
    <m/>
    <m/>
    <m/>
  </r>
  <r>
    <n v="10"/>
    <x v="0"/>
    <n v="2"/>
    <n v="21"/>
    <n v="21"/>
    <s v="Araliaceae"/>
    <x v="28"/>
    <s v="Sak chacaj"/>
    <n v="30.5"/>
    <n v="9.7084515286056163"/>
    <n v="6.5"/>
    <n v="12"/>
    <m/>
    <s v="C"/>
    <s v="S"/>
    <s v="un fuste"/>
    <n v="12.5"/>
    <n v="10"/>
    <m/>
    <m/>
    <m/>
    <m/>
  </r>
  <r>
    <n v="4"/>
    <x v="2"/>
    <n v="2"/>
    <n v="21"/>
    <n v="22"/>
    <s v="Araliaceae"/>
    <x v="28"/>
    <s v="Sak chacaj"/>
    <n v="44.5"/>
    <n v="14.164789935178685"/>
    <n v="5"/>
    <n v="12"/>
    <m/>
    <s v="C"/>
    <s v="S"/>
    <s v="un fuste"/>
    <n v="12.5"/>
    <n v="15"/>
    <n v="17"/>
    <s v="Vol = Exp(-9.52375084+1.81551953*LN(DIAMETRO)+1.03039019*LN(ALTURATOTAL))"/>
    <n v="0.11638843311567737"/>
    <n v="1.5758328802886287E-2"/>
  </r>
  <r>
    <n v="4"/>
    <x v="0"/>
    <n v="3"/>
    <n v="21"/>
    <n v="22"/>
    <s v="Araliaceae"/>
    <x v="28"/>
    <s v="Sak chacaj"/>
    <n v="27"/>
    <n v="8.5943669269623477"/>
    <n v="5"/>
    <n v="8"/>
    <m/>
    <s v="C"/>
    <s v="S"/>
    <s v="un fuste"/>
    <n v="7.5"/>
    <n v="10"/>
    <m/>
    <m/>
    <m/>
    <m/>
  </r>
  <r>
    <n v="4"/>
    <x v="2"/>
    <n v="2"/>
    <n v="22"/>
    <n v="23"/>
    <s v="Araliaceae"/>
    <x v="28"/>
    <s v="Sak chacaj"/>
    <n v="34.5"/>
    <n v="10.981691073340778"/>
    <n v="6"/>
    <n v="9"/>
    <m/>
    <s v="C"/>
    <s v="S"/>
    <s v="un fuste"/>
    <n v="10"/>
    <n v="10"/>
    <n v="17"/>
    <s v="Vol = Exp(-9.52375084+1.81551953*LN(DIAMETRO)+1.03039019*LN(ALTURATOTAL))"/>
    <n v="5.4511104438907373E-2"/>
    <n v="9.4717085507564219E-3"/>
  </r>
  <r>
    <n v="4"/>
    <x v="0"/>
    <n v="4"/>
    <n v="22"/>
    <n v="23"/>
    <s v="Araliaceae"/>
    <x v="28"/>
    <s v="Sak chacaj"/>
    <n v="30"/>
    <n v="9.5492965855137211"/>
    <n v="4"/>
    <n v="8"/>
    <m/>
    <s v="C"/>
    <s v="S"/>
    <s v="un fuste"/>
    <n v="7.5"/>
    <n v="10"/>
    <m/>
    <m/>
    <m/>
    <m/>
  </r>
  <r>
    <n v="4"/>
    <x v="0"/>
    <n v="4"/>
    <n v="23"/>
    <n v="24"/>
    <s v="Araliaceae"/>
    <x v="28"/>
    <s v="Sak chacaj"/>
    <n v="20.5"/>
    <n v="6.5253526667677093"/>
    <n v="5"/>
    <n v="7"/>
    <m/>
    <s v="C"/>
    <s v="S"/>
    <s v="un fuste"/>
    <n v="7.5"/>
    <n v="5"/>
    <m/>
    <m/>
    <m/>
    <m/>
  </r>
  <r>
    <n v="5"/>
    <x v="0"/>
    <n v="4"/>
    <n v="23"/>
    <n v="24"/>
    <s v="Araliaceae"/>
    <x v="28"/>
    <s v="Sak chacaj"/>
    <n v="30"/>
    <n v="9.5492965855137211"/>
    <n v="5"/>
    <n v="10"/>
    <m/>
    <s v="CB"/>
    <s v="S"/>
    <s v="un fuste"/>
    <n v="10"/>
    <n v="10"/>
    <m/>
    <m/>
    <m/>
    <m/>
  </r>
  <r>
    <n v="2"/>
    <x v="2"/>
    <n v="2"/>
    <n v="24"/>
    <n v="25"/>
    <s v="Araliaceae"/>
    <x v="28"/>
    <s v="Sak chacaj"/>
    <n v="34.5"/>
    <n v="10.981691073340778"/>
    <n v="5.5"/>
    <n v="12"/>
    <m/>
    <s v="C"/>
    <s v="S"/>
    <s v="un fuste"/>
    <n v="12.5"/>
    <n v="10"/>
    <n v="17"/>
    <s v="Vol = Exp(-9.52375084+1.81551953*LN(DIAMETRO)+1.03039019*LN(ALTURATOTAL))"/>
    <n v="7.3319691646719198E-2"/>
    <n v="9.4717085507564219E-3"/>
  </r>
  <r>
    <n v="3"/>
    <x v="2"/>
    <n v="2"/>
    <n v="25"/>
    <n v="25"/>
    <s v="Araliaceae"/>
    <x v="28"/>
    <s v="Sak chacaj"/>
    <n v="37.5"/>
    <n v="11.93662073189215"/>
    <n v="5"/>
    <n v="10"/>
    <m/>
    <s v="C"/>
    <s v="S"/>
    <s v="un fuste"/>
    <n v="10"/>
    <n v="10"/>
    <n v="17"/>
    <s v="Vol = Exp(-9.52375084+1.81551953*LN(DIAMETRO)+1.03039019*LN(ALTURATOTAL))"/>
    <n v="7.0693088734366083E-2"/>
    <n v="1.1190581936148891E-2"/>
  </r>
  <r>
    <n v="4"/>
    <x v="2"/>
    <n v="2"/>
    <n v="24"/>
    <n v="25"/>
    <s v="Araliaceae"/>
    <x v="28"/>
    <s v="Sak chacaj"/>
    <n v="38.5"/>
    <n v="12.254930618075941"/>
    <n v="5.5"/>
    <n v="12"/>
    <m/>
    <s v="C"/>
    <s v="S"/>
    <s v="un fuste"/>
    <n v="12.5"/>
    <n v="10"/>
    <n v="17"/>
    <s v="Vol = Exp(-9.52375084+1.81551953*LN(DIAMETRO)+1.03039019*LN(ALTURATOTAL))"/>
    <n v="8.9477727904145057E-2"/>
    <n v="1.1795370719898092E-2"/>
  </r>
  <r>
    <n v="8"/>
    <x v="2"/>
    <n v="2"/>
    <n v="23"/>
    <n v="25"/>
    <s v="Araliaceae"/>
    <x v="28"/>
    <s v="Sak chacaj"/>
    <n v="36.5"/>
    <n v="11.618310845708359"/>
    <n v="8"/>
    <n v="12"/>
    <m/>
    <s v="C"/>
    <s v="S"/>
    <s v="un fuste"/>
    <n v="12.5"/>
    <n v="10"/>
    <n v="17"/>
    <s v="Vol = Exp(-9.52375084+1.81551953*LN(DIAMETRO)+1.03039019*LN(ALTURATOTAL))"/>
    <n v="8.1218176794214197E-2"/>
    <n v="1.0601708646708877E-2"/>
  </r>
  <r>
    <n v="9"/>
    <x v="2"/>
    <n v="4"/>
    <n v="22"/>
    <n v="25"/>
    <s v="Araliaceae"/>
    <x v="28"/>
    <s v="Sak chacaj"/>
    <n v="34.5"/>
    <n v="10.981691073340778"/>
    <n v="6"/>
    <n v="10"/>
    <m/>
    <s v="C"/>
    <s v="S"/>
    <s v="un fuste"/>
    <n v="10"/>
    <n v="10"/>
    <n v="17"/>
    <s v="Vol = Exp(-9.52375084+1.81551953*LN(DIAMETRO)+1.03039019*LN(ALTURATOTAL))"/>
    <n v="6.0762138553092628E-2"/>
    <n v="9.4717085507564219E-3"/>
  </r>
  <r>
    <n v="5"/>
    <x v="0"/>
    <n v="4"/>
    <s v="23A"/>
    <n v="25"/>
    <s v="Araliaceae"/>
    <x v="28"/>
    <s v="Sak chacaj"/>
    <n v="16.5"/>
    <n v="5.2521131220325463"/>
    <n v="4.5"/>
    <n v="9"/>
    <m/>
    <s v="C"/>
    <s v="S"/>
    <e v="#VALUE!"/>
    <n v="10"/>
    <n v="5"/>
    <m/>
    <m/>
    <m/>
    <m/>
  </r>
  <r>
    <n v="5"/>
    <x v="0"/>
    <n v="4"/>
    <n v="25"/>
    <n v="27"/>
    <s v="Araliaceae"/>
    <x v="28"/>
    <s v="Sak chacaj"/>
    <n v="18"/>
    <n v="5.7295779513082321"/>
    <n v="9"/>
    <n v="11"/>
    <m/>
    <s v="C"/>
    <s v="S"/>
    <s v="un fuste"/>
    <n v="10"/>
    <n v="5"/>
    <m/>
    <m/>
    <m/>
    <m/>
  </r>
  <r>
    <n v="8"/>
    <x v="2"/>
    <n v="2"/>
    <n v="26"/>
    <n v="28"/>
    <s v="Araliaceae"/>
    <x v="28"/>
    <s v="Sak chacaj"/>
    <n v="36"/>
    <n v="11.459155902616464"/>
    <n v="6"/>
    <n v="13"/>
    <m/>
    <s v="C"/>
    <s v="S"/>
    <s v="un fuste"/>
    <n v="12.5"/>
    <n v="10"/>
    <n v="17"/>
    <s v="Vol = Exp(-9.52375084+1.81551953*LN(DIAMETRO)+1.03039019*LN(ALTURATOTAL))"/>
    <n v="8.6019348139417251E-2"/>
    <n v="1.0313240312354817E-2"/>
  </r>
  <r>
    <n v="1"/>
    <x v="2"/>
    <n v="4"/>
    <n v="27"/>
    <n v="30"/>
    <s v="Araliaceae"/>
    <x v="28"/>
    <s v="Sak chacaj"/>
    <n v="55"/>
    <n v="17.507043740108486"/>
    <n v="7"/>
    <n v="13"/>
    <m/>
    <s v="C"/>
    <s v="S"/>
    <s v="un fuste"/>
    <n v="12.5"/>
    <n v="20"/>
    <n v="17"/>
    <s v="Vol = Exp(-9.52375084+1.81551953*LN(DIAMETRO)+1.03039019*LN(ALTURATOTAL))"/>
    <n v="0.18567824151911486"/>
    <n v="2.4072185142649163E-2"/>
  </r>
  <r>
    <n v="4"/>
    <x v="2"/>
    <n v="3"/>
    <n v="33"/>
    <n v="34"/>
    <s v="Araliaceae"/>
    <x v="28"/>
    <s v="Sak chacaj"/>
    <n v="44.5"/>
    <n v="14.164789935178685"/>
    <n v="6.5"/>
    <n v="13"/>
    <m/>
    <s v="C"/>
    <s v="S"/>
    <s v="un fuste"/>
    <n v="12.5"/>
    <n v="15"/>
    <n v="17"/>
    <s v="Vol = Exp(-9.52375084+1.81551953*LN(DIAMETRO)+1.03039019*LN(ALTURATOTAL))"/>
    <n v="0.12639455196852614"/>
    <n v="1.5758328802886287E-2"/>
  </r>
  <r>
    <n v="5"/>
    <x v="2"/>
    <n v="3"/>
    <n v="32"/>
    <n v="34"/>
    <s v="Araliaceae"/>
    <x v="28"/>
    <s v="Sak chacaj"/>
    <n v="36"/>
    <n v="11.459155902616464"/>
    <n v="6"/>
    <n v="12"/>
    <m/>
    <s v="C"/>
    <s v="S"/>
    <s v="un fuste"/>
    <n v="12.5"/>
    <n v="10"/>
    <n v="17"/>
    <s v="Vol = Exp(-9.52375084+1.81551953*LN(DIAMETRO)+1.03039019*LN(ALTURATOTAL))"/>
    <n v="7.9209562371578848E-2"/>
    <n v="1.0313240312354817E-2"/>
  </r>
  <r>
    <n v="5"/>
    <x v="2"/>
    <n v="4"/>
    <n v="33"/>
    <n v="35"/>
    <s v="Araliaceae"/>
    <x v="28"/>
    <s v="Sak chacaj"/>
    <n v="32"/>
    <n v="10.185916357881302"/>
    <n v="7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5"/>
    <x v="0"/>
    <n v="4"/>
    <n v="33"/>
    <n v="35"/>
    <s v="Araliaceae"/>
    <x v="28"/>
    <s v="Sak chacaj"/>
    <n v="27"/>
    <n v="8.5943669269623477"/>
    <n v="6"/>
    <n v="10"/>
    <m/>
    <s v="C"/>
    <s v="S"/>
    <s v="un fuste"/>
    <n v="10"/>
    <n v="10"/>
    <m/>
    <m/>
    <m/>
    <m/>
  </r>
  <r>
    <n v="5"/>
    <x v="2"/>
    <n v="4"/>
    <n v="34"/>
    <n v="36"/>
    <s v="Araliaceae"/>
    <x v="28"/>
    <s v="Sak chacaj"/>
    <n v="35.5"/>
    <n v="11.300000959524569"/>
    <n v="5.5"/>
    <n v="9"/>
    <m/>
    <s v="C"/>
    <s v="S"/>
    <s v="un fuste"/>
    <n v="10"/>
    <n v="10"/>
    <n v="17"/>
    <s v="Vol = Exp(-9.52375084+1.81551953*LN(DIAMETRO)+1.03039019*LN(ALTURATOTAL))"/>
    <n v="5.7413527586479933E-2"/>
    <n v="1.0028750851578054E-2"/>
  </r>
  <r>
    <n v="8"/>
    <x v="2"/>
    <n v="3"/>
    <n v="31"/>
    <n v="36"/>
    <s v="Araliaceae"/>
    <x v="28"/>
    <s v="Sak chacaj"/>
    <n v="41.5"/>
    <n v="13.209860276627314"/>
    <n v="8"/>
    <n v="12"/>
    <m/>
    <s v="C"/>
    <s v="S"/>
    <s v="un fuste"/>
    <n v="12.5"/>
    <n v="15"/>
    <n v="17"/>
    <s v="Vol = Exp(-9.52375084+1.81551953*LN(DIAMETRO)+1.03039019*LN(ALTURATOTAL))"/>
    <n v="0.1025363725312375"/>
    <n v="1.3705230037000837E-2"/>
  </r>
  <r>
    <n v="5"/>
    <x v="0"/>
    <n v="4"/>
    <n v="34"/>
    <n v="36"/>
    <s v="Araliaceae"/>
    <x v="28"/>
    <s v="Sak chacaj"/>
    <n v="21.5"/>
    <n v="6.8436625529514998"/>
    <n v="6"/>
    <n v="9"/>
    <m/>
    <s v="C"/>
    <s v="S"/>
    <s v="un fuste"/>
    <n v="10"/>
    <n v="5"/>
    <m/>
    <m/>
    <m/>
    <m/>
  </r>
  <r>
    <n v="8"/>
    <x v="2"/>
    <n v="3"/>
    <n v="32"/>
    <n v="37"/>
    <s v="Araliaceae"/>
    <x v="28"/>
    <s v="Sak chacaj"/>
    <n v="41"/>
    <n v="13.050705333535419"/>
    <n v="5"/>
    <n v="10"/>
    <m/>
    <s v="C"/>
    <s v="S"/>
    <s v="un fuste"/>
    <n v="10"/>
    <n v="15"/>
    <n v="17"/>
    <s v="Vol = Exp(-9.52375084+1.81551953*LN(DIAMETRO)+1.03039019*LN(ALTURATOTAL))"/>
    <n v="8.3125264362633317E-2"/>
    <n v="1.3376972966873806E-2"/>
  </r>
  <r>
    <n v="5"/>
    <x v="2"/>
    <n v="4"/>
    <n v="36"/>
    <n v="38"/>
    <s v="Araliaceae"/>
    <x v="28"/>
    <s v="Sak chacaj"/>
    <n v="38"/>
    <n v="12.095775674984045"/>
    <n v="8"/>
    <n v="13"/>
    <m/>
    <s v="C"/>
    <s v="S"/>
    <s v="un fuste"/>
    <n v="12.5"/>
    <n v="10"/>
    <n v="17"/>
    <s v="Vol = Exp(-9.52375084+1.81551953*LN(DIAMETRO)+1.03039019*LN(ALTURATOTAL))"/>
    <n v="9.4891330317624589E-2"/>
    <n v="1.1490986891234843E-2"/>
  </r>
  <r>
    <n v="4"/>
    <x v="2"/>
    <n v="3"/>
    <n v="38"/>
    <n v="39"/>
    <s v="Araliaceae"/>
    <x v="28"/>
    <s v="Sak chacaj"/>
    <n v="49.5"/>
    <n v="15.756339366097638"/>
    <n v="4"/>
    <n v="12"/>
    <m/>
    <s v="C"/>
    <s v="S"/>
    <s v="un fuste"/>
    <n v="12.5"/>
    <n v="15"/>
    <n v="17"/>
    <s v="Vol = Exp(-9.52375084+1.81551953*LN(DIAMETRO)+1.03039019*LN(ALTURATOTAL))"/>
    <n v="0.141211108885963"/>
    <n v="1.9498469965545825E-2"/>
  </r>
  <r>
    <n v="8"/>
    <x v="2"/>
    <n v="3"/>
    <n v="34"/>
    <n v="39"/>
    <s v="Araliaceae"/>
    <x v="28"/>
    <s v="Sak chacaj"/>
    <n v="45"/>
    <n v="14.323944878270581"/>
    <n v="6.5"/>
    <n v="12"/>
    <m/>
    <s v="C"/>
    <s v="S"/>
    <s v="un fuste"/>
    <n v="12.5"/>
    <n v="15"/>
    <n v="17"/>
    <s v="Vol = Exp(-9.52375084+1.81551953*LN(DIAMETRO)+1.03039019*LN(ALTURATOTAL))"/>
    <n v="0.11877352207745759"/>
    <n v="1.6114437988054401E-2"/>
  </r>
  <r>
    <n v="8"/>
    <x v="2"/>
    <n v="3"/>
    <n v="35"/>
    <n v="40"/>
    <s v="Araliaceae"/>
    <x v="28"/>
    <s v="Sak chacaj"/>
    <n v="48"/>
    <n v="15.278874536821952"/>
    <n v="8"/>
    <n v="15"/>
    <m/>
    <s v="C"/>
    <s v="S"/>
    <s v="un fuste"/>
    <n v="15"/>
    <n v="15"/>
    <n v="17"/>
    <s v="Vol = Exp(-9.52375084+1.81551953*LN(DIAMETRO)+1.03039019*LN(ALTURATOTAL))"/>
    <n v="0.16805887690079979"/>
    <n v="1.8334649444186342E-2"/>
  </r>
  <r>
    <n v="5"/>
    <x v="2"/>
    <n v="4"/>
    <n v="39"/>
    <n v="41"/>
    <s v="Araliaceae"/>
    <x v="28"/>
    <s v="Sak chacaj"/>
    <n v="34"/>
    <n v="10.822536130248883"/>
    <n v="8"/>
    <n v="12"/>
    <m/>
    <s v="C"/>
    <s v="S"/>
    <s v="un fuste"/>
    <n v="12.5"/>
    <n v="10"/>
    <n v="17"/>
    <s v="Vol = Exp(-9.52375084+1.81551953*LN(DIAMETRO)+1.03039019*LN(ALTURATOTAL))"/>
    <n v="7.1401923725509311E-2"/>
    <n v="9.1991557107115509E-3"/>
  </r>
  <r>
    <n v="2"/>
    <x v="2"/>
    <n v="3"/>
    <n v="46"/>
    <n v="49"/>
    <s v="Araliaceae"/>
    <x v="28"/>
    <s v="Sak chacaj"/>
    <n v="72.5"/>
    <n v="23.077466748324824"/>
    <n v="10"/>
    <n v="15"/>
    <m/>
    <s v="CB"/>
    <s v="S"/>
    <s v="un fuste"/>
    <n v="15"/>
    <n v="25"/>
    <n v="17"/>
    <s v="Vol = Exp(-9.52375084+1.81551953*LN(DIAMETRO)+1.03039019*LN(ALTURATOTAL))"/>
    <n v="0.35531630664302144"/>
    <n v="4.1827908481338744E-2"/>
  </r>
  <r>
    <n v="2"/>
    <x v="2"/>
    <n v="3"/>
    <s v="46A"/>
    <n v="50"/>
    <s v="Araliaceae"/>
    <x v="28"/>
    <s v="Sak chacaj"/>
    <n v="69.5"/>
    <n v="22.122537089773452"/>
    <n v="10"/>
    <n v="15"/>
    <m/>
    <s v="C"/>
    <s v="S"/>
    <e v="#VALUE!"/>
    <n v="15"/>
    <n v="20"/>
    <n v="17"/>
    <s v="Vol = Exp(-9.52375084+1.81551953*LN(DIAMETRO)+1.03039019*LN(ALTURATOTAL))"/>
    <n v="0.32907473673461679"/>
    <n v="3.843790819348137E-2"/>
  </r>
  <r>
    <n v="4"/>
    <x v="2"/>
    <n v="4"/>
    <n v="50"/>
    <n v="52"/>
    <s v="Araliaceae"/>
    <x v="28"/>
    <s v="Sak chacaj"/>
    <n v="50"/>
    <n v="15.915494309189533"/>
    <n v="7"/>
    <n v="13"/>
    <m/>
    <s v="C"/>
    <s v="S"/>
    <s v="un fuste"/>
    <n v="12.5"/>
    <n v="15"/>
    <n v="17"/>
    <s v="Vol = Exp(-9.52375084+1.81551953*LN(DIAMETRO)+1.03039019*LN(ALTURATOTAL))"/>
    <n v="0.15617509764181392"/>
    <n v="1.9894367886486915E-2"/>
  </r>
  <r>
    <n v="4"/>
    <x v="2"/>
    <n v="4"/>
    <n v="52"/>
    <n v="54"/>
    <s v="Araliaceae"/>
    <x v="28"/>
    <s v="Sak chacaj"/>
    <n v="36.5"/>
    <n v="11.618310845708359"/>
    <n v="9"/>
    <n v="13"/>
    <m/>
    <s v="C"/>
    <s v="S"/>
    <s v="un fuste"/>
    <n v="12.5"/>
    <n v="10"/>
    <n v="17"/>
    <s v="Vol = Exp(-9.52375084+1.81551953*LN(DIAMETRO)+1.03039019*LN(ALTURATOTAL))"/>
    <n v="8.8200646686277084E-2"/>
    <n v="1.0601708646708877E-2"/>
  </r>
  <r>
    <n v="1"/>
    <x v="0"/>
    <n v="1"/>
    <n v="1"/>
    <n v="1"/>
    <s v="Araliaceae"/>
    <x v="28"/>
    <s v="Sak chacaj"/>
    <n v="16"/>
    <n v="5.0929581789406511"/>
    <n v="6"/>
    <n v="8"/>
    <m/>
    <s v="C"/>
    <s v="S"/>
    <s v="un fuste"/>
    <n v="7.5"/>
    <n v="5"/>
    <m/>
    <m/>
    <m/>
    <m/>
  </r>
  <r>
    <n v="10"/>
    <x v="0"/>
    <n v="1"/>
    <n v="1"/>
    <n v="1"/>
    <s v="Araliaceae"/>
    <x v="28"/>
    <s v="Sak chacaj"/>
    <n v="21.5"/>
    <n v="6.8436625529514998"/>
    <n v="4"/>
    <n v="10"/>
    <m/>
    <s v="C"/>
    <s v="S"/>
    <s v="un fuste"/>
    <n v="10"/>
    <n v="5"/>
    <m/>
    <m/>
    <m/>
    <m/>
  </r>
  <r>
    <n v="11"/>
    <x v="1"/>
    <m/>
    <n v="3"/>
    <n v="3"/>
    <s v="Malvaceae"/>
    <x v="27"/>
    <s v="Ho'ol"/>
    <m/>
    <m/>
    <m/>
    <n v="6"/>
    <e v="#REF!"/>
    <m/>
    <s v="S"/>
    <s v="un fuste"/>
    <n v="5"/>
    <n v="5"/>
    <m/>
    <m/>
    <m/>
    <m/>
  </r>
  <r>
    <n v="5"/>
    <x v="2"/>
    <n v="1"/>
    <n v="3"/>
    <n v="3"/>
    <s v="Araliaceae"/>
    <x v="28"/>
    <s v="Sak chacaj"/>
    <n v="38.5"/>
    <n v="12.254930618075941"/>
    <n v="9"/>
    <n v="12"/>
    <m/>
    <s v="C"/>
    <s v="S"/>
    <s v="un fuste"/>
    <n v="12.5"/>
    <n v="10"/>
    <n v="17"/>
    <s v="Vol = Exp(-9.52375084+1.81551953*LN(DIAMETRO)+1.03039019*LN(ALTURATOTAL))"/>
    <n v="8.9477727904145057E-2"/>
    <n v="1.1795370719898092E-2"/>
  </r>
  <r>
    <n v="4"/>
    <x v="0"/>
    <n v="1"/>
    <n v="3"/>
    <n v="3"/>
    <s v="Araliaceae"/>
    <x v="28"/>
    <s v="Sak chacaj"/>
    <n v="24"/>
    <n v="7.6394372684109761"/>
    <n v="5"/>
    <n v="8"/>
    <m/>
    <s v="C"/>
    <s v="S"/>
    <s v="un fuste"/>
    <n v="7.5"/>
    <n v="10"/>
    <m/>
    <m/>
    <m/>
    <m/>
  </r>
  <r>
    <n v="7"/>
    <x v="2"/>
    <n v="1"/>
    <n v="4"/>
    <n v="4"/>
    <s v="Araliaceae"/>
    <x v="28"/>
    <s v="Sak chacaj"/>
    <n v="48"/>
    <n v="15.278874536821952"/>
    <n v="6"/>
    <n v="10"/>
    <m/>
    <s v="C"/>
    <s v="SB"/>
    <s v="un fuste"/>
    <n v="10"/>
    <n v="15"/>
    <n v="17"/>
    <s v="Vol = Exp(-9.52375084+1.81551953*LN(DIAMETRO)+1.03039019*LN(ALTURATOTAL))"/>
    <n v="0.11066715644741094"/>
    <n v="1.8334649444186342E-2"/>
  </r>
  <r>
    <n v="9"/>
    <x v="2"/>
    <n v="1"/>
    <n v="4"/>
    <n v="4"/>
    <s v="Araliaceae"/>
    <x v="28"/>
    <s v="Sak chacaj"/>
    <n v="37"/>
    <n v="11.777465788800255"/>
    <n v="4"/>
    <n v="9"/>
    <m/>
    <s v="C"/>
    <s v="S"/>
    <s v="un fuste"/>
    <n v="10"/>
    <n v="10"/>
    <n v="17"/>
    <s v="Vol = Exp(-9.52375084+1.81551953*LN(DIAMETRO)+1.03039019*LN(ALTURATOTAL))"/>
    <n v="6.1893527845592933E-2"/>
    <n v="1.0894155854640236E-2"/>
  </r>
  <r>
    <n v="4"/>
    <x v="0"/>
    <n v="1"/>
    <n v="4"/>
    <n v="4"/>
    <s v="Araliaceae"/>
    <x v="28"/>
    <s v="Sak chacaj"/>
    <n v="25"/>
    <n v="7.9577471545947667"/>
    <n v="6"/>
    <n v="8"/>
    <m/>
    <s v="C"/>
    <s v="S"/>
    <s v="un fuste"/>
    <n v="7.5"/>
    <n v="10"/>
    <m/>
    <m/>
    <m/>
    <m/>
  </r>
  <r>
    <n v="5"/>
    <x v="0"/>
    <n v="1"/>
    <n v="3"/>
    <n v="4"/>
    <s v="Araliaceae"/>
    <x v="28"/>
    <s v="Sak chacaj"/>
    <n v="30"/>
    <n v="9.5492965855137211"/>
    <n v="7"/>
    <n v="13"/>
    <m/>
    <s v="C"/>
    <s v="S"/>
    <s v="un fuste"/>
    <n v="12.5"/>
    <n v="10"/>
    <m/>
    <m/>
    <m/>
    <m/>
  </r>
  <r>
    <n v="6"/>
    <x v="0"/>
    <n v="1"/>
    <n v="4"/>
    <n v="4"/>
    <s v="Araliaceae"/>
    <x v="28"/>
    <s v="Sak chacaj"/>
    <n v="20"/>
    <n v="6.366197723675814"/>
    <n v="3.5"/>
    <n v="7.5"/>
    <m/>
    <s v="C"/>
    <s v="S"/>
    <s v="un fuste"/>
    <n v="7.5"/>
    <n v="5"/>
    <m/>
    <m/>
    <m/>
    <m/>
  </r>
  <r>
    <n v="10"/>
    <x v="0"/>
    <n v="1"/>
    <n v="4"/>
    <n v="4"/>
    <s v="Araliaceae"/>
    <x v="28"/>
    <s v="Sak chacaj"/>
    <n v="31"/>
    <n v="9.8676064716975116"/>
    <n v="7"/>
    <n v="12"/>
    <m/>
    <s v="C"/>
    <s v="S"/>
    <s v="un fuste"/>
    <n v="12.5"/>
    <n v="10"/>
    <m/>
    <m/>
    <m/>
    <m/>
  </r>
  <r>
    <n v="11"/>
    <x v="1"/>
    <m/>
    <n v="4"/>
    <n v="4"/>
    <s v="Araliaceae"/>
    <x v="28"/>
    <s v="Sak chacaj"/>
    <m/>
    <m/>
    <m/>
    <n v="1.6"/>
    <e v="#REF!"/>
    <m/>
    <s v="S"/>
    <s v="un fuste"/>
    <n v="2.5"/>
    <n v="5"/>
    <m/>
    <m/>
    <m/>
    <m/>
  </r>
  <r>
    <n v="11"/>
    <x v="1"/>
    <m/>
    <n v="5"/>
    <n v="5"/>
    <s v="Burseraceae"/>
    <x v="43"/>
    <s v="Chacah"/>
    <m/>
    <m/>
    <m/>
    <n v="1.2"/>
    <e v="#REF!"/>
    <m/>
    <s v="S"/>
    <s v="un fuste"/>
    <n v="2.5"/>
    <n v="5"/>
    <m/>
    <m/>
    <m/>
    <m/>
  </r>
  <r>
    <n v="4"/>
    <x v="2"/>
    <n v="1"/>
    <n v="5"/>
    <n v="5"/>
    <s v="Araliaceae"/>
    <x v="28"/>
    <s v="Sak chacaj"/>
    <n v="48.5"/>
    <n v="15.438029479913848"/>
    <n v="6"/>
    <n v="11"/>
    <m/>
    <s v="C"/>
    <s v="S"/>
    <s v="un fuste"/>
    <n v="10"/>
    <n v="15"/>
    <n v="17"/>
    <s v="Vol = Exp(-9.52375084+1.81551953*LN(DIAMETRO)+1.03039019*LN(ALTURATOTAL))"/>
    <n v="0.12440565313674383"/>
    <n v="1.8718610744395538E-2"/>
  </r>
  <r>
    <n v="5"/>
    <x v="2"/>
    <n v="1"/>
    <n v="5"/>
    <n v="5"/>
    <s v="Araliaceae"/>
    <x v="28"/>
    <s v="Sak chacaj"/>
    <n v="37"/>
    <n v="11.777465788800255"/>
    <n v="5.5"/>
    <n v="10"/>
    <m/>
    <s v="C"/>
    <s v="S"/>
    <s v="un fuste"/>
    <n v="10"/>
    <n v="10"/>
    <n v="17"/>
    <s v="Vol = Exp(-9.52375084+1.81551953*LN(DIAMETRO)+1.03039019*LN(ALTURATOTAL))"/>
    <n v="6.8991137736137118E-2"/>
    <n v="1.0894155854640236E-2"/>
  </r>
  <r>
    <n v="7"/>
    <x v="2"/>
    <n v="1"/>
    <s v="4A"/>
    <n v="5"/>
    <s v="Araliaceae"/>
    <x v="28"/>
    <s v="Sak chacaj"/>
    <n v="39"/>
    <n v="12.414085561167836"/>
    <n v="6.5"/>
    <n v="10"/>
    <m/>
    <s v="C"/>
    <s v="S"/>
    <e v="#VALUE!"/>
    <n v="10"/>
    <n v="10"/>
    <n v="17"/>
    <s v="Vol = Exp(-9.52375084+1.81551953*LN(DIAMETRO)+1.03039019*LN(ALTURATOTAL))"/>
    <n v="7.5910406574124872E-2"/>
    <n v="1.210373342213864E-2"/>
  </r>
  <r>
    <n v="1"/>
    <x v="0"/>
    <n v="1"/>
    <n v="5"/>
    <n v="5"/>
    <s v="Araliaceae"/>
    <x v="28"/>
    <s v="Sak chacaj"/>
    <n v="16"/>
    <n v="5.0929581789406511"/>
    <n v="2"/>
    <n v="4"/>
    <m/>
    <s v="C"/>
    <s v="SD"/>
    <s v="un fuste"/>
    <n v="5"/>
    <n v="5"/>
    <m/>
    <m/>
    <m/>
    <m/>
  </r>
  <r>
    <n v="4"/>
    <x v="0"/>
    <n v="1"/>
    <n v="5"/>
    <n v="5"/>
    <s v="Araliaceae"/>
    <x v="28"/>
    <s v="Sak chacaj"/>
    <n v="24.5"/>
    <n v="7.7985922115028714"/>
    <n v="6"/>
    <n v="9"/>
    <m/>
    <s v="CB"/>
    <s v="S"/>
    <s v="un fuste"/>
    <n v="10"/>
    <n v="10"/>
    <m/>
    <m/>
    <m/>
    <m/>
  </r>
  <r>
    <n v="6"/>
    <x v="0"/>
    <n v="1"/>
    <n v="5"/>
    <n v="5"/>
    <s v="Araliaceae"/>
    <x v="28"/>
    <s v="Sak chacaj"/>
    <n v="23.5"/>
    <n v="7.4802823253190809"/>
    <n v="6"/>
    <n v="9"/>
    <m/>
    <s v="C"/>
    <s v="S"/>
    <s v="un fuste"/>
    <n v="10"/>
    <n v="5"/>
    <m/>
    <m/>
    <m/>
    <m/>
  </r>
  <r>
    <n v="11"/>
    <x v="1"/>
    <m/>
    <n v="6"/>
    <n v="6"/>
    <s v="Araliaceae"/>
    <x v="28"/>
    <s v="Sak chacaj"/>
    <m/>
    <m/>
    <m/>
    <n v="1.5"/>
    <e v="#REF!"/>
    <m/>
    <s v="S"/>
    <s v="un fuste"/>
    <n v="2.5"/>
    <n v="5"/>
    <m/>
    <m/>
    <m/>
    <m/>
  </r>
  <r>
    <n v="8"/>
    <x v="0"/>
    <n v="1"/>
    <n v="6"/>
    <n v="6"/>
    <s v="Euphorbiaceae"/>
    <x v="61"/>
    <s v="Sak cheechem "/>
    <n v="17.5"/>
    <n v="5.5704230082163368"/>
    <n v="1.6"/>
    <n v="7"/>
    <m/>
    <s v="C"/>
    <s v="S"/>
    <s v="un fuste"/>
    <n v="7.5"/>
    <n v="5"/>
    <m/>
    <m/>
    <m/>
    <m/>
  </r>
  <r>
    <n v="8"/>
    <x v="0"/>
    <n v="1"/>
    <n v="8"/>
    <n v="8"/>
    <s v="Euphorbiaceae"/>
    <x v="61"/>
    <s v="Sak cheechem "/>
    <n v="29"/>
    <n v="9.2309866993299305"/>
    <n v="6"/>
    <n v="10"/>
    <m/>
    <s v="C"/>
    <s v="S"/>
    <s v="un fuste"/>
    <n v="10"/>
    <n v="10"/>
    <m/>
    <m/>
    <m/>
    <m/>
  </r>
  <r>
    <n v="3"/>
    <x v="0"/>
    <n v="2"/>
    <n v="10"/>
    <n v="10"/>
    <s v="Sapindaceae"/>
    <x v="62"/>
    <s v="Sak pixoy"/>
    <n v="17"/>
    <n v="5.4112680651244416"/>
    <n v="5"/>
    <n v="8"/>
    <m/>
    <s v="C"/>
    <s v="S"/>
    <s v="un fuste"/>
    <n v="7.5"/>
    <n v="5"/>
    <m/>
    <m/>
    <m/>
    <m/>
  </r>
  <r>
    <n v="7"/>
    <x v="0"/>
    <n v="3"/>
    <n v="4"/>
    <n v="4"/>
    <s v="Sapindaceae"/>
    <x v="62"/>
    <s v="Sak pixoy"/>
    <n v="16"/>
    <n v="5.0929581789406511"/>
    <n v="5.5"/>
    <n v="9"/>
    <m/>
    <s v="C"/>
    <s v="S"/>
    <s v="un fuste"/>
    <n v="10"/>
    <n v="5"/>
    <m/>
    <m/>
    <m/>
    <m/>
  </r>
  <r>
    <n v="7"/>
    <x v="0"/>
    <n v="3"/>
    <n v="7"/>
    <n v="7"/>
    <s v="Sapindaceae"/>
    <x v="62"/>
    <s v="Sak pixoy"/>
    <n v="18.5"/>
    <n v="5.8887328944001274"/>
    <n v="3"/>
    <n v="9"/>
    <m/>
    <s v="C"/>
    <s v="S"/>
    <s v="un fuste"/>
    <n v="10"/>
    <n v="5"/>
    <m/>
    <m/>
    <m/>
    <m/>
  </r>
  <r>
    <n v="11"/>
    <x v="1"/>
    <m/>
    <n v="7"/>
    <n v="7"/>
    <s v="Polygonaceae"/>
    <x v="13"/>
    <s v="Boob"/>
    <m/>
    <m/>
    <m/>
    <n v="0.9"/>
    <e v="#REF!"/>
    <m/>
    <s v="S"/>
    <s v="un fuste"/>
    <n v="2.5"/>
    <n v="5"/>
    <m/>
    <m/>
    <m/>
    <m/>
  </r>
  <r>
    <n v="11"/>
    <x v="1"/>
    <m/>
    <n v="8"/>
    <n v="8"/>
    <s v="Ebenaceae"/>
    <x v="51"/>
    <s v="Diospyros"/>
    <m/>
    <m/>
    <m/>
    <n v="1.2"/>
    <e v="#REF!"/>
    <m/>
    <s v="S"/>
    <s v="un fuste"/>
    <n v="2.5"/>
    <n v="5"/>
    <m/>
    <m/>
    <m/>
    <m/>
  </r>
  <r>
    <n v="11"/>
    <x v="1"/>
    <m/>
    <n v="9"/>
    <n v="9"/>
    <s v="Lauraceae"/>
    <x v="0"/>
    <s v="Aguacatillo"/>
    <m/>
    <m/>
    <m/>
    <n v="0.7"/>
    <e v="#REF!"/>
    <m/>
    <s v="S"/>
    <s v="un fuste"/>
    <n v="2.5"/>
    <n v="5"/>
    <m/>
    <m/>
    <m/>
    <m/>
  </r>
  <r>
    <n v="11"/>
    <x v="1"/>
    <m/>
    <n v="10"/>
    <n v="10"/>
    <s v="Ebenaceae"/>
    <x v="51"/>
    <s v="Diospyros"/>
    <m/>
    <m/>
    <m/>
    <n v="0.8"/>
    <e v="#REF!"/>
    <m/>
    <s v="S"/>
    <s v="un fuste"/>
    <n v="2.5"/>
    <n v="5"/>
    <m/>
    <m/>
    <m/>
    <m/>
  </r>
  <r>
    <n v="11"/>
    <x v="1"/>
    <m/>
    <n v="11"/>
    <n v="11"/>
    <s v="Ebenaceae"/>
    <x v="51"/>
    <s v="Diospyros"/>
    <m/>
    <m/>
    <m/>
    <n v="0.9"/>
    <e v="#REF!"/>
    <m/>
    <s v="S"/>
    <s v="un fuste"/>
    <n v="2.5"/>
    <n v="5"/>
    <m/>
    <m/>
    <m/>
    <m/>
  </r>
  <r>
    <n v="2"/>
    <x v="0"/>
    <n v="3"/>
    <n v="11"/>
    <n v="11"/>
    <s v="Sapindaceae"/>
    <x v="33"/>
    <s v="Sak poom"/>
    <n v="19"/>
    <n v="6.0478878374920226"/>
    <n v="1.3"/>
    <n v="3.5"/>
    <m/>
    <s v="C"/>
    <s v="S"/>
    <s v="un fuste"/>
    <n v="2.5"/>
    <n v="5"/>
    <m/>
    <m/>
    <m/>
    <m/>
  </r>
  <r>
    <n v="11"/>
    <x v="1"/>
    <m/>
    <n v="12"/>
    <n v="12"/>
    <s v="Ebenaceae"/>
    <x v="51"/>
    <s v="Diospyros"/>
    <m/>
    <m/>
    <m/>
    <n v="4"/>
    <e v="#REF!"/>
    <m/>
    <s v="S"/>
    <s v="un fuste"/>
    <n v="5"/>
    <n v="5"/>
    <m/>
    <m/>
    <m/>
    <m/>
  </r>
  <r>
    <n v="11"/>
    <x v="1"/>
    <m/>
    <n v="13"/>
    <n v="13"/>
    <s v="Rubiaceae"/>
    <x v="10"/>
    <s v="Cruceta"/>
    <m/>
    <m/>
    <m/>
    <n v="1.2"/>
    <e v="#REF!"/>
    <m/>
    <s v="S"/>
    <s v="un fuste"/>
    <n v="2.5"/>
    <n v="5"/>
    <m/>
    <m/>
    <m/>
    <m/>
  </r>
  <r>
    <n v="11"/>
    <x v="1"/>
    <m/>
    <n v="14"/>
    <n v="14"/>
    <s v="Ebenaceae"/>
    <x v="51"/>
    <s v="Diospyros"/>
    <m/>
    <m/>
    <m/>
    <n v="4"/>
    <e v="#REF!"/>
    <m/>
    <s v="S"/>
    <s v="un fuste"/>
    <n v="5"/>
    <n v="5"/>
    <m/>
    <m/>
    <m/>
    <m/>
  </r>
  <r>
    <n v="11"/>
    <x v="1"/>
    <m/>
    <n v="15"/>
    <n v="15"/>
    <s v="Vitaceae "/>
    <x v="63"/>
    <s v="Bejuco de agua"/>
    <m/>
    <m/>
    <m/>
    <n v="12"/>
    <e v="#REF!"/>
    <m/>
    <s v="S"/>
    <s v="un fuste"/>
    <n v="12.5"/>
    <n v="5"/>
    <m/>
    <m/>
    <m/>
    <m/>
  </r>
  <r>
    <n v="1"/>
    <x v="2"/>
    <n v="2"/>
    <n v="14"/>
    <n v="17"/>
    <s v="Annonaceae"/>
    <x v="64"/>
    <s v="Saramuyo"/>
    <n v="34"/>
    <n v="10.822536130248883"/>
    <n v="3"/>
    <n v="10"/>
    <m/>
    <s v="C"/>
    <s v="S"/>
    <s v="un fuste"/>
    <n v="10"/>
    <n v="10"/>
    <n v="5"/>
    <s v="Vol = Exp(-9.5208709+1.85580925*LN(DIAMETRO)+0.96207943*LN(ALTURATOTAL))"/>
    <n v="5.581297126300383E-2"/>
    <n v="9.1991557107115509E-3"/>
  </r>
  <r>
    <n v="4"/>
    <x v="2"/>
    <n v="1"/>
    <n v="10"/>
    <n v="10"/>
    <s v="Capparaceae"/>
    <x v="65"/>
    <s v="Silil"/>
    <n v="36.5"/>
    <n v="11.618310845708359"/>
    <n v="7"/>
    <n v="13"/>
    <m/>
    <s v="C"/>
    <s v="S"/>
    <s v="un fuste"/>
    <n v="12.5"/>
    <n v="10"/>
    <n v="17"/>
    <s v="Vol = Exp(-9.52375084+1.81551953*LN(DIAMETRO)+1.03039019*LN(ALTURATOTAL))"/>
    <n v="8.8200646686277084E-2"/>
    <n v="1.0601708646708877E-2"/>
  </r>
  <r>
    <n v="10"/>
    <x v="0"/>
    <n v="3"/>
    <n v="29"/>
    <n v="29"/>
    <s v="Capparaceae"/>
    <x v="65"/>
    <s v="Silil"/>
    <n v="17"/>
    <n v="5.4112680651244416"/>
    <n v="8"/>
    <n v="10"/>
    <m/>
    <s v="C"/>
    <s v="S"/>
    <s v="un fuste"/>
    <n v="10"/>
    <n v="5"/>
    <m/>
    <m/>
    <m/>
    <m/>
  </r>
  <r>
    <n v="11"/>
    <x v="1"/>
    <m/>
    <n v="16"/>
    <n v="16"/>
    <s v="Leguminosae"/>
    <x v="31"/>
    <s v="Kanasin"/>
    <m/>
    <m/>
    <m/>
    <n v="7"/>
    <e v="#REF!"/>
    <m/>
    <s v="S"/>
    <s v="un fuste"/>
    <n v="7.5"/>
    <n v="5"/>
    <m/>
    <m/>
    <m/>
    <m/>
  </r>
  <r>
    <n v="11"/>
    <x v="1"/>
    <m/>
    <n v="17"/>
    <n v="17"/>
    <s v="Leguminosae"/>
    <x v="31"/>
    <s v="Kanasin"/>
    <m/>
    <m/>
    <m/>
    <n v="1.7"/>
    <e v="#REF!"/>
    <m/>
    <s v="S"/>
    <s v="un fuste"/>
    <n v="2.5"/>
    <n v="5"/>
    <m/>
    <m/>
    <m/>
    <m/>
  </r>
  <r>
    <n v="11"/>
    <x v="1"/>
    <m/>
    <n v="18"/>
    <n v="18"/>
    <s v="Rubiaceae"/>
    <x v="10"/>
    <s v="Cruceta"/>
    <m/>
    <m/>
    <m/>
    <n v="2"/>
    <e v="#REF!"/>
    <m/>
    <s v="S"/>
    <s v="un fuste"/>
    <n v="2.5"/>
    <n v="5"/>
    <m/>
    <m/>
    <m/>
    <m/>
  </r>
  <r>
    <n v="2"/>
    <x v="0"/>
    <n v="1"/>
    <n v="7"/>
    <n v="7"/>
    <s v="Nyctaginaceae"/>
    <x v="66"/>
    <s v="Tadzi"/>
    <n v="16"/>
    <n v="5.0929581789406511"/>
    <n v="4"/>
    <n v="8"/>
    <m/>
    <s v="C"/>
    <s v="S"/>
    <s v="un fuste"/>
    <n v="7.5"/>
    <n v="5"/>
    <m/>
    <m/>
    <m/>
    <m/>
  </r>
  <r>
    <n v="11"/>
    <x v="1"/>
    <m/>
    <n v="19"/>
    <n v="19"/>
    <s v="Rubiaceae"/>
    <x v="10"/>
    <s v="Cruceta"/>
    <m/>
    <m/>
    <m/>
    <n v="2"/>
    <e v="#REF!"/>
    <m/>
    <s v="S"/>
    <s v="un fuste"/>
    <n v="2.5"/>
    <n v="5"/>
    <m/>
    <m/>
    <m/>
    <m/>
  </r>
  <r>
    <n v="3"/>
    <x v="2"/>
    <n v="2"/>
    <n v="19"/>
    <n v="19"/>
    <s v="Salicaceae"/>
    <x v="39"/>
    <s v="Tamay"/>
    <n v="34.5"/>
    <n v="10.981691073340778"/>
    <n v="8"/>
    <n v="13"/>
    <m/>
    <s v="C"/>
    <s v="S"/>
    <s v="un fuste"/>
    <n v="12.5"/>
    <n v="10"/>
    <n v="17"/>
    <s v="Vol = Exp(-9.52375084+1.81551953*LN(DIAMETRO)+1.03039019*LN(ALTURATOTAL))"/>
    <n v="7.9623114841205614E-2"/>
    <n v="9.4717085507564219E-3"/>
  </r>
  <r>
    <n v="8"/>
    <x v="0"/>
    <n v="4"/>
    <n v="24"/>
    <n v="24"/>
    <s v="Salicaceae"/>
    <x v="39"/>
    <s v="Tamay"/>
    <n v="18"/>
    <n v="5.7295779513082321"/>
    <n v="3"/>
    <n v="7"/>
    <m/>
    <s v="C"/>
    <s v="S"/>
    <s v="un fuste"/>
    <n v="7.5"/>
    <n v="5"/>
    <m/>
    <m/>
    <m/>
    <m/>
  </r>
  <r>
    <n v="8"/>
    <x v="0"/>
    <n v="4"/>
    <n v="25"/>
    <n v="25"/>
    <s v="Salicaceae"/>
    <x v="39"/>
    <s v="Tamay"/>
    <n v="16"/>
    <n v="5.0929581789406511"/>
    <n v="3"/>
    <n v="7"/>
    <m/>
    <s v="C"/>
    <s v="S"/>
    <s v="un fuste"/>
    <n v="7.5"/>
    <n v="5"/>
    <m/>
    <m/>
    <m/>
    <m/>
  </r>
  <r>
    <n v="7"/>
    <x v="2"/>
    <n v="4"/>
    <n v="39"/>
    <n v="42"/>
    <s v="Salicaceae"/>
    <x v="39"/>
    <s v="Tamay"/>
    <n v="32"/>
    <n v="10.185916357881302"/>
    <n v="8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8"/>
    <x v="0"/>
    <n v="1"/>
    <n v="2"/>
    <n v="2"/>
    <s v="Rubiaceae"/>
    <x v="15"/>
    <s v="Tasta'ab"/>
    <n v="23"/>
    <n v="7.3211273822271856"/>
    <n v="7"/>
    <n v="10"/>
    <m/>
    <s v="C"/>
    <s v="S"/>
    <s v="un fuste"/>
    <n v="10"/>
    <n v="5"/>
    <m/>
    <m/>
    <m/>
    <m/>
  </r>
  <r>
    <n v="11"/>
    <x v="1"/>
    <m/>
    <n v="20"/>
    <n v="20"/>
    <s v="Rubiaceae"/>
    <x v="10"/>
    <s v="Cruceta"/>
    <m/>
    <m/>
    <m/>
    <n v="2"/>
    <e v="#REF!"/>
    <m/>
    <s v="S"/>
    <s v="un fuste"/>
    <n v="2.5"/>
    <n v="5"/>
    <m/>
    <m/>
    <m/>
    <m/>
  </r>
  <r>
    <n v="11"/>
    <x v="1"/>
    <m/>
    <n v="21"/>
    <n v="21"/>
    <s v="Rubiaceae"/>
    <x v="10"/>
    <s v="Cruceta"/>
    <m/>
    <m/>
    <m/>
    <n v="2"/>
    <e v="#REF!"/>
    <m/>
    <s v="S"/>
    <s v="un fuste"/>
    <n v="2.5"/>
    <n v="5"/>
    <m/>
    <m/>
    <m/>
    <m/>
  </r>
  <r>
    <n v="11"/>
    <x v="1"/>
    <m/>
    <n v="22"/>
    <n v="22"/>
    <s v="Rubiaceae"/>
    <x v="10"/>
    <s v="Cruceta"/>
    <m/>
    <m/>
    <m/>
    <n v="2"/>
    <e v="#REF!"/>
    <m/>
    <s v="S"/>
    <s v="un fuste"/>
    <n v="2.5"/>
    <n v="5"/>
    <m/>
    <m/>
    <m/>
    <m/>
  </r>
  <r>
    <n v="11"/>
    <x v="1"/>
    <m/>
    <n v="23"/>
    <n v="23"/>
    <s v="Rubiaceae"/>
    <x v="10"/>
    <s v="Cruceta"/>
    <m/>
    <m/>
    <m/>
    <n v="2"/>
    <e v="#REF!"/>
    <m/>
    <s v="S"/>
    <s v="un fuste"/>
    <n v="2.5"/>
    <n v="5"/>
    <m/>
    <m/>
    <m/>
    <m/>
  </r>
  <r>
    <n v="3"/>
    <x v="0"/>
    <n v="1"/>
    <n v="5"/>
    <n v="5"/>
    <s v="Rubiaceae"/>
    <x v="15"/>
    <s v="Tasta'ab"/>
    <n v="21.5"/>
    <n v="6.8436625529514998"/>
    <n v="5"/>
    <n v="8"/>
    <m/>
    <s v="C"/>
    <s v="S"/>
    <s v="un fuste"/>
    <n v="7.5"/>
    <n v="5"/>
    <m/>
    <m/>
    <m/>
    <m/>
  </r>
  <r>
    <n v="3"/>
    <x v="0"/>
    <n v="2"/>
    <n v="7"/>
    <n v="7"/>
    <s v="Rubiaceae"/>
    <x v="15"/>
    <s v="Tasta'ab"/>
    <n v="17"/>
    <n v="5.4112680651244416"/>
    <n v="4"/>
    <n v="6"/>
    <m/>
    <s v="C"/>
    <s v="S"/>
    <s v="un fuste"/>
    <n v="5"/>
    <n v="5"/>
    <m/>
    <m/>
    <m/>
    <m/>
  </r>
  <r>
    <n v="4"/>
    <x v="0"/>
    <n v="1"/>
    <n v="6"/>
    <n v="7"/>
    <s v="Rubiaceae"/>
    <x v="15"/>
    <s v="Tasta'ab"/>
    <n v="27"/>
    <n v="8.5943669269623477"/>
    <n v="6"/>
    <n v="9"/>
    <m/>
    <s v="C"/>
    <s v="S"/>
    <s v="un fuste"/>
    <n v="10"/>
    <n v="10"/>
    <m/>
    <m/>
    <m/>
    <m/>
  </r>
  <r>
    <n v="4"/>
    <x v="2"/>
    <n v="1"/>
    <n v="8"/>
    <n v="8"/>
    <s v="Rubiaceae"/>
    <x v="15"/>
    <s v="Tasta'ab"/>
    <n v="31.5"/>
    <n v="10.026761414789407"/>
    <n v="6"/>
    <n v="10"/>
    <m/>
    <s v="C"/>
    <s v="S"/>
    <s v="un fuste"/>
    <n v="10"/>
    <n v="10"/>
    <n v="17"/>
    <s v="Vol = Exp(-9.52375084+1.81551953*LN(DIAMETRO)+1.03039019*LN(ALTURATOTAL))"/>
    <n v="5.1511538639336003E-2"/>
    <n v="7.8960746141466566E-3"/>
  </r>
  <r>
    <n v="3"/>
    <x v="0"/>
    <n v="2"/>
    <n v="9"/>
    <n v="9"/>
    <s v="Rubiaceae"/>
    <x v="15"/>
    <s v="Tasta'ab"/>
    <n v="16.5"/>
    <n v="5.2521131220325463"/>
    <n v="3.5"/>
    <n v="7"/>
    <m/>
    <s v="C"/>
    <s v="S"/>
    <s v="un fuste"/>
    <n v="7.5"/>
    <n v="5"/>
    <m/>
    <m/>
    <m/>
    <m/>
  </r>
  <r>
    <n v="4"/>
    <x v="0"/>
    <n v="2"/>
    <n v="9"/>
    <n v="10"/>
    <s v="Rubiaceae"/>
    <x v="15"/>
    <s v="Tasta'ab"/>
    <n v="26.5"/>
    <n v="8.4352119838704525"/>
    <n v="5"/>
    <n v="9"/>
    <m/>
    <s v="C"/>
    <s v="S"/>
    <s v="un fuste"/>
    <n v="10"/>
    <n v="10"/>
    <m/>
    <m/>
    <m/>
    <m/>
  </r>
  <r>
    <n v="11"/>
    <x v="1"/>
    <m/>
    <n v="24"/>
    <n v="24"/>
    <s v="Sapindaceae"/>
    <x v="24"/>
    <s v="Bejuco alado"/>
    <m/>
    <m/>
    <m/>
    <n v="8"/>
    <e v="#REF!"/>
    <m/>
    <s v="S"/>
    <s v="un fuste"/>
    <n v="7.5"/>
    <n v="5"/>
    <m/>
    <m/>
    <m/>
    <m/>
  </r>
  <r>
    <n v="8"/>
    <x v="0"/>
    <n v="2"/>
    <n v="12"/>
    <n v="12"/>
    <s v="Rubiaceae"/>
    <x v="15"/>
    <s v="Tasta'ab"/>
    <n v="17"/>
    <n v="5.4112680651244416"/>
    <n v="3.5"/>
    <n v="6"/>
    <m/>
    <s v="C"/>
    <s v="S"/>
    <s v="un fuste"/>
    <n v="5"/>
    <n v="5"/>
    <m/>
    <m/>
    <m/>
    <m/>
  </r>
  <r>
    <n v="4"/>
    <x v="2"/>
    <n v="2"/>
    <n v="17"/>
    <n v="17"/>
    <s v="Rubiaceae"/>
    <x v="15"/>
    <s v="Tasta'ab"/>
    <n v="32"/>
    <n v="10.185916357881302"/>
    <n v="6"/>
    <n v="13"/>
    <m/>
    <s v="C"/>
    <s v="S"/>
    <s v="un fuste"/>
    <n v="12.5"/>
    <n v="10"/>
    <n v="17"/>
    <s v="Vol = Exp(-9.52375084+1.81551953*LN(DIAMETRO)+1.03039019*LN(ALTURATOTAL))"/>
    <n v="6.9458874789219013E-2"/>
    <n v="8.1487330863050413E-3"/>
  </r>
  <r>
    <n v="5"/>
    <x v="0"/>
    <n v="2"/>
    <n v="16"/>
    <n v="17"/>
    <s v="Rubiaceae"/>
    <x v="15"/>
    <s v="Tasta'ab"/>
    <n v="21"/>
    <n v="6.6845076098596046"/>
    <n v="3"/>
    <n v="9"/>
    <m/>
    <s v="C"/>
    <s v="S"/>
    <s v="un fuste"/>
    <n v="10"/>
    <n v="5"/>
    <m/>
    <m/>
    <m/>
    <m/>
  </r>
  <r>
    <n v="5"/>
    <x v="0"/>
    <n v="3"/>
    <n v="17"/>
    <n v="18"/>
    <s v="Rubiaceae"/>
    <x v="15"/>
    <s v="Tasta'ab"/>
    <n v="20"/>
    <n v="6.366197723675814"/>
    <n v="5"/>
    <n v="9"/>
    <m/>
    <s v="C"/>
    <s v="S"/>
    <s v="un fuste"/>
    <n v="10"/>
    <n v="5"/>
    <m/>
    <m/>
    <m/>
    <m/>
  </r>
  <r>
    <n v="11"/>
    <x v="1"/>
    <m/>
    <n v="25"/>
    <n v="25"/>
    <s v="Sapotaceae"/>
    <x v="36"/>
    <s v="Caimito"/>
    <m/>
    <m/>
    <m/>
    <n v="1"/>
    <e v="#REF!"/>
    <m/>
    <s v="S"/>
    <s v="un fuste"/>
    <n v="2.5"/>
    <n v="5"/>
    <m/>
    <m/>
    <m/>
    <m/>
  </r>
  <r>
    <n v="5"/>
    <x v="0"/>
    <n v="3"/>
    <n v="19"/>
    <n v="20"/>
    <s v="Rubiaceae"/>
    <x v="15"/>
    <s v="Tasta'ab"/>
    <n v="16.5"/>
    <n v="5.2521131220325463"/>
    <n v="5"/>
    <n v="9"/>
    <m/>
    <s v="C"/>
    <s v="S"/>
    <s v="un fuste"/>
    <n v="10"/>
    <n v="5"/>
    <m/>
    <m/>
    <m/>
    <m/>
  </r>
  <r>
    <n v="6"/>
    <x v="0"/>
    <n v="3"/>
    <n v="18"/>
    <n v="21"/>
    <s v="Rubiaceae"/>
    <x v="15"/>
    <s v="Tasta'ab"/>
    <n v="20"/>
    <n v="6.366197723675814"/>
    <n v="2.7"/>
    <n v="7"/>
    <m/>
    <s v="C"/>
    <s v="S"/>
    <s v="un fuste"/>
    <n v="7.5"/>
    <n v="5"/>
    <m/>
    <m/>
    <m/>
    <m/>
  </r>
  <r>
    <n v="10"/>
    <x v="0"/>
    <n v="2"/>
    <n v="23"/>
    <n v="23"/>
    <s v="Rubiaceae"/>
    <x v="15"/>
    <s v="Tasta'ab"/>
    <n v="23"/>
    <n v="7.3211273822271856"/>
    <n v="5"/>
    <n v="9"/>
    <m/>
    <s v="C"/>
    <s v="S"/>
    <s v="un fuste"/>
    <n v="10"/>
    <n v="5"/>
    <m/>
    <m/>
    <m/>
    <m/>
  </r>
  <r>
    <n v="10"/>
    <x v="0"/>
    <n v="3"/>
    <n v="27"/>
    <n v="27"/>
    <s v="Rubiaceae"/>
    <x v="15"/>
    <s v="Tasta'ab"/>
    <n v="18"/>
    <n v="5.7295779513082321"/>
    <n v="4"/>
    <n v="8"/>
    <m/>
    <s v="C"/>
    <s v="S"/>
    <s v="un fuste"/>
    <n v="7.5"/>
    <n v="5"/>
    <m/>
    <m/>
    <m/>
    <m/>
  </r>
  <r>
    <n v="4"/>
    <x v="2"/>
    <n v="2"/>
    <n v="29"/>
    <n v="30"/>
    <s v="Rubiaceae"/>
    <x v="15"/>
    <s v="Tasta'ab"/>
    <n v="32"/>
    <n v="10.185916357881302"/>
    <n v="7.5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10"/>
    <x v="0"/>
    <n v="3"/>
    <n v="32"/>
    <n v="32"/>
    <s v="Rubiaceae"/>
    <x v="15"/>
    <s v="Tasta'ab"/>
    <n v="19.5"/>
    <n v="6.2070427805839179"/>
    <n v="3.5"/>
    <n v="8"/>
    <m/>
    <s v="C"/>
    <s v="S"/>
    <s v="un fuste"/>
    <n v="7.5"/>
    <n v="5"/>
    <m/>
    <m/>
    <m/>
    <m/>
  </r>
  <r>
    <n v="11"/>
    <x v="1"/>
    <m/>
    <n v="26"/>
    <n v="26"/>
    <s v="Vitaceae "/>
    <x v="32"/>
    <s v="Bejuco Cissus"/>
    <m/>
    <m/>
    <m/>
    <n v="0.6"/>
    <e v="#REF!"/>
    <m/>
    <s v="S"/>
    <s v="un fuste"/>
    <n v="2.5"/>
    <n v="5"/>
    <m/>
    <m/>
    <m/>
    <m/>
  </r>
  <r>
    <n v="11"/>
    <x v="1"/>
    <m/>
    <n v="27"/>
    <n v="27"/>
    <s v="Vitaceae "/>
    <x v="32"/>
    <s v="Bejuco Cissus"/>
    <m/>
    <m/>
    <m/>
    <n v="0.6"/>
    <e v="#REF!"/>
    <m/>
    <s v="S"/>
    <s v="un fuste"/>
    <n v="2.5"/>
    <n v="5"/>
    <m/>
    <m/>
    <m/>
    <m/>
  </r>
  <r>
    <n v="11"/>
    <x v="1"/>
    <m/>
    <n v="28"/>
    <n v="28"/>
    <s v="Vitaceae "/>
    <x v="32"/>
    <s v="Bejuco Cissus"/>
    <m/>
    <m/>
    <m/>
    <n v="0.6"/>
    <e v="#REF!"/>
    <m/>
    <s v="S"/>
    <s v="un fuste"/>
    <n v="2.5"/>
    <n v="5"/>
    <m/>
    <m/>
    <m/>
    <m/>
  </r>
  <r>
    <n v="12"/>
    <x v="1"/>
    <m/>
    <n v="1"/>
    <n v="1"/>
    <s v="Lauraceae"/>
    <x v="0"/>
    <s v="Aguacatillo"/>
    <m/>
    <m/>
    <m/>
    <n v="8"/>
    <e v="#REF!"/>
    <m/>
    <s v="S"/>
    <s v="un fuste"/>
    <n v="7.5"/>
    <n v="5"/>
    <m/>
    <m/>
    <m/>
    <m/>
  </r>
  <r>
    <n v="12"/>
    <x v="1"/>
    <m/>
    <n v="2"/>
    <n v="2"/>
    <s v="Lauraceae"/>
    <x v="0"/>
    <s v="Aguacatillo"/>
    <m/>
    <m/>
    <m/>
    <n v="7"/>
    <e v="#REF!"/>
    <m/>
    <s v="S"/>
    <s v="un fuste"/>
    <n v="7.5"/>
    <n v="5"/>
    <m/>
    <m/>
    <m/>
    <m/>
  </r>
  <r>
    <n v="12"/>
    <x v="1"/>
    <m/>
    <n v="3"/>
    <n v="3"/>
    <s v="Lauraceae"/>
    <x v="0"/>
    <s v="Aguacatillo"/>
    <m/>
    <m/>
    <m/>
    <n v="2.5"/>
    <e v="#REF!"/>
    <m/>
    <s v="S"/>
    <s v="un fuste"/>
    <n v="2.5"/>
    <n v="5"/>
    <m/>
    <m/>
    <m/>
    <m/>
  </r>
  <r>
    <n v="12"/>
    <x v="1"/>
    <m/>
    <n v="4"/>
    <n v="4"/>
    <s v="Polygonaceae"/>
    <x v="13"/>
    <s v="Boob"/>
    <m/>
    <m/>
    <m/>
    <n v="5.5"/>
    <e v="#REF!"/>
    <m/>
    <s v="S"/>
    <s v="un fuste"/>
    <n v="5"/>
    <n v="5"/>
    <m/>
    <m/>
    <m/>
    <m/>
  </r>
  <r>
    <n v="8"/>
    <x v="2"/>
    <n v="3"/>
    <n v="42"/>
    <n v="47"/>
    <s v="Leguminosae"/>
    <x v="67"/>
    <s v="Tsu'uts'uk"/>
    <n v="32"/>
    <n v="10.185916357881302"/>
    <n v="8"/>
    <n v="12"/>
    <m/>
    <s v="C"/>
    <s v="S"/>
    <s v="un fuste"/>
    <n v="12.5"/>
    <n v="10"/>
    <n v="17"/>
    <s v="Vol = Exp(-9.52375084+1.81551953*LN(DIAMETRO)+1.03039019*LN(ALTURATOTAL))"/>
    <n v="6.3960111229385122E-2"/>
    <n v="8.1487330863050413E-3"/>
  </r>
  <r>
    <n v="8"/>
    <x v="2"/>
    <n v="3"/>
    <n v="43"/>
    <n v="48"/>
    <s v="Leguminosae"/>
    <x v="67"/>
    <s v="Tsu'uts'uk"/>
    <n v="31.5"/>
    <n v="10.026761414789407"/>
    <n v="5"/>
    <n v="12"/>
    <m/>
    <s v="C"/>
    <s v="S"/>
    <s v="un fuste"/>
    <n v="12.5"/>
    <n v="10"/>
    <n v="17"/>
    <s v="Vol = Exp(-9.52375084+1.81551953*LN(DIAMETRO)+1.03039019*LN(ALTURATOTAL))"/>
    <n v="6.2157294315506713E-2"/>
    <n v="7.8960746141466566E-3"/>
  </r>
  <r>
    <n v="12"/>
    <x v="1"/>
    <m/>
    <n v="5"/>
    <n v="5"/>
    <s v="Polygonaceae"/>
    <x v="13"/>
    <s v="Boob"/>
    <m/>
    <m/>
    <m/>
    <n v="4.5"/>
    <e v="#REF!"/>
    <m/>
    <s v="S"/>
    <s v="un fuste"/>
    <n v="5"/>
    <n v="5"/>
    <m/>
    <m/>
    <m/>
    <m/>
  </r>
  <r>
    <n v="6"/>
    <x v="2"/>
    <n v="1"/>
    <n v="1"/>
    <n v="1"/>
    <s v="Leguminosae"/>
    <x v="68"/>
    <s v="Tzalam"/>
    <n v="48.5"/>
    <n v="15.438029479913848"/>
    <n v="2.6"/>
    <n v="12"/>
    <m/>
    <s v="C"/>
    <s v="S"/>
    <s v="un fuste"/>
    <n v="12.5"/>
    <n v="15"/>
    <n v="3"/>
    <s v="Vol = Exp(-10.07810188+1.92989964*LN(DIAMETRO)+1.07701930*LN(ALTURATOTAL))."/>
    <n v="0.12003226734670126"/>
    <n v="1.8718610744395538E-2"/>
  </r>
  <r>
    <n v="7"/>
    <x v="2"/>
    <n v="1"/>
    <n v="1"/>
    <n v="1"/>
    <s v="Leguminosae"/>
    <x v="68"/>
    <s v="Tzalam"/>
    <n v="96"/>
    <n v="30.557749073643905"/>
    <n v="3"/>
    <n v="14"/>
    <m/>
    <s v="C"/>
    <s v="S"/>
    <s v="un fuste"/>
    <n v="15"/>
    <n v="30"/>
    <n v="3"/>
    <s v="Vol = Exp(-10.07810188+1.92989964*LN(DIAMETRO)+1.07701930*LN(ALTURATOTAL))."/>
    <n v="0.52926497995563737"/>
    <n v="7.3338597776745368E-2"/>
  </r>
  <r>
    <n v="10"/>
    <x v="2"/>
    <n v="1"/>
    <n v="1"/>
    <n v="1"/>
    <s v="Leguminosae"/>
    <x v="68"/>
    <s v="Tzalam"/>
    <n v="35"/>
    <n v="11.140846016432674"/>
    <n v="3"/>
    <n v="10"/>
    <m/>
    <s v="C"/>
    <s v="S"/>
    <s v="un fuste"/>
    <n v="10"/>
    <n v="10"/>
    <n v="3"/>
    <s v="Vol = Exp(-10.07810188+1.92989964*LN(DIAMETRO)+1.07701930*LN(ALTURATOTAL))."/>
    <n v="5.2553575416116598E-2"/>
    <n v="9.7482402643785885E-3"/>
  </r>
  <r>
    <n v="12"/>
    <x v="2"/>
    <n v="1"/>
    <n v="1"/>
    <n v="1"/>
    <s v="Leguminosae"/>
    <x v="68"/>
    <s v="Tzalam"/>
    <n v="42"/>
    <n v="13.369015219719209"/>
    <n v="2.2999999999999998"/>
    <n v="9"/>
    <m/>
    <s v="C"/>
    <s v="S"/>
    <s v="un fuste"/>
    <n v="10"/>
    <n v="15"/>
    <n v="3"/>
    <s v="Vol = Exp(-10.07810188+1.92989964*LN(DIAMETRO)+1.07701930*LN(ALTURATOTAL))."/>
    <n v="6.6701012410433178E-2"/>
    <n v="1.4037465980705171E-2"/>
  </r>
  <r>
    <n v="12"/>
    <x v="0"/>
    <n v="1"/>
    <n v="1"/>
    <n v="1"/>
    <s v="Leguminosae"/>
    <x v="68"/>
    <s v="Tzalam"/>
    <n v="20.5"/>
    <n v="6.5253526667677093"/>
    <n v="2.7"/>
    <n v="9"/>
    <m/>
    <s v="CB"/>
    <s v="S"/>
    <s v="un fuste"/>
    <n v="10"/>
    <n v="5"/>
    <m/>
    <m/>
    <m/>
    <m/>
  </r>
  <r>
    <n v="8"/>
    <x v="2"/>
    <n v="1"/>
    <n v="2"/>
    <n v="2"/>
    <s v="Leguminosae"/>
    <x v="68"/>
    <s v="Tzalam"/>
    <n v="57"/>
    <n v="18.143663512476071"/>
    <n v="8"/>
    <n v="13"/>
    <m/>
    <s v="C"/>
    <s v="S"/>
    <s v="un fuste"/>
    <n v="12.5"/>
    <n v="20"/>
    <n v="3"/>
    <s v="Vol = Exp(-10.07810188+1.92989964*LN(DIAMETRO)+1.07701930*LN(ALTURATOTAL))."/>
    <n v="0.17868469143083901"/>
    <n v="2.5854720505278404E-2"/>
  </r>
  <r>
    <n v="12"/>
    <x v="2"/>
    <n v="1"/>
    <n v="2"/>
    <n v="2"/>
    <s v="Leguminosae"/>
    <x v="68"/>
    <s v="Tzalam"/>
    <n v="34"/>
    <n v="10.822536130248883"/>
    <n v="1.4"/>
    <n v="12"/>
    <m/>
    <s v="C"/>
    <s v="S"/>
    <s v="un fuste"/>
    <n v="12.5"/>
    <n v="10"/>
    <n v="3"/>
    <s v="Vol = Exp(-10.07810188+1.92989964*LN(DIAMETRO)+1.07701930*LN(ALTURATOTAL))."/>
    <n v="6.0476443880539972E-2"/>
    <n v="9.1991557107115509E-3"/>
  </r>
  <r>
    <n v="12"/>
    <x v="0"/>
    <n v="1"/>
    <s v="1A"/>
    <n v="2"/>
    <s v="Leguminosae"/>
    <x v="68"/>
    <s v="Tzalam"/>
    <n v="19"/>
    <n v="6.0478878374920226"/>
    <n v="2.4"/>
    <n v="7"/>
    <m/>
    <s v="C"/>
    <s v="S"/>
    <e v="#VALUE!"/>
    <n v="7.5"/>
    <n v="5"/>
    <m/>
    <m/>
    <m/>
    <m/>
  </r>
  <r>
    <n v="12"/>
    <x v="2"/>
    <n v="1"/>
    <n v="3"/>
    <n v="3"/>
    <s v="Leguminosae"/>
    <x v="68"/>
    <s v="Tzalam"/>
    <n v="35"/>
    <n v="11.140846016432674"/>
    <n v="3.2"/>
    <n v="10"/>
    <m/>
    <s v="C"/>
    <s v="S"/>
    <s v="un fuste"/>
    <n v="10"/>
    <n v="10"/>
    <n v="3"/>
    <s v="Vol = Exp(-10.07810188+1.92989964*LN(DIAMETRO)+1.07701930*LN(ALTURATOTAL))."/>
    <n v="5.2553575416116598E-2"/>
    <n v="9.7482402643785885E-3"/>
  </r>
  <r>
    <n v="12"/>
    <x v="0"/>
    <n v="1"/>
    <n v="2"/>
    <n v="3"/>
    <s v="Leguminosae"/>
    <x v="68"/>
    <s v="Tzalam"/>
    <n v="17"/>
    <n v="5.4112680651244416"/>
    <n v="2.2000000000000002"/>
    <n v="9"/>
    <m/>
    <s v="C"/>
    <s v="S"/>
    <s v="un fuste"/>
    <n v="10"/>
    <n v="5"/>
    <m/>
    <m/>
    <m/>
    <m/>
  </r>
  <r>
    <n v="8"/>
    <x v="2"/>
    <n v="1"/>
    <n v="4"/>
    <n v="4"/>
    <s v="Leguminosae"/>
    <x v="68"/>
    <s v="Tzalam"/>
    <n v="87.5"/>
    <n v="27.852115041081685"/>
    <n v="8"/>
    <n v="14"/>
    <m/>
    <s v="CB"/>
    <s v="S"/>
    <s v="un fuste"/>
    <n v="15"/>
    <n v="30"/>
    <n v="3"/>
    <s v="Vol = Exp(-10.07810188+1.92989964*LN(DIAMETRO)+1.07701930*LN(ALTURATOTAL))."/>
    <n v="0.44255704867997447"/>
    <n v="6.092650165236619E-2"/>
  </r>
  <r>
    <n v="12"/>
    <x v="2"/>
    <n v="2"/>
    <n v="4"/>
    <n v="4"/>
    <s v="Leguminosae"/>
    <x v="68"/>
    <s v="Tzalam"/>
    <n v="38"/>
    <n v="12.095775674984045"/>
    <n v="3"/>
    <n v="9"/>
    <m/>
    <s v="CB"/>
    <s v="S"/>
    <s v="un fuste"/>
    <n v="10"/>
    <n v="10"/>
    <n v="3"/>
    <s v="Vol = Exp(-10.07810188+1.92989964*LN(DIAMETRO)+1.07701930*LN(ALTURATOTAL))."/>
    <n v="5.4985477270311188E-2"/>
    <n v="1.1490986891234843E-2"/>
  </r>
  <r>
    <n v="12"/>
    <x v="0"/>
    <n v="1"/>
    <n v="3"/>
    <n v="4"/>
    <s v="Leguminosae"/>
    <x v="68"/>
    <s v="Tzalam"/>
    <n v="19"/>
    <n v="6.0478878374920226"/>
    <n v="7.5"/>
    <n v="10"/>
    <m/>
    <s v="C"/>
    <s v="S"/>
    <s v="un fuste"/>
    <n v="10"/>
    <n v="5"/>
    <m/>
    <m/>
    <m/>
    <m/>
  </r>
  <r>
    <n v="8"/>
    <x v="2"/>
    <n v="1"/>
    <s v="4A"/>
    <n v="5"/>
    <s v="Leguminosae"/>
    <x v="68"/>
    <s v="Tzalam"/>
    <n v="72"/>
    <n v="22.918311805232928"/>
    <n v="8"/>
    <n v="14"/>
    <m/>
    <s v="C"/>
    <s v="S"/>
    <e v="#VALUE!"/>
    <n v="15"/>
    <n v="25"/>
    <n v="3"/>
    <s v="Vol = Exp(-10.07810188+1.92989964*LN(DIAMETRO)+1.07701930*LN(ALTURATOTAL))."/>
    <n v="0.30377633353897893"/>
    <n v="4.1252961249419268E-2"/>
  </r>
  <r>
    <n v="12"/>
    <x v="2"/>
    <n v="2"/>
    <s v="4A"/>
    <n v="5"/>
    <s v="Leguminosae"/>
    <x v="68"/>
    <s v="Tzalam"/>
    <n v="37.5"/>
    <n v="11.93662073189215"/>
    <n v="1.8"/>
    <n v="9"/>
    <m/>
    <s v="C"/>
    <s v="S"/>
    <e v="#VALUE!"/>
    <n v="10"/>
    <n v="10"/>
    <n v="3"/>
    <s v="Vol = Exp(-10.07810188+1.92989964*LN(DIAMETRO)+1.07701930*LN(ALTURATOTAL))."/>
    <n v="5.3597752830722822E-2"/>
    <n v="1.1190581936148891E-2"/>
  </r>
  <r>
    <n v="12"/>
    <x v="0"/>
    <n v="1"/>
    <n v="4"/>
    <n v="5"/>
    <s v="Leguminosae"/>
    <x v="68"/>
    <s v="Tzalam"/>
    <n v="19.5"/>
    <n v="6.2070427805839179"/>
    <n v="4"/>
    <n v="8"/>
    <m/>
    <s v="C"/>
    <s v="S"/>
    <s v="un fuste"/>
    <n v="7.5"/>
    <n v="5"/>
    <m/>
    <m/>
    <m/>
    <m/>
  </r>
  <r>
    <n v="5"/>
    <x v="2"/>
    <n v="1"/>
    <n v="6"/>
    <n v="6"/>
    <s v="Leguminosae"/>
    <x v="68"/>
    <s v="Tzalam"/>
    <n v="57.5"/>
    <n v="18.302818455567966"/>
    <n v="6"/>
    <n v="12"/>
    <m/>
    <s v="C"/>
    <s v="S"/>
    <s v="un fuste"/>
    <n v="12.5"/>
    <n v="20"/>
    <n v="3"/>
    <s v="Vol = Exp(-10.07810188+1.92989964*LN(DIAMETRO)+1.07701930*LN(ALTURATOTAL))."/>
    <n v="0.16671242749319176"/>
    <n v="2.6310301529878954E-2"/>
  </r>
  <r>
    <n v="11"/>
    <x v="2"/>
    <n v="1"/>
    <n v="5"/>
    <n v="6"/>
    <s v="Leguminosae"/>
    <x v="68"/>
    <s v="Tzalam"/>
    <n v="56.5"/>
    <n v="17.984508569384175"/>
    <n v="2"/>
    <n v="11"/>
    <m/>
    <s v="C"/>
    <s v="S"/>
    <s v="un fuste"/>
    <n v="10"/>
    <n v="20"/>
    <n v="3"/>
    <s v="Vol = Exp(-10.07810188+1.92989964*LN(DIAMETRO)+1.07701930*LN(ALTURATOTAL))."/>
    <n v="0.1467453318250006"/>
    <n v="2.5403118354255152E-2"/>
  </r>
  <r>
    <n v="12"/>
    <x v="2"/>
    <n v="2"/>
    <n v="5"/>
    <n v="6"/>
    <s v="Leguminosae"/>
    <x v="68"/>
    <s v="Tzalam"/>
    <n v="34"/>
    <n v="10.822536130248883"/>
    <n v="5"/>
    <n v="10"/>
    <m/>
    <s v="C"/>
    <s v="S"/>
    <s v="un fuste"/>
    <n v="10"/>
    <n v="10"/>
    <n v="3"/>
    <s v="Vol = Exp(-10.07810188+1.92989964*LN(DIAMETRO)+1.07701930*LN(ALTURATOTAL))."/>
    <n v="4.9694292943476354E-2"/>
    <n v="9.1991557107115509E-3"/>
  </r>
  <r>
    <n v="9"/>
    <x v="2"/>
    <n v="2"/>
    <n v="7"/>
    <n v="7"/>
    <s v="Leguminosae"/>
    <x v="68"/>
    <s v="Tzalam"/>
    <n v="55"/>
    <n v="17.507043740108486"/>
    <n v="2.2999999999999998"/>
    <n v="11"/>
    <m/>
    <s v="C"/>
    <s v="S"/>
    <s v="un fuste"/>
    <n v="10"/>
    <n v="20"/>
    <n v="3"/>
    <s v="Vol = Exp(-10.07810188+1.92989964*LN(DIAMETRO)+1.07701930*LN(ALTURATOTAL))."/>
    <n v="0.13931951497347062"/>
    <n v="2.4072185142649163E-2"/>
  </r>
  <r>
    <n v="10"/>
    <x v="2"/>
    <n v="2"/>
    <n v="7"/>
    <n v="7"/>
    <s v="Leguminosae"/>
    <x v="68"/>
    <s v="Tzalam"/>
    <n v="48.5"/>
    <n v="15.438029479913848"/>
    <n v="4"/>
    <n v="11"/>
    <m/>
    <s v="C"/>
    <s v="S"/>
    <s v="un fuste"/>
    <n v="10"/>
    <n v="15"/>
    <n v="3"/>
    <s v="Vol = Exp(-10.07810188+1.92989964*LN(DIAMETRO)+1.07701930*LN(ALTURATOTAL))."/>
    <n v="0.10929467434213644"/>
    <n v="1.8718610744395538E-2"/>
  </r>
  <r>
    <n v="12"/>
    <x v="2"/>
    <n v="3"/>
    <n v="6"/>
    <n v="7"/>
    <s v="Leguminosae"/>
    <x v="68"/>
    <s v="Tzalam"/>
    <n v="36"/>
    <n v="11.459155902616464"/>
    <n v="2.2000000000000002"/>
    <n v="10"/>
    <m/>
    <s v="C"/>
    <s v="S"/>
    <s v="un fuste"/>
    <n v="10"/>
    <n v="10"/>
    <n v="3"/>
    <s v="Vol = Exp(-10.07810188+1.92989964*LN(DIAMETRO)+1.07701930*LN(ALTURATOTAL))."/>
    <n v="5.5489848754045175E-2"/>
    <n v="1.0313240312354817E-2"/>
  </r>
  <r>
    <n v="12"/>
    <x v="0"/>
    <n v="1"/>
    <n v="6"/>
    <n v="7"/>
    <s v="Leguminosae"/>
    <x v="68"/>
    <s v="Tzalam"/>
    <n v="19"/>
    <n v="6.0478878374920226"/>
    <n v="7"/>
    <n v="9"/>
    <m/>
    <s v="C"/>
    <s v="S"/>
    <s v="un fuste"/>
    <n v="10"/>
    <n v="5"/>
    <m/>
    <m/>
    <m/>
    <m/>
  </r>
  <r>
    <n v="9"/>
    <x v="2"/>
    <n v="2"/>
    <n v="8"/>
    <n v="8"/>
    <s v="Leguminosae"/>
    <x v="68"/>
    <s v="Tzalam"/>
    <n v="56.5"/>
    <n v="17.984508569384175"/>
    <n v="3.5"/>
    <n v="12"/>
    <m/>
    <s v="C"/>
    <s v="S"/>
    <s v="un fuste"/>
    <n v="12.5"/>
    <n v="20"/>
    <n v="3"/>
    <s v="Vol = Exp(-10.07810188+1.92989964*LN(DIAMETRO)+1.07701930*LN(ALTURATOTAL))."/>
    <n v="0.16116224333455983"/>
    <n v="2.5403118354255152E-2"/>
  </r>
  <r>
    <n v="12"/>
    <x v="0"/>
    <n v="1"/>
    <n v="7"/>
    <n v="8"/>
    <s v="Leguminosae"/>
    <x v="68"/>
    <s v="Tzalam"/>
    <n v="23.5"/>
    <n v="7.4802823253190809"/>
    <n v="8"/>
    <n v="10"/>
    <m/>
    <s v="C"/>
    <s v="S"/>
    <s v="un fuste"/>
    <n v="10"/>
    <n v="5"/>
    <m/>
    <m/>
    <m/>
    <m/>
  </r>
  <r>
    <n v="6"/>
    <x v="2"/>
    <n v="3"/>
    <n v="8"/>
    <n v="9"/>
    <s v="Leguminosae"/>
    <x v="68"/>
    <s v="Tzalam"/>
    <n v="38"/>
    <n v="12.095775674984045"/>
    <n v="3"/>
    <n v="10"/>
    <m/>
    <s v="C"/>
    <s v="S"/>
    <s v="un fuste"/>
    <n v="10"/>
    <n v="10"/>
    <n v="3"/>
    <s v="Vol = Exp(-10.07810188+1.92989964*LN(DIAMETRO)+1.07701930*LN(ALTURATOTAL))."/>
    <n v="6.1592764828348724E-2"/>
    <n v="1.1490986891234843E-2"/>
  </r>
  <r>
    <n v="10"/>
    <x v="2"/>
    <n v="3"/>
    <n v="9"/>
    <n v="9"/>
    <s v="Leguminosae"/>
    <x v="68"/>
    <s v="Tzalam"/>
    <n v="46.5"/>
    <n v="14.801409707546267"/>
    <n v="5"/>
    <n v="13"/>
    <m/>
    <s v="C"/>
    <s v="S"/>
    <s v="un fuste"/>
    <n v="12.5"/>
    <n v="15"/>
    <n v="3"/>
    <s v="Vol = Exp(-10.07810188+1.92989964*LN(DIAMETRO)+1.07701930*LN(ALTURATOTAL))."/>
    <n v="0.12062628371070527"/>
    <n v="1.7206638785022533E-2"/>
  </r>
  <r>
    <n v="12"/>
    <x v="2"/>
    <n v="3"/>
    <n v="8"/>
    <n v="9"/>
    <s v="Leguminosae"/>
    <x v="68"/>
    <s v="Tzalam"/>
    <n v="31.5"/>
    <n v="10.026761414789407"/>
    <n v="3.5"/>
    <n v="9"/>
    <m/>
    <s v="C"/>
    <s v="S"/>
    <s v="un fuste"/>
    <n v="10"/>
    <n v="10"/>
    <n v="3"/>
    <s v="Vol = Exp(-10.07810188+1.92989964*LN(DIAMETRO)+1.07701930*LN(ALTURATOTAL))."/>
    <n v="3.8283638178890481E-2"/>
    <n v="7.8960746141466566E-3"/>
  </r>
  <r>
    <n v="12"/>
    <x v="0"/>
    <n v="2"/>
    <n v="8"/>
    <n v="9"/>
    <s v="Leguminosae"/>
    <x v="68"/>
    <s v="Tzalam"/>
    <n v="24"/>
    <n v="7.6394372684109761"/>
    <n v="3.5"/>
    <n v="9"/>
    <m/>
    <s v="C"/>
    <s v="S"/>
    <s v="un fuste"/>
    <n v="10"/>
    <n v="10"/>
    <m/>
    <m/>
    <m/>
    <m/>
  </r>
  <r>
    <n v="8"/>
    <x v="2"/>
    <n v="1"/>
    <n v="9"/>
    <n v="10"/>
    <s v="Leguminosae"/>
    <x v="68"/>
    <s v="Tzalam"/>
    <n v="48"/>
    <n v="15.278874536821952"/>
    <n v="5.5"/>
    <n v="12"/>
    <m/>
    <s v="C"/>
    <s v="S"/>
    <s v="un fuste"/>
    <n v="12.5"/>
    <n v="15"/>
    <n v="3"/>
    <s v="Vol = Exp(-10.07810188+1.92989964*LN(DIAMETRO)+1.07701930*LN(ALTURATOTAL))."/>
    <n v="0.11765557051225319"/>
    <n v="1.8334649444186342E-2"/>
  </r>
  <r>
    <n v="9"/>
    <x v="2"/>
    <n v="2"/>
    <n v="10"/>
    <n v="10"/>
    <s v="Leguminosae"/>
    <x v="68"/>
    <s v="Tzalam"/>
    <n v="41"/>
    <n v="13.050705333535419"/>
    <n v="7.5"/>
    <n v="11"/>
    <m/>
    <s v="C"/>
    <s v="S"/>
    <s v="un fuste"/>
    <n v="10"/>
    <n v="15"/>
    <n v="3"/>
    <s v="Vol = Exp(-10.07810188+1.92989964*LN(DIAMETRO)+1.07701930*LN(ALTURATOTAL))."/>
    <n v="7.9031024235165448E-2"/>
    <n v="1.3376972966873806E-2"/>
  </r>
  <r>
    <n v="11"/>
    <x v="2"/>
    <n v="2"/>
    <n v="9"/>
    <n v="10"/>
    <s v="Leguminosae"/>
    <x v="68"/>
    <s v="Tzalam"/>
    <n v="42.5"/>
    <n v="13.528170162811104"/>
    <n v="3.5"/>
    <n v="9"/>
    <m/>
    <s v="C"/>
    <s v="S"/>
    <s v="un fuste"/>
    <n v="10"/>
    <n v="15"/>
    <n v="3"/>
    <s v="Vol = Exp(-10.07810188+1.92989964*LN(DIAMETRO)+1.07701930*LN(ALTURATOTAL))."/>
    <n v="6.8241947852802673E-2"/>
    <n v="1.43736807979868E-2"/>
  </r>
  <r>
    <n v="12"/>
    <x v="0"/>
    <n v="2"/>
    <n v="9"/>
    <n v="10"/>
    <s v="Leguminosae"/>
    <x v="68"/>
    <s v="Tzalam"/>
    <n v="22.5"/>
    <n v="7.1619724391352904"/>
    <n v="2"/>
    <n v="10"/>
    <m/>
    <s v="C"/>
    <s v="S"/>
    <s v="un fuste"/>
    <n v="10"/>
    <n v="5"/>
    <m/>
    <m/>
    <m/>
    <m/>
  </r>
  <r>
    <n v="7"/>
    <x v="2"/>
    <n v="2"/>
    <n v="8"/>
    <n v="11"/>
    <s v="Leguminosae"/>
    <x v="68"/>
    <s v="Tzalam"/>
    <n v="95"/>
    <n v="30.239439187460114"/>
    <n v="7"/>
    <n v="14"/>
    <m/>
    <s v="C"/>
    <s v="S"/>
    <s v="un fuste"/>
    <n v="15"/>
    <n v="30"/>
    <n v="3"/>
    <s v="Vol = Exp(-10.07810188+1.92989964*LN(DIAMETRO)+1.07701930*LN(ALTURATOTAL))."/>
    <n v="0.51867664581607975"/>
    <n v="7.1818668070217764E-2"/>
  </r>
  <r>
    <n v="12"/>
    <x v="0"/>
    <n v="2"/>
    <n v="10"/>
    <n v="11"/>
    <s v="Leguminosae"/>
    <x v="68"/>
    <s v="Tzalam"/>
    <n v="21.5"/>
    <n v="6.8436625529514998"/>
    <n v="2.2000000000000002"/>
    <n v="8"/>
    <m/>
    <s v="CB"/>
    <s v="S"/>
    <s v="un fuste"/>
    <n v="7.5"/>
    <n v="5"/>
    <m/>
    <m/>
    <m/>
    <m/>
  </r>
  <r>
    <n v="1"/>
    <x v="2"/>
    <n v="2"/>
    <n v="11"/>
    <n v="12"/>
    <s v="Leguminosae"/>
    <x v="68"/>
    <s v="Tzalam"/>
    <n v="73"/>
    <n v="23.236621691416719"/>
    <n v="6"/>
    <n v="13"/>
    <m/>
    <s v="CB"/>
    <s v="S"/>
    <s v="un fuste"/>
    <n v="12.5"/>
    <n v="25"/>
    <n v="3"/>
    <s v="Vol = Exp(-10.07810188+1.92989964*LN(DIAMETRO)+1.07701930*LN(ALTURATOTAL))."/>
    <n v="0.28803894503210853"/>
    <n v="4.2406834586835508E-2"/>
  </r>
  <r>
    <n v="12"/>
    <x v="0"/>
    <n v="2"/>
    <s v="10A"/>
    <n v="12"/>
    <s v="Leguminosae"/>
    <x v="68"/>
    <s v="Tzalam"/>
    <n v="19"/>
    <n v="6.0478878374920226"/>
    <n v="6"/>
    <n v="8"/>
    <m/>
    <s v="C"/>
    <s v="S"/>
    <e v="#VALUE!"/>
    <n v="7.5"/>
    <n v="5"/>
    <m/>
    <m/>
    <m/>
    <m/>
  </r>
  <r>
    <n v="1"/>
    <x v="2"/>
    <n v="2"/>
    <s v="11A"/>
    <n v="13"/>
    <s v="Leguminosae"/>
    <x v="68"/>
    <s v="Tzalam"/>
    <n v="64"/>
    <n v="20.371832715762604"/>
    <n v="6"/>
    <n v="13"/>
    <m/>
    <s v="C"/>
    <s v="S"/>
    <e v="#VALUE!"/>
    <n v="12.5"/>
    <n v="20"/>
    <n v="3"/>
    <s v="Vol = Exp(-10.07810188+1.92989964*LN(DIAMETRO)+1.07701930*LN(ALTURATOTAL))."/>
    <n v="0.22344527539885364"/>
    <n v="3.2594932345220165E-2"/>
  </r>
  <r>
    <n v="12"/>
    <x v="0"/>
    <n v="2"/>
    <n v="11"/>
    <n v="13"/>
    <s v="Leguminosae"/>
    <x v="68"/>
    <s v="Tzalam"/>
    <n v="29.5"/>
    <n v="9.3901416424218258"/>
    <n v="7"/>
    <n v="11"/>
    <m/>
    <s v="CB"/>
    <s v="S"/>
    <s v="un fuste"/>
    <n v="10"/>
    <n v="10"/>
    <m/>
    <m/>
    <m/>
    <m/>
  </r>
  <r>
    <n v="1"/>
    <x v="2"/>
    <n v="2"/>
    <s v="11B"/>
    <n v="14"/>
    <s v="Leguminosae"/>
    <x v="68"/>
    <s v="Tzalam"/>
    <n v="50"/>
    <n v="15.915494309189533"/>
    <n v="4"/>
    <n v="11"/>
    <m/>
    <s v="C"/>
    <s v="S"/>
    <e v="#VALUE!"/>
    <n v="10"/>
    <n v="15"/>
    <n v="3"/>
    <s v="Vol = Exp(-10.07810188+1.92989964*LN(DIAMETRO)+1.07701930*LN(ALTURATOTAL))."/>
    <n v="0.11591195362313406"/>
    <n v="1.9894367886486915E-2"/>
  </r>
  <r>
    <n v="7"/>
    <x v="2"/>
    <n v="2"/>
    <n v="11"/>
    <n v="14"/>
    <s v="Leguminosae"/>
    <x v="68"/>
    <s v="Tzalam"/>
    <n v="60"/>
    <n v="19.098593171027442"/>
    <n v="2.6"/>
    <n v="14"/>
    <m/>
    <s v="C"/>
    <s v="S"/>
    <s v="un fuste"/>
    <n v="15"/>
    <n v="20"/>
    <n v="3"/>
    <s v="Vol = Exp(-10.07810188+1.92989964*LN(DIAMETRO)+1.07701930*LN(ALTURATOTAL))."/>
    <n v="0.21366927568123606"/>
    <n v="2.8647889756541162E-2"/>
  </r>
  <r>
    <n v="11"/>
    <x v="2"/>
    <n v="3"/>
    <n v="13"/>
    <n v="14"/>
    <s v="Leguminosae"/>
    <x v="68"/>
    <s v="Tzalam"/>
    <n v="51"/>
    <n v="16.233804195373324"/>
    <n v="4"/>
    <n v="10"/>
    <m/>
    <s v="C"/>
    <s v="S"/>
    <s v="un fuste"/>
    <n v="10"/>
    <n v="15"/>
    <n v="3"/>
    <s v="Vol = Exp(-10.07810188+1.92989964*LN(DIAMETRO)+1.07701930*LN(ALTURATOTAL))."/>
    <n v="0.10867883474040876"/>
    <n v="2.0698100349100988E-2"/>
  </r>
  <r>
    <n v="12"/>
    <x v="0"/>
    <n v="2"/>
    <s v="11A"/>
    <n v="14"/>
    <s v="Leguminosae"/>
    <x v="68"/>
    <s v="Tzalam"/>
    <n v="21.5"/>
    <n v="6.8436625529514998"/>
    <n v="6"/>
    <n v="9"/>
    <m/>
    <s v="C"/>
    <s v="S"/>
    <e v="#VALUE!"/>
    <n v="10"/>
    <n v="5"/>
    <m/>
    <m/>
    <m/>
    <m/>
  </r>
  <r>
    <n v="7"/>
    <x v="2"/>
    <n v="2"/>
    <n v="12"/>
    <n v="15"/>
    <s v="Leguminosae"/>
    <x v="68"/>
    <s v="Tzalam"/>
    <n v="66"/>
    <n v="21.008452488130185"/>
    <n v="6"/>
    <n v="14"/>
    <m/>
    <s v="C"/>
    <s v="S"/>
    <s v="un fuste"/>
    <n v="15"/>
    <n v="20"/>
    <n v="3"/>
    <s v="Vol = Exp(-10.07810188+1.92989964*LN(DIAMETRO)+1.07701930*LN(ALTURATOTAL))."/>
    <n v="0.25681820487150631"/>
    <n v="3.4663946605414803E-2"/>
  </r>
  <r>
    <n v="11"/>
    <x v="2"/>
    <n v="3"/>
    <n v="14"/>
    <n v="15"/>
    <s v="Leguminosae"/>
    <x v="68"/>
    <s v="Tzalam"/>
    <n v="39.5"/>
    <n v="12.573240504259733"/>
    <n v="4.5"/>
    <n v="13"/>
    <m/>
    <s v="C"/>
    <s v="S"/>
    <s v="un fuste"/>
    <n v="12.5"/>
    <n v="15"/>
    <n v="3"/>
    <s v="Vol = Exp(-10.07810188+1.92989964*LN(DIAMETRO)+1.07701930*LN(ALTURATOTAL))."/>
    <n v="8.8043491073533861E-2"/>
    <n v="1.2416074997956486E-2"/>
  </r>
  <r>
    <n v="12"/>
    <x v="0"/>
    <n v="2"/>
    <s v="11A"/>
    <n v="15"/>
    <s v="Leguminosae"/>
    <x v="68"/>
    <s v="Tzalam"/>
    <n v="22"/>
    <n v="7.0028174960433951"/>
    <n v="2.5"/>
    <n v="7"/>
    <m/>
    <s v="C"/>
    <s v="S"/>
    <e v="#VALUE!"/>
    <n v="7.5"/>
    <n v="5"/>
    <m/>
    <m/>
    <m/>
    <m/>
  </r>
  <r>
    <n v="7"/>
    <x v="2"/>
    <n v="2"/>
    <n v="13"/>
    <n v="16"/>
    <s v="Leguminosae"/>
    <x v="68"/>
    <s v="Tzalam"/>
    <n v="66.5"/>
    <n v="21.167607431222081"/>
    <n v="8"/>
    <n v="14"/>
    <m/>
    <s v="C"/>
    <s v="S"/>
    <s v="un fuste"/>
    <n v="15"/>
    <n v="20"/>
    <n v="3"/>
    <s v="Vol = Exp(-10.07810188+1.92989964*LN(DIAMETRO)+1.07701930*LN(ALTURATOTAL))."/>
    <n v="0.26058622642796037"/>
    <n v="3.5191147354406704E-2"/>
  </r>
  <r>
    <n v="8"/>
    <x v="2"/>
    <n v="1"/>
    <n v="15"/>
    <n v="16"/>
    <s v="Leguminosae"/>
    <x v="68"/>
    <s v="Tzalam"/>
    <n v="72"/>
    <n v="22.918311805232928"/>
    <n v="4.5"/>
    <n v="12"/>
    <m/>
    <s v="C"/>
    <s v="S"/>
    <s v="un fuste"/>
    <n v="12.5"/>
    <n v="25"/>
    <n v="3"/>
    <s v="Vol = Exp(-10.07810188+1.92989964*LN(DIAMETRO)+1.07701930*LN(ALTURATOTAL))."/>
    <n v="0.25730661503793956"/>
    <n v="4.1252961249419268E-2"/>
  </r>
  <r>
    <n v="9"/>
    <x v="2"/>
    <n v="4"/>
    <n v="16"/>
    <n v="16"/>
    <s v="Leguminosae"/>
    <x v="68"/>
    <s v="Tzalam"/>
    <n v="51"/>
    <n v="16.233804195373324"/>
    <n v="5"/>
    <n v="12"/>
    <m/>
    <s v="C"/>
    <s v="S"/>
    <s v="un fuste"/>
    <n v="12.5"/>
    <n v="15"/>
    <n v="3"/>
    <s v="Vol = Exp(-10.07810188+1.92989964*LN(DIAMETRO)+1.07701930*LN(ALTURATOTAL))."/>
    <n v="0.13225883820616102"/>
    <n v="2.0698100349100988E-2"/>
  </r>
  <r>
    <n v="12"/>
    <x v="0"/>
    <n v="2"/>
    <n v="12"/>
    <n v="16"/>
    <s v="Leguminosae"/>
    <x v="68"/>
    <s v="Tzalam"/>
    <n v="22"/>
    <n v="7.0028174960433951"/>
    <n v="6"/>
    <n v="9"/>
    <m/>
    <s v="CB"/>
    <s v="S"/>
    <s v="un fuste"/>
    <n v="10"/>
    <n v="5"/>
    <m/>
    <m/>
    <m/>
    <m/>
  </r>
  <r>
    <n v="7"/>
    <x v="2"/>
    <n v="2"/>
    <n v="14"/>
    <n v="17"/>
    <s v="Leguminosae"/>
    <x v="68"/>
    <s v="Tzalam"/>
    <n v="81"/>
    <n v="25.783100780887047"/>
    <n v="4"/>
    <n v="12"/>
    <m/>
    <s v="C"/>
    <s v="S"/>
    <s v="un fuste"/>
    <n v="12.5"/>
    <n v="25"/>
    <n v="3"/>
    <s v="Vol = Exp(-10.07810188+1.92989964*LN(DIAMETRO)+1.07701930*LN(ALTURATOTAL))."/>
    <n v="0.32297595137543411"/>
    <n v="5.2210779081296267E-2"/>
  </r>
  <r>
    <n v="8"/>
    <x v="2"/>
    <n v="2"/>
    <n v="16"/>
    <n v="17"/>
    <s v="Leguminosae"/>
    <x v="68"/>
    <s v="Tzalam"/>
    <n v="64"/>
    <n v="20.371832715762604"/>
    <n v="7"/>
    <n v="12"/>
    <m/>
    <s v="CB"/>
    <s v="S"/>
    <s v="un fuste"/>
    <n v="12.5"/>
    <n v="20"/>
    <n v="3"/>
    <s v="Vol = Exp(-10.07810188+1.92989964*LN(DIAMETRO)+1.07701930*LN(ALTURATOTAL))."/>
    <n v="0.20498954755093329"/>
    <n v="3.2594932345220165E-2"/>
  </r>
  <r>
    <n v="12"/>
    <x v="0"/>
    <n v="2"/>
    <s v="12A"/>
    <n v="17"/>
    <s v="Leguminosae"/>
    <x v="68"/>
    <s v="Tzalam"/>
    <n v="17"/>
    <n v="5.4112680651244416"/>
    <n v="6"/>
    <n v="9"/>
    <m/>
    <s v="C"/>
    <s v="S"/>
    <e v="#VALUE!"/>
    <n v="10"/>
    <n v="5"/>
    <m/>
    <m/>
    <m/>
    <m/>
  </r>
  <r>
    <n v="8"/>
    <x v="2"/>
    <n v="2"/>
    <s v="16A"/>
    <n v="18"/>
    <s v="Leguminosae"/>
    <x v="68"/>
    <s v="Tzalam"/>
    <n v="42"/>
    <n v="13.369015219719209"/>
    <n v="5.5"/>
    <n v="12"/>
    <m/>
    <s v="C"/>
    <s v="S"/>
    <e v="#VALUE!"/>
    <n v="12.5"/>
    <n v="15"/>
    <n v="3"/>
    <s v="Vol = Exp(-10.07810188+1.92989964*LN(DIAMETRO)+1.07701930*LN(ALTURATOTAL))."/>
    <n v="9.0927208121807365E-2"/>
    <n v="1.4037465980705171E-2"/>
  </r>
  <r>
    <n v="12"/>
    <x v="0"/>
    <n v="2"/>
    <n v="13"/>
    <n v="18"/>
    <s v="Leguminosae"/>
    <x v="68"/>
    <s v="Tzalam"/>
    <n v="18.5"/>
    <n v="5.8887328944001274"/>
    <n v="3.5"/>
    <n v="8"/>
    <m/>
    <s v="C"/>
    <s v="S"/>
    <s v="un fuste"/>
    <n v="7.5"/>
    <n v="5"/>
    <m/>
    <m/>
    <m/>
    <m/>
  </r>
  <r>
    <n v="7"/>
    <x v="2"/>
    <n v="2"/>
    <n v="16"/>
    <n v="19"/>
    <s v="Leguminosae"/>
    <x v="68"/>
    <s v="Tzalam"/>
    <n v="44"/>
    <n v="14.00563499208679"/>
    <n v="5"/>
    <n v="12"/>
    <m/>
    <s v="C"/>
    <s v="S"/>
    <s v="un fuste"/>
    <n v="12.5"/>
    <n v="15"/>
    <n v="3"/>
    <s v="Vol = Exp(-10.07810188+1.92989964*LN(DIAMETRO)+1.07701930*LN(ALTURATOTAL))."/>
    <n v="9.9468224071552369E-2"/>
    <n v="1.5406198491295471E-2"/>
  </r>
  <r>
    <n v="7"/>
    <x v="2"/>
    <n v="2"/>
    <n v="17"/>
    <n v="20"/>
    <s v="Leguminosae"/>
    <x v="68"/>
    <s v="Tzalam"/>
    <n v="40"/>
    <n v="12.732395447351628"/>
    <n v="7"/>
    <n v="13"/>
    <m/>
    <s v="C"/>
    <s v="S"/>
    <s v="un fuste"/>
    <n v="12.5"/>
    <n v="15"/>
    <n v="3"/>
    <s v="Vol = Exp(-10.07810188+1.92989964*LN(DIAMETRO)+1.07701930*LN(ALTURATOTAL))."/>
    <n v="9.0206969962133579E-2"/>
    <n v="1.2732395447351628E-2"/>
  </r>
  <r>
    <n v="7"/>
    <x v="2"/>
    <n v="2"/>
    <n v="18"/>
    <n v="21"/>
    <s v="Leguminosae"/>
    <x v="68"/>
    <s v="Tzalam"/>
    <n v="40"/>
    <n v="12.732395447351628"/>
    <n v="6.5"/>
    <n v="12"/>
    <m/>
    <s v="C"/>
    <s v="S"/>
    <s v="un fuste"/>
    <n v="12.5"/>
    <n v="15"/>
    <n v="3"/>
    <s v="Vol = Exp(-10.07810188+1.92989964*LN(DIAMETRO)+1.07701930*LN(ALTURATOTAL))."/>
    <n v="8.2756218163354642E-2"/>
    <n v="1.2732395447351628E-2"/>
  </r>
  <r>
    <n v="12"/>
    <x v="0"/>
    <n v="3"/>
    <n v="16"/>
    <n v="21"/>
    <s v="Leguminosae"/>
    <x v="68"/>
    <s v="Tzalam"/>
    <n v="25.5"/>
    <n v="8.1169020976866619"/>
    <n v="1.8"/>
    <n v="9"/>
    <m/>
    <s v="CB"/>
    <s v="S"/>
    <s v="un fuste"/>
    <n v="10"/>
    <n v="10"/>
    <m/>
    <m/>
    <m/>
    <m/>
  </r>
  <r>
    <n v="1"/>
    <x v="2"/>
    <n v="4"/>
    <n v="19"/>
    <n v="22"/>
    <s v="Leguminosae"/>
    <x v="68"/>
    <s v="Tzalam"/>
    <n v="37"/>
    <n v="11.777465788800255"/>
    <n v="6.5"/>
    <n v="12"/>
    <m/>
    <s v="C"/>
    <s v="S"/>
    <s v="un fuste"/>
    <n v="12.5"/>
    <n v="10"/>
    <n v="3"/>
    <s v="Vol = Exp(-10.07810188+1.92989964*LN(DIAMETRO)+1.07701930*LN(ALTURATOTAL))."/>
    <n v="7.1196325189988363E-2"/>
    <n v="1.0894155854640236E-2"/>
  </r>
  <r>
    <n v="5"/>
    <x v="2"/>
    <n v="2"/>
    <n v="20"/>
    <n v="22"/>
    <s v="Leguminosae"/>
    <x v="68"/>
    <s v="Tzalam"/>
    <n v="39.5"/>
    <n v="12.573240504259733"/>
    <n v="3"/>
    <n v="12"/>
    <m/>
    <s v="C"/>
    <s v="S"/>
    <s v="un fuste"/>
    <n v="12.5"/>
    <n v="15"/>
    <n v="3"/>
    <s v="Vol = Exp(-10.07810188+1.92989964*LN(DIAMETRO)+1.07701930*LN(ALTURATOTAL))."/>
    <n v="8.0771434382545651E-2"/>
    <n v="1.2416074997956486E-2"/>
  </r>
  <r>
    <n v="7"/>
    <x v="2"/>
    <n v="2"/>
    <n v="19"/>
    <n v="22"/>
    <s v="Leguminosae"/>
    <x v="68"/>
    <s v="Tzalam"/>
    <n v="66.5"/>
    <n v="21.167607431222081"/>
    <n v="10"/>
    <n v="15"/>
    <m/>
    <s v="C"/>
    <s v="S"/>
    <s v="un fuste"/>
    <n v="15"/>
    <n v="20"/>
    <n v="3"/>
    <s v="Vol = Exp(-10.07810188+1.92989964*LN(DIAMETRO)+1.07701930*LN(ALTURATOTAL))."/>
    <n v="0.28068708269994885"/>
    <n v="3.5191147354406704E-2"/>
  </r>
  <r>
    <n v="12"/>
    <x v="0"/>
    <n v="3"/>
    <s v="16A"/>
    <n v="22"/>
    <s v="Leguminosae"/>
    <x v="68"/>
    <s v="Tzalam"/>
    <n v="20"/>
    <n v="6.366197723675814"/>
    <n v="2.2999999999999998"/>
    <n v="9"/>
    <m/>
    <s v="C"/>
    <s v="S"/>
    <e v="#VALUE!"/>
    <n v="10"/>
    <n v="5"/>
    <m/>
    <m/>
    <m/>
    <m/>
  </r>
  <r>
    <n v="7"/>
    <x v="2"/>
    <n v="2"/>
    <n v="20"/>
    <n v="23"/>
    <s v="Leguminosae"/>
    <x v="68"/>
    <s v="Tzalam"/>
    <n v="80"/>
    <n v="25.464790894703256"/>
    <n v="7"/>
    <n v="13"/>
    <m/>
    <s v="C"/>
    <s v="S"/>
    <s v="un fuste"/>
    <n v="12.5"/>
    <n v="25"/>
    <n v="3"/>
    <s v="Vol = Exp(-10.07810188+1.92989964*LN(DIAMETRO)+1.07701930*LN(ALTURATOTAL))."/>
    <n v="0.34371443802822454"/>
    <n v="5.0929581789406514E-2"/>
  </r>
  <r>
    <n v="12"/>
    <x v="0"/>
    <n v="3"/>
    <s v="16B"/>
    <n v="23"/>
    <s v="Leguminosae"/>
    <x v="68"/>
    <s v="Tzalam"/>
    <n v="17.5"/>
    <n v="5.5704230082163368"/>
    <n v="3"/>
    <n v="7"/>
    <m/>
    <s v="C"/>
    <s v="S"/>
    <e v="#VALUE!"/>
    <n v="7.5"/>
    <n v="5"/>
    <m/>
    <m/>
    <m/>
    <m/>
  </r>
  <r>
    <n v="7"/>
    <x v="2"/>
    <n v="2"/>
    <n v="21"/>
    <n v="24"/>
    <s v="Leguminosae"/>
    <x v="68"/>
    <s v="Tzalam"/>
    <n v="66"/>
    <n v="21.008452488130185"/>
    <n v="8"/>
    <n v="13"/>
    <m/>
    <s v="C"/>
    <s v="S"/>
    <s v="un fuste"/>
    <n v="12.5"/>
    <n v="20"/>
    <n v="3"/>
    <s v="Vol = Exp(-10.07810188+1.92989964*LN(DIAMETRO)+1.07701930*LN(ALTURATOTAL))."/>
    <n v="0.23711677569882433"/>
    <n v="3.4663946605414803E-2"/>
  </r>
  <r>
    <n v="12"/>
    <x v="0"/>
    <n v="3"/>
    <n v="17"/>
    <n v="24"/>
    <s v="Leguminosae"/>
    <x v="68"/>
    <s v="Tzalam"/>
    <n v="26"/>
    <n v="8.2760570407785572"/>
    <n v="3.5"/>
    <n v="9"/>
    <m/>
    <s v="CB"/>
    <s v="S"/>
    <s v="un fuste"/>
    <n v="10"/>
    <n v="10"/>
    <m/>
    <m/>
    <m/>
    <m/>
  </r>
  <r>
    <n v="12"/>
    <x v="0"/>
    <n v="3"/>
    <s v="17A"/>
    <n v="25"/>
    <s v="Leguminosae"/>
    <x v="68"/>
    <s v="Tzalam"/>
    <n v="23"/>
    <n v="7.3211273822271856"/>
    <n v="2"/>
    <n v="9"/>
    <m/>
    <s v="C"/>
    <s v="S"/>
    <e v="#VALUE!"/>
    <n v="10"/>
    <n v="5"/>
    <m/>
    <m/>
    <m/>
    <m/>
  </r>
  <r>
    <n v="5"/>
    <x v="2"/>
    <n v="2"/>
    <n v="24"/>
    <n v="26"/>
    <s v="Leguminosae"/>
    <x v="68"/>
    <s v="Tzalam"/>
    <n v="63"/>
    <n v="20.053522829578814"/>
    <n v="2.5"/>
    <n v="12"/>
    <m/>
    <s v="C"/>
    <s v="S"/>
    <s v="un fuste"/>
    <n v="12.5"/>
    <n v="20"/>
    <n v="3"/>
    <s v="Vol = Exp(-10.07810188+1.92989964*LN(DIAMETRO)+1.07701930*LN(ALTURATOTAL))."/>
    <n v="0.19885307627007709"/>
    <n v="3.1584298456586626E-2"/>
  </r>
  <r>
    <n v="12"/>
    <x v="0"/>
    <n v="3"/>
    <s v="17B"/>
    <n v="26"/>
    <s v="Leguminosae"/>
    <x v="68"/>
    <s v="Tzalam"/>
    <n v="21.5"/>
    <n v="6.8436625529514998"/>
    <n v="3"/>
    <n v="9"/>
    <m/>
    <s v="C"/>
    <s v="S"/>
    <e v="#VALUE!"/>
    <n v="10"/>
    <n v="5"/>
    <m/>
    <m/>
    <m/>
    <m/>
  </r>
  <r>
    <n v="8"/>
    <x v="2"/>
    <n v="2"/>
    <n v="25"/>
    <n v="27"/>
    <s v="Leguminosae"/>
    <x v="68"/>
    <s v="Tzalam"/>
    <n v="61"/>
    <n v="19.416903057211233"/>
    <n v="6.5"/>
    <n v="12"/>
    <m/>
    <s v="C"/>
    <s v="S"/>
    <s v="un fuste"/>
    <n v="12.5"/>
    <n v="20"/>
    <n v="3"/>
    <s v="Vol = Exp(-10.07810188+1.92989964*LN(DIAMETRO)+1.07701930*LN(ALTURATOTAL))."/>
    <n v="0.18684997375246193"/>
    <n v="2.961077716224713E-2"/>
  </r>
  <r>
    <n v="12"/>
    <x v="0"/>
    <n v="3"/>
    <n v="18"/>
    <n v="27"/>
    <s v="Leguminosae"/>
    <x v="68"/>
    <s v="Tzalam"/>
    <n v="30"/>
    <n v="9.5492965855137211"/>
    <n v="2"/>
    <n v="9"/>
    <m/>
    <s v="CB"/>
    <s v="S"/>
    <s v="un fuste"/>
    <n v="10"/>
    <n v="10"/>
    <m/>
    <m/>
    <m/>
    <m/>
  </r>
  <r>
    <n v="7"/>
    <x v="2"/>
    <n v="3"/>
    <n v="25"/>
    <n v="28"/>
    <s v="Leguminosae"/>
    <x v="68"/>
    <s v="Tzalam"/>
    <n v="60"/>
    <n v="19.098593171027442"/>
    <n v="8"/>
    <n v="12"/>
    <m/>
    <s v="C"/>
    <s v="S"/>
    <s v="un fuste"/>
    <n v="12.5"/>
    <n v="20"/>
    <n v="3"/>
    <s v="Vol = Exp(-10.07810188+1.92989964*LN(DIAMETRO)+1.07701930*LN(ALTURATOTAL))."/>
    <n v="0.18098354609343728"/>
    <n v="2.8647889756541162E-2"/>
  </r>
  <r>
    <n v="12"/>
    <x v="0"/>
    <n v="3"/>
    <s v="18A"/>
    <n v="28"/>
    <s v="Leguminosae"/>
    <x v="68"/>
    <s v="Tzalam"/>
    <n v="29.5"/>
    <n v="9.3901416424218258"/>
    <n v="3"/>
    <n v="9"/>
    <m/>
    <s v="C"/>
    <s v="S"/>
    <e v="#VALUE!"/>
    <n v="10"/>
    <n v="10"/>
    <m/>
    <m/>
    <m/>
    <m/>
  </r>
  <r>
    <n v="5"/>
    <x v="2"/>
    <n v="3"/>
    <n v="27"/>
    <n v="29"/>
    <s v="Leguminosae"/>
    <x v="68"/>
    <s v="Tzalam"/>
    <n v="76"/>
    <n v="24.191551349968091"/>
    <n v="3.5"/>
    <n v="10"/>
    <m/>
    <s v="C"/>
    <s v="S"/>
    <s v="un fuste"/>
    <n v="10"/>
    <n v="25"/>
    <n v="3"/>
    <s v="Vol = Exp(-10.07810188+1.92989964*LN(DIAMETRO)+1.07701930*LN(ALTURATOTAL))."/>
    <n v="0.23468610638919787"/>
    <n v="4.5963947564939371E-2"/>
  </r>
  <r>
    <n v="7"/>
    <x v="2"/>
    <n v="3"/>
    <n v="26"/>
    <n v="29"/>
    <s v="Leguminosae"/>
    <x v="68"/>
    <s v="Tzalam"/>
    <n v="103"/>
    <n v="32.785918276930438"/>
    <n v="7"/>
    <n v="14"/>
    <m/>
    <s v="C"/>
    <s v="S"/>
    <s v="un fuste"/>
    <n v="15"/>
    <n v="35"/>
    <n v="3"/>
    <s v="Vol = Exp(-10.07810188+1.92989964*LN(DIAMETRO)+1.07701930*LN(ALTURATOTAL))."/>
    <n v="0.60626494171036427"/>
    <n v="8.4423739563095873E-2"/>
  </r>
  <r>
    <n v="8"/>
    <x v="2"/>
    <n v="2"/>
    <n v="27"/>
    <n v="29"/>
    <s v="Leguminosae"/>
    <x v="68"/>
    <s v="Tzalam"/>
    <n v="59"/>
    <n v="18.780283284843652"/>
    <n v="5"/>
    <n v="13"/>
    <m/>
    <s v="CB"/>
    <s v="S"/>
    <s v="un fuste"/>
    <n v="12.5"/>
    <n v="20"/>
    <n v="3"/>
    <s v="Vol = Exp(-10.07810188+1.92989964*LN(DIAMETRO)+1.07701930*LN(ALTURATOTAL))."/>
    <n v="0.19098169981568194"/>
    <n v="2.770091784514439E-2"/>
  </r>
  <r>
    <n v="12"/>
    <x v="0"/>
    <n v="3"/>
    <s v="18B"/>
    <n v="29"/>
    <s v="Leguminosae"/>
    <x v="68"/>
    <s v="Tzalam"/>
    <n v="26.5"/>
    <n v="8.4352119838704525"/>
    <n v="2"/>
    <n v="9"/>
    <m/>
    <s v="C"/>
    <s v="S"/>
    <e v="#VALUE!"/>
    <n v="10"/>
    <n v="10"/>
    <m/>
    <m/>
    <m/>
    <m/>
  </r>
  <r>
    <n v="7"/>
    <x v="2"/>
    <n v="3"/>
    <n v="27"/>
    <n v="30"/>
    <s v="Leguminosae"/>
    <x v="68"/>
    <s v="Tzalam"/>
    <n v="77.5"/>
    <n v="24.669016179243776"/>
    <n v="7"/>
    <n v="14"/>
    <m/>
    <s v="C"/>
    <s v="S"/>
    <s v="un fuste"/>
    <n v="15"/>
    <n v="25"/>
    <n v="3"/>
    <s v="Vol = Exp(-10.07810188+1.92989964*LN(DIAMETRO)+1.07701930*LN(ALTURATOTAL))."/>
    <n v="0.35014771400572942"/>
    <n v="4.7796218847284813E-2"/>
  </r>
  <r>
    <n v="8"/>
    <x v="2"/>
    <n v="2"/>
    <s v="27A"/>
    <n v="30"/>
    <s v="Leguminosae"/>
    <x v="68"/>
    <s v="Tzalam"/>
    <n v="53"/>
    <n v="16.870423967740905"/>
    <n v="7"/>
    <n v="12"/>
    <m/>
    <s v="C"/>
    <s v="S"/>
    <e v="#VALUE!"/>
    <n v="12.5"/>
    <n v="15"/>
    <n v="3"/>
    <s v="Vol = Exp(-10.07810188+1.92989964*LN(DIAMETRO)+1.07701930*LN(ALTURATOTAL))."/>
    <n v="0.14245084026081012"/>
    <n v="2.2353311757256696E-2"/>
  </r>
  <r>
    <n v="12"/>
    <x v="0"/>
    <n v="3"/>
    <n v="19"/>
    <n v="30"/>
    <s v="Leguminosae"/>
    <x v="68"/>
    <s v="Tzalam"/>
    <n v="22.5"/>
    <n v="7.1619724391352904"/>
    <n v="6"/>
    <n v="10"/>
    <m/>
    <s v="C"/>
    <s v="S"/>
    <s v="un fuste"/>
    <n v="10"/>
    <n v="5"/>
    <m/>
    <m/>
    <m/>
    <m/>
  </r>
  <r>
    <n v="7"/>
    <x v="2"/>
    <n v="3"/>
    <n v="28"/>
    <n v="31"/>
    <s v="Leguminosae"/>
    <x v="68"/>
    <s v="Tzalam"/>
    <n v="54"/>
    <n v="17.188733853924695"/>
    <n v="7"/>
    <n v="13"/>
    <m/>
    <s v="C"/>
    <s v="S"/>
    <s v="un fuste"/>
    <n v="12.5"/>
    <n v="15"/>
    <n v="3"/>
    <s v="Vol = Exp(-10.07810188+1.92989964*LN(DIAMETRO)+1.07701930*LN(ALTURATOTAL))."/>
    <n v="0.1609797275669124"/>
    <n v="2.3204790702798336E-2"/>
  </r>
  <r>
    <n v="8"/>
    <x v="2"/>
    <n v="3"/>
    <n v="28"/>
    <n v="31"/>
    <s v="Leguminosae"/>
    <x v="68"/>
    <s v="Tzalam"/>
    <n v="34"/>
    <n v="10.822536130248883"/>
    <n v="4.5"/>
    <n v="10"/>
    <m/>
    <s v="C"/>
    <s v="S"/>
    <s v="un fuste"/>
    <n v="10"/>
    <n v="10"/>
    <n v="3"/>
    <s v="Vol = Exp(-10.07810188+1.92989964*LN(DIAMETRO)+1.07701930*LN(ALTURATOTAL))."/>
    <n v="4.9694292943476354E-2"/>
    <n v="9.1991557107115509E-3"/>
  </r>
  <r>
    <n v="12"/>
    <x v="0"/>
    <n v="3"/>
    <n v="20"/>
    <n v="31"/>
    <s v="Leguminosae"/>
    <x v="68"/>
    <s v="Tzalam"/>
    <n v="25.5"/>
    <n v="8.1169020976866619"/>
    <n v="6"/>
    <n v="9"/>
    <m/>
    <s v="CB"/>
    <s v="S"/>
    <s v="un fuste"/>
    <n v="10"/>
    <n v="10"/>
    <m/>
    <m/>
    <m/>
    <m/>
  </r>
  <r>
    <n v="8"/>
    <x v="2"/>
    <n v="3"/>
    <n v="29"/>
    <n v="32"/>
    <s v="Leguminosae"/>
    <x v="68"/>
    <s v="Tzalam"/>
    <n v="61"/>
    <n v="19.416903057211233"/>
    <n v="6"/>
    <n v="14"/>
    <m/>
    <s v="CB"/>
    <s v="S"/>
    <s v="un fuste"/>
    <n v="15"/>
    <n v="20"/>
    <n v="3"/>
    <s v="Vol = Exp(-10.07810188+1.92989964*LN(DIAMETRO)+1.07701930*LN(ALTURATOTAL))."/>
    <n v="0.22059518345460358"/>
    <n v="2.961077716224713E-2"/>
  </r>
  <r>
    <n v="12"/>
    <x v="0"/>
    <n v="3"/>
    <s v="20A"/>
    <n v="32"/>
    <s v="Leguminosae"/>
    <x v="68"/>
    <s v="Tzalam"/>
    <n v="20.5"/>
    <n v="6.5253526667677093"/>
    <n v="4"/>
    <n v="9"/>
    <m/>
    <s v="C"/>
    <s v="S"/>
    <e v="#VALUE!"/>
    <n v="10"/>
    <n v="5"/>
    <m/>
    <m/>
    <m/>
    <m/>
  </r>
  <r>
    <n v="5"/>
    <x v="2"/>
    <n v="3"/>
    <n v="31"/>
    <n v="33"/>
    <s v="Leguminosae"/>
    <x v="68"/>
    <s v="Tzalam"/>
    <n v="57"/>
    <n v="18.143663512476071"/>
    <n v="6"/>
    <n v="13"/>
    <m/>
    <s v="C"/>
    <s v="S"/>
    <s v="un fuste"/>
    <n v="12.5"/>
    <n v="20"/>
    <n v="3"/>
    <s v="Vol = Exp(-10.07810188+1.92989964*LN(DIAMETRO)+1.07701930*LN(ALTURATOTAL))."/>
    <n v="0.17868469143083901"/>
    <n v="2.5854720505278404E-2"/>
  </r>
  <r>
    <n v="8"/>
    <x v="2"/>
    <n v="3"/>
    <s v="29A"/>
    <n v="33"/>
    <s v="Leguminosae"/>
    <x v="68"/>
    <s v="Tzalam"/>
    <n v="50"/>
    <n v="15.915494309189533"/>
    <n v="6"/>
    <n v="14"/>
    <m/>
    <s v="C"/>
    <s v="S"/>
    <e v="#VALUE!"/>
    <n v="15"/>
    <n v="15"/>
    <n v="3"/>
    <s v="Vol = Exp(-10.07810188+1.92989964*LN(DIAMETRO)+1.07701930*LN(ALTURATOTAL))."/>
    <n v="0.15029004675338178"/>
    <n v="1.9894367886486915E-2"/>
  </r>
  <r>
    <n v="8"/>
    <x v="2"/>
    <n v="3"/>
    <s v="29B"/>
    <n v="34"/>
    <s v="Leguminosae"/>
    <x v="68"/>
    <s v="Tzalam"/>
    <n v="43"/>
    <n v="13.687325105903"/>
    <n v="6"/>
    <n v="14"/>
    <m/>
    <s v="C"/>
    <s v="S"/>
    <e v="#VALUE!"/>
    <n v="15"/>
    <n v="15"/>
    <n v="3"/>
    <s v="Vol = Exp(-10.07810188+1.92989964*LN(DIAMETRO)+1.07701930*LN(ALTURATOTAL))."/>
    <n v="0.11233596081230149"/>
    <n v="1.4713874488845724E-2"/>
  </r>
  <r>
    <n v="12"/>
    <x v="0"/>
    <n v="3"/>
    <n v="22"/>
    <n v="34"/>
    <s v="Leguminosae"/>
    <x v="68"/>
    <s v="Tzalam"/>
    <n v="20.5"/>
    <n v="6.5253526667677093"/>
    <n v="7"/>
    <n v="10"/>
    <m/>
    <s v="C"/>
    <s v="S"/>
    <s v="un fuste"/>
    <n v="10"/>
    <n v="5"/>
    <m/>
    <m/>
    <m/>
    <m/>
  </r>
  <r>
    <n v="12"/>
    <x v="0"/>
    <n v="3"/>
    <n v="23"/>
    <n v="35"/>
    <s v="Leguminosae"/>
    <x v="68"/>
    <s v="Tzalam"/>
    <n v="27.5"/>
    <n v="8.753521870054243"/>
    <n v="2.4"/>
    <n v="9"/>
    <m/>
    <s v="C"/>
    <s v="S"/>
    <s v="un fuste"/>
    <n v="10"/>
    <n v="10"/>
    <m/>
    <m/>
    <m/>
    <m/>
  </r>
  <r>
    <n v="7"/>
    <x v="2"/>
    <n v="3"/>
    <n v="33"/>
    <n v="36"/>
    <s v="Leguminosae"/>
    <x v="68"/>
    <s v="Tzalam"/>
    <n v="62.5"/>
    <n v="19.894367886486918"/>
    <n v="7"/>
    <n v="14"/>
    <m/>
    <s v="C"/>
    <s v="S"/>
    <s v="un fuste"/>
    <n v="15"/>
    <n v="20"/>
    <n v="3"/>
    <s v="Vol = Exp(-10.07810188+1.92989964*LN(DIAMETRO)+1.07701930*LN(ALTURATOTAL))."/>
    <n v="0.23118349165747989"/>
    <n v="3.1084949822635811E-2"/>
  </r>
  <r>
    <n v="12"/>
    <x v="0"/>
    <n v="3"/>
    <n v="24"/>
    <n v="36"/>
    <s v="Leguminosae"/>
    <x v="68"/>
    <s v="Tzalam"/>
    <n v="29"/>
    <n v="9.2309866993299305"/>
    <n v="9"/>
    <n v="11"/>
    <m/>
    <s v="C"/>
    <s v="S"/>
    <s v="un fuste"/>
    <n v="10"/>
    <n v="10"/>
    <m/>
    <m/>
    <m/>
    <m/>
  </r>
  <r>
    <n v="7"/>
    <x v="2"/>
    <n v="3"/>
    <n v="34"/>
    <n v="37"/>
    <s v="Leguminosae"/>
    <x v="68"/>
    <s v="Tzalam"/>
    <n v="62"/>
    <n v="19.735212943395023"/>
    <n v="6"/>
    <n v="14"/>
    <m/>
    <s v="C"/>
    <s v="S"/>
    <s v="un fuste"/>
    <n v="15"/>
    <n v="20"/>
    <n v="3"/>
    <s v="Vol = Exp(-10.07810188+1.92989964*LN(DIAMETRO)+1.07701930*LN(ALTURATOTAL))."/>
    <n v="0.22762748296265814"/>
    <n v="3.0589580062262287E-2"/>
  </r>
  <r>
    <n v="12"/>
    <x v="0"/>
    <n v="4"/>
    <n v="26"/>
    <n v="38"/>
    <s v="Leguminosae"/>
    <x v="68"/>
    <s v="Tzalam"/>
    <n v="17.5"/>
    <n v="5.5704230082163368"/>
    <n v="2.1"/>
    <n v="8"/>
    <m/>
    <s v="C"/>
    <s v="S"/>
    <s v="un fuste"/>
    <n v="7.5"/>
    <n v="5"/>
    <m/>
    <m/>
    <m/>
    <m/>
  </r>
  <r>
    <n v="8"/>
    <x v="2"/>
    <n v="3"/>
    <n v="36"/>
    <n v="41"/>
    <s v="Leguminosae"/>
    <x v="68"/>
    <s v="Tzalam"/>
    <n v="62"/>
    <n v="19.735212943395023"/>
    <n v="5.5"/>
    <n v="12"/>
    <m/>
    <s v="C"/>
    <s v="S"/>
    <s v="un fuste"/>
    <n v="12.5"/>
    <n v="20"/>
    <n v="3"/>
    <s v="Vol = Exp(-10.07810188+1.92989964*LN(DIAMETRO)+1.07701930*LN(ALTURATOTAL))."/>
    <n v="0.19280651803380999"/>
    <n v="3.0589580062262287E-2"/>
  </r>
  <r>
    <n v="12"/>
    <x v="0"/>
    <n v="4"/>
    <n v="29"/>
    <n v="41"/>
    <s v="Leguminosae"/>
    <x v="68"/>
    <s v="Tzalam"/>
    <n v="19.5"/>
    <n v="6.2070427805839179"/>
    <n v="8"/>
    <n v="10"/>
    <m/>
    <s v="C"/>
    <s v="S"/>
    <s v="un fuste"/>
    <n v="10"/>
    <n v="5"/>
    <m/>
    <m/>
    <m/>
    <m/>
  </r>
  <r>
    <n v="12"/>
    <x v="0"/>
    <n v="4"/>
    <n v="30"/>
    <n v="42"/>
    <s v="Leguminosae"/>
    <x v="68"/>
    <s v="Tzalam"/>
    <n v="25"/>
    <n v="7.9577471545947667"/>
    <n v="5"/>
    <n v="10"/>
    <m/>
    <s v="C"/>
    <s v="S"/>
    <s v="un fuste"/>
    <n v="10"/>
    <n v="10"/>
    <m/>
    <m/>
    <m/>
    <m/>
  </r>
  <r>
    <n v="12"/>
    <x v="0"/>
    <n v="4"/>
    <n v="31"/>
    <n v="43"/>
    <s v="Leguminosae"/>
    <x v="68"/>
    <s v="Tzalam"/>
    <n v="17.5"/>
    <n v="5.5704230082163368"/>
    <n v="3.5"/>
    <n v="8"/>
    <m/>
    <s v="CB"/>
    <s v="S"/>
    <s v="un fuste"/>
    <n v="7.5"/>
    <n v="5"/>
    <m/>
    <m/>
    <m/>
    <m/>
  </r>
  <r>
    <n v="12"/>
    <x v="0"/>
    <n v="4"/>
    <s v="31A"/>
    <n v="44"/>
    <s v="Leguminosae"/>
    <x v="68"/>
    <s v="Tzalam"/>
    <n v="17.5"/>
    <n v="5.5704230082163368"/>
    <n v="6"/>
    <n v="8"/>
    <m/>
    <s v="C"/>
    <s v="S"/>
    <e v="#VALUE!"/>
    <n v="7.5"/>
    <n v="5"/>
    <m/>
    <m/>
    <m/>
    <m/>
  </r>
  <r>
    <n v="8"/>
    <x v="2"/>
    <n v="3"/>
    <n v="40"/>
    <n v="45"/>
    <s v="Leguminosae"/>
    <x v="68"/>
    <s v="Tzalam"/>
    <n v="93"/>
    <n v="29.602819415092533"/>
    <n v="2"/>
    <n v="14"/>
    <m/>
    <s v="C"/>
    <s v="S"/>
    <s v="un fuste"/>
    <n v="15"/>
    <n v="30"/>
    <n v="3"/>
    <s v="Vol = Exp(-10.07810188+1.92989964*LN(DIAMETRO)+1.07701930*LN(ALTURATOTAL))."/>
    <n v="0.49780946941758381"/>
    <n v="6.8826555140090132E-2"/>
  </r>
  <r>
    <n v="12"/>
    <x v="0"/>
    <n v="4"/>
    <s v="31B"/>
    <n v="45"/>
    <s v="Leguminosae"/>
    <x v="68"/>
    <s v="Tzalam"/>
    <n v="25.5"/>
    <n v="8.1169020976866619"/>
    <n v="5"/>
    <n v="9"/>
    <m/>
    <s v="C"/>
    <s v="S"/>
    <e v="#VALUE!"/>
    <n v="10"/>
    <n v="10"/>
    <m/>
    <m/>
    <m/>
    <m/>
  </r>
  <r>
    <n v="12"/>
    <x v="0"/>
    <n v="4"/>
    <s v="31C"/>
    <n v="46"/>
    <s v="Leguminosae"/>
    <x v="68"/>
    <s v="Tzalam"/>
    <n v="27.5"/>
    <n v="8.753521870054243"/>
    <n v="5"/>
    <n v="8"/>
    <m/>
    <s v="C"/>
    <s v="S"/>
    <e v="#VALUE!"/>
    <n v="7.5"/>
    <n v="10"/>
    <m/>
    <m/>
    <m/>
    <m/>
  </r>
  <r>
    <n v="12"/>
    <x v="0"/>
    <n v="4"/>
    <s v="31D"/>
    <n v="47"/>
    <s v="Leguminosae"/>
    <x v="68"/>
    <s v="Tzalam"/>
    <n v="25.5"/>
    <n v="8.1169020976866619"/>
    <n v="4"/>
    <n v="9"/>
    <m/>
    <s v="C"/>
    <s v="S"/>
    <e v="#VALUE!"/>
    <n v="10"/>
    <n v="10"/>
    <m/>
    <m/>
    <m/>
    <m/>
  </r>
  <r>
    <n v="12"/>
    <x v="0"/>
    <n v="4"/>
    <s v="31E"/>
    <n v="48"/>
    <s v="Leguminosae"/>
    <x v="68"/>
    <s v="Tzalam"/>
    <n v="31"/>
    <n v="9.8676064716975116"/>
    <n v="2"/>
    <n v="9"/>
    <m/>
    <s v="C"/>
    <s v="S"/>
    <e v="#VALUE!"/>
    <n v="10"/>
    <n v="10"/>
    <m/>
    <m/>
    <m/>
    <m/>
  </r>
  <r>
    <n v="8"/>
    <x v="2"/>
    <n v="3"/>
    <n v="44"/>
    <n v="49"/>
    <s v="Leguminosae"/>
    <x v="68"/>
    <s v="Tzalam"/>
    <n v="41"/>
    <n v="13.050705333535419"/>
    <n v="8"/>
    <n v="13"/>
    <m/>
    <s v="C"/>
    <s v="S"/>
    <s v="un fuste"/>
    <n v="12.5"/>
    <n v="15"/>
    <n v="3"/>
    <s v="Vol = Exp(-10.07810188+1.92989964*LN(DIAMETRO)+1.07701930*LN(ALTURATOTAL))."/>
    <n v="9.4609790138521777E-2"/>
    <n v="1.3376972966873806E-2"/>
  </r>
  <r>
    <n v="12"/>
    <x v="0"/>
    <n v="4"/>
    <n v="32"/>
    <n v="49"/>
    <s v="Leguminosae"/>
    <x v="68"/>
    <s v="Tzalam"/>
    <n v="30"/>
    <n v="9.5492965855137211"/>
    <n v="4.5"/>
    <n v="9"/>
    <m/>
    <s v="C"/>
    <s v="S"/>
    <s v="un fuste"/>
    <n v="10"/>
    <n v="10"/>
    <m/>
    <m/>
    <m/>
    <m/>
  </r>
  <r>
    <n v="8"/>
    <x v="2"/>
    <n v="4"/>
    <n v="45"/>
    <n v="50"/>
    <s v="Leguminosae"/>
    <x v="68"/>
    <s v="Tzalam"/>
    <n v="90"/>
    <n v="28.647889756541161"/>
    <n v="2.5"/>
    <n v="12"/>
    <m/>
    <s v="C"/>
    <s v="S"/>
    <s v="un fuste"/>
    <n v="12.5"/>
    <n v="30"/>
    <n v="3"/>
    <s v="Vol = Exp(-10.07810188+1.92989964*LN(DIAMETRO)+1.07701930*LN(ALTURATOTAL))."/>
    <n v="0.39580160480387511"/>
    <n v="6.4457751952217604E-2"/>
  </r>
  <r>
    <n v="12"/>
    <x v="0"/>
    <n v="4"/>
    <n v="33"/>
    <n v="50"/>
    <s v="Leguminosae"/>
    <x v="68"/>
    <s v="Tzalam"/>
    <n v="16"/>
    <n v="5.0929581789406511"/>
    <n v="5"/>
    <n v="8"/>
    <m/>
    <s v="C"/>
    <s v="S"/>
    <s v="un fuste"/>
    <n v="7.5"/>
    <n v="5"/>
    <m/>
    <m/>
    <m/>
    <m/>
  </r>
  <r>
    <n v="12"/>
    <x v="0"/>
    <n v="4"/>
    <n v="35"/>
    <n v="52"/>
    <s v="Leguminosae"/>
    <x v="68"/>
    <s v="Tzalam"/>
    <n v="18"/>
    <n v="5.7295779513082321"/>
    <n v="2"/>
    <n v="9"/>
    <m/>
    <s v="CB"/>
    <s v="S"/>
    <s v="un fuste"/>
    <n v="10"/>
    <n v="5"/>
    <m/>
    <m/>
    <m/>
    <m/>
  </r>
  <r>
    <n v="12"/>
    <x v="0"/>
    <n v="4"/>
    <s v="35A"/>
    <n v="53"/>
    <s v="Leguminosae"/>
    <x v="68"/>
    <s v="Tzalam"/>
    <n v="19.5"/>
    <n v="6.2070427805839179"/>
    <n v="4.5"/>
    <n v="10"/>
    <m/>
    <s v="C"/>
    <s v="S"/>
    <e v="#VALUE!"/>
    <n v="10"/>
    <n v="5"/>
    <m/>
    <m/>
    <m/>
    <m/>
  </r>
  <r>
    <n v="12"/>
    <x v="0"/>
    <n v="4"/>
    <s v="35B"/>
    <n v="54"/>
    <s v="Leguminosae"/>
    <x v="68"/>
    <s v="Tzalam"/>
    <n v="21.5"/>
    <n v="6.8436625529514998"/>
    <n v="4"/>
    <n v="9"/>
    <m/>
    <s v="C"/>
    <s v="S"/>
    <e v="#VALUE!"/>
    <n v="10"/>
    <n v="5"/>
    <m/>
    <m/>
    <m/>
    <m/>
  </r>
  <r>
    <n v="8"/>
    <x v="2"/>
    <n v="4"/>
    <n v="50"/>
    <n v="55"/>
    <s v="Leguminosae"/>
    <x v="68"/>
    <s v="Tzalam"/>
    <n v="93"/>
    <n v="29.602819415092533"/>
    <n v="8"/>
    <n v="13"/>
    <m/>
    <s v="C"/>
    <s v="S"/>
    <s v="un fuste"/>
    <n v="12.5"/>
    <n v="30"/>
    <n v="3"/>
    <s v="Vol = Exp(-10.07810188+1.92989964*LN(DIAMETRO)+1.07701930*LN(ALTURATOTAL))."/>
    <n v="0.45962075141712921"/>
    <n v="6.8826555140090132E-2"/>
  </r>
  <r>
    <n v="12"/>
    <x v="0"/>
    <n v="4"/>
    <n v="36"/>
    <n v="55"/>
    <s v="Leguminosae"/>
    <x v="68"/>
    <s v="Tzalam"/>
    <n v="25.5"/>
    <n v="8.1169020976866619"/>
    <n v="4"/>
    <n v="10"/>
    <m/>
    <s v="CB"/>
    <s v="S"/>
    <s v="un fuste"/>
    <n v="10"/>
    <n v="10"/>
    <m/>
    <m/>
    <m/>
    <m/>
  </r>
  <r>
    <n v="12"/>
    <x v="0"/>
    <n v="4"/>
    <s v="36A"/>
    <n v="56"/>
    <s v="Leguminosae"/>
    <x v="68"/>
    <s v="Tzalam"/>
    <n v="21.5"/>
    <n v="6.8436625529514998"/>
    <n v="3"/>
    <n v="10"/>
    <m/>
    <s v="C"/>
    <s v="S"/>
    <e v="#VALUE!"/>
    <n v="10"/>
    <n v="5"/>
    <m/>
    <m/>
    <m/>
    <m/>
  </r>
  <r>
    <n v="12"/>
    <x v="0"/>
    <n v="4"/>
    <n v="37"/>
    <n v="57"/>
    <s v="Leguminosae"/>
    <x v="68"/>
    <s v="Tzalam"/>
    <n v="22"/>
    <n v="7.0028174960433951"/>
    <n v="4"/>
    <n v="9"/>
    <m/>
    <s v="CB"/>
    <s v="S"/>
    <s v="un fuste"/>
    <n v="10"/>
    <n v="5"/>
    <m/>
    <m/>
    <m/>
    <m/>
  </r>
  <r>
    <n v="12"/>
    <x v="0"/>
    <n v="4"/>
    <s v="37A"/>
    <n v="58"/>
    <s v="Leguminosae"/>
    <x v="68"/>
    <s v="Tzalam"/>
    <n v="20.5"/>
    <n v="6.5253526667677093"/>
    <n v="5"/>
    <n v="9"/>
    <m/>
    <s v="C"/>
    <s v="S"/>
    <e v="#VALUE!"/>
    <n v="10"/>
    <n v="5"/>
    <m/>
    <m/>
    <m/>
    <m/>
  </r>
  <r>
    <n v="8"/>
    <x v="2"/>
    <n v="4"/>
    <n v="56"/>
    <n v="61"/>
    <s v="Leguminosae"/>
    <x v="68"/>
    <s v="Tzalam"/>
    <n v="72"/>
    <n v="22.918311805232928"/>
    <n v="5"/>
    <n v="12"/>
    <m/>
    <s v="C"/>
    <s v="S"/>
    <s v="un fuste"/>
    <n v="12.5"/>
    <n v="25"/>
    <n v="3"/>
    <s v="Vol = Exp(-10.07810188+1.92989964*LN(DIAMETRO)+1.07701930*LN(ALTURATOTAL))."/>
    <n v="0.25730661503793956"/>
    <n v="4.1252961249419268E-2"/>
  </r>
  <r>
    <n v="8"/>
    <x v="2"/>
    <n v="4"/>
    <s v="56A"/>
    <n v="62"/>
    <s v="Leguminosae"/>
    <x v="68"/>
    <s v="Tzalam"/>
    <n v="66"/>
    <n v="21.008452488130185"/>
    <n v="7"/>
    <n v="12"/>
    <m/>
    <s v="C"/>
    <s v="S"/>
    <e v="#VALUE!"/>
    <n v="12.5"/>
    <n v="20"/>
    <n v="3"/>
    <s v="Vol = Exp(-10.07810188+1.92989964*LN(DIAMETRO)+1.07701930*LN(ALTURATOTAL))."/>
    <n v="0.21753183404963372"/>
    <n v="3.4663946605414803E-2"/>
  </r>
  <r>
    <n v="3"/>
    <x v="2"/>
    <n v="4"/>
    <n v="54"/>
    <n v="63"/>
    <s v="Leguminosae"/>
    <x v="68"/>
    <s v="Tzalam"/>
    <n v="96.5"/>
    <n v="30.7169040167358"/>
    <n v="4"/>
    <n v="13"/>
    <m/>
    <s v="C"/>
    <s v="S"/>
    <s v="un fuste"/>
    <n v="12.5"/>
    <n v="30"/>
    <n v="3"/>
    <s v="Vol = Exp(-10.07810188+1.92989964*LN(DIAMETRO)+1.07701930*LN(ALTURATOTAL))."/>
    <n v="0.49358691980838382"/>
    <n v="7.4104530940375113E-2"/>
  </r>
  <r>
    <n v="8"/>
    <x v="2"/>
    <n v="4"/>
    <s v="56B"/>
    <n v="63"/>
    <s v="Leguminosae"/>
    <x v="68"/>
    <s v="Tzalam"/>
    <n v="50"/>
    <n v="15.915494309189533"/>
    <n v="5.5"/>
    <n v="10"/>
    <m/>
    <s v="C"/>
    <s v="S"/>
    <e v="#VALUE!"/>
    <n v="10"/>
    <n v="15"/>
    <n v="3"/>
    <s v="Vol = Exp(-10.07810188+1.92989964*LN(DIAMETRO)+1.07701930*LN(ALTURATOTAL))."/>
    <n v="0.10460381040135047"/>
    <n v="1.9894367886486915E-2"/>
  </r>
  <r>
    <n v="8"/>
    <x v="2"/>
    <n v="4"/>
    <n v="57"/>
    <n v="64"/>
    <s v="Leguminosae"/>
    <x v="68"/>
    <s v="Tzalam"/>
    <n v="50.5"/>
    <n v="16.074649252281429"/>
    <n v="4"/>
    <n v="13"/>
    <m/>
    <s v="C"/>
    <s v="S"/>
    <s v="un fuste"/>
    <n v="12.5"/>
    <n v="15"/>
    <n v="3"/>
    <s v="Vol = Exp(-10.07810188+1.92989964*LN(DIAMETRO)+1.07701930*LN(ALTURATOTAL))."/>
    <n v="0.14145115960112314"/>
    <n v="2.0294244681005304E-2"/>
  </r>
  <r>
    <n v="1"/>
    <x v="2"/>
    <n v="4"/>
    <n v="21"/>
    <n v="24"/>
    <s v="Icacinaceae"/>
    <x v="69"/>
    <s v="Uvas che' "/>
    <n v="35"/>
    <n v="11.140846016432674"/>
    <n v="3"/>
    <n v="10"/>
    <m/>
    <s v="C"/>
    <s v="S"/>
    <s v="un fuste"/>
    <n v="10"/>
    <n v="10"/>
    <n v="14"/>
    <s v="Vol = Exp(-9.52375084+1.81551953*LN(DIAMETRO)+1.03039019*LN(ALTURATOTAL))"/>
    <n v="6.2370344105770845E-2"/>
    <n v="9.7482402643785885E-3"/>
  </r>
  <r>
    <n v="12"/>
    <x v="1"/>
    <m/>
    <n v="6"/>
    <n v="6"/>
    <s v="Rhamnaceae"/>
    <x v="70"/>
    <s v="Ciruela de monte"/>
    <m/>
    <m/>
    <m/>
    <n v="5"/>
    <e v="#REF!"/>
    <m/>
    <s v="S"/>
    <s v="un fuste"/>
    <n v="5"/>
    <n v="5"/>
    <m/>
    <m/>
    <m/>
    <m/>
  </r>
  <r>
    <n v="7"/>
    <x v="2"/>
    <n v="1"/>
    <n v="2"/>
    <n v="2"/>
    <s v="Arecaceae"/>
    <x v="60"/>
    <s v="Xa'an"/>
    <n v="65"/>
    <n v="20.690142601946395"/>
    <n v="4"/>
    <n v="7"/>
    <m/>
    <s v="R"/>
    <s v="S"/>
    <s v="un fuste"/>
    <m/>
    <m/>
    <m/>
    <m/>
    <m/>
    <m/>
  </r>
  <r>
    <n v="1"/>
    <x v="2"/>
    <n v="2"/>
    <n v="4"/>
    <n v="5"/>
    <s v="Arecaceae"/>
    <x v="60"/>
    <s v="Xa'an"/>
    <n v="64"/>
    <n v="20.371832715762604"/>
    <n v="1.8"/>
    <n v="5"/>
    <m/>
    <s v="R"/>
    <s v="S"/>
    <s v="un fuste"/>
    <m/>
    <m/>
    <m/>
    <m/>
    <m/>
    <m/>
  </r>
  <r>
    <n v="8"/>
    <x v="2"/>
    <n v="1"/>
    <n v="6"/>
    <n v="7"/>
    <s v="Arecaceae"/>
    <x v="60"/>
    <s v="Xa'an"/>
    <n v="64"/>
    <n v="20.371832715762604"/>
    <n v="6"/>
    <n v="8"/>
    <m/>
    <s v="C"/>
    <s v="S"/>
    <s v="un fuste"/>
    <m/>
    <m/>
    <m/>
    <m/>
    <m/>
    <m/>
  </r>
  <r>
    <n v="10"/>
    <x v="2"/>
    <n v="3"/>
    <n v="12"/>
    <n v="12"/>
    <s v="Arecaceae"/>
    <x v="60"/>
    <s v="Xa'an"/>
    <n v="34"/>
    <n v="10.822536130248883"/>
    <n v="1.3"/>
    <n v="5.5"/>
    <m/>
    <s v="C"/>
    <s v="S"/>
    <s v="un fuste"/>
    <m/>
    <m/>
    <m/>
    <m/>
    <m/>
    <m/>
  </r>
  <r>
    <n v="11"/>
    <x v="2"/>
    <n v="3"/>
    <n v="11"/>
    <n v="12"/>
    <s v="Arecaceae"/>
    <x v="60"/>
    <s v="Xa'an"/>
    <n v="50"/>
    <n v="15.915494309189533"/>
    <n v="5"/>
    <n v="8"/>
    <m/>
    <s v="C"/>
    <s v="S"/>
    <s v="un fuste"/>
    <m/>
    <m/>
    <m/>
    <m/>
    <m/>
    <m/>
  </r>
  <r>
    <n v="3"/>
    <x v="2"/>
    <n v="2"/>
    <n v="23"/>
    <n v="23"/>
    <s v="Arecaceae"/>
    <x v="60"/>
    <s v="Xa'an"/>
    <n v="55"/>
    <n v="17.507043740108486"/>
    <n v="5"/>
    <n v="8"/>
    <m/>
    <s v="C"/>
    <s v="S"/>
    <s v="un fuste"/>
    <m/>
    <m/>
    <m/>
    <m/>
    <m/>
    <m/>
  </r>
  <r>
    <n v="7"/>
    <x v="2"/>
    <n v="2"/>
    <n v="22"/>
    <n v="25"/>
    <s v="Arecaceae"/>
    <x v="60"/>
    <s v="Xa'an"/>
    <n v="72"/>
    <n v="22.918311805232928"/>
    <n v="8"/>
    <n v="14"/>
    <m/>
    <s v="C"/>
    <s v="S"/>
    <s v="un fuste"/>
    <m/>
    <m/>
    <m/>
    <m/>
    <m/>
    <m/>
  </r>
  <r>
    <n v="7"/>
    <x v="2"/>
    <n v="4"/>
    <n v="43"/>
    <n v="46"/>
    <s v="Arecaceae"/>
    <x v="60"/>
    <s v="Xa'an"/>
    <n v="80"/>
    <n v="25.464790894703256"/>
    <n v="3.5"/>
    <n v="8"/>
    <m/>
    <s v="C"/>
    <s v="S"/>
    <s v="un fuste"/>
    <m/>
    <m/>
    <m/>
    <m/>
    <m/>
    <m/>
  </r>
  <r>
    <n v="7"/>
    <x v="2"/>
    <n v="4"/>
    <n v="44"/>
    <n v="47"/>
    <s v="Arecaceae"/>
    <x v="60"/>
    <s v="Xa'an"/>
    <n v="55"/>
    <n v="17.507043740108486"/>
    <n v="6"/>
    <n v="9"/>
    <m/>
    <s v="C"/>
    <s v="S"/>
    <s v="un fuste"/>
    <m/>
    <m/>
    <m/>
    <m/>
    <m/>
    <m/>
  </r>
  <r>
    <n v="9"/>
    <x v="0"/>
    <n v="1"/>
    <n v="1"/>
    <n v="1"/>
    <s v="Leguminosae"/>
    <x v="52"/>
    <s v="Xul"/>
    <n v="22"/>
    <n v="7.0028174960433951"/>
    <n v="7.5"/>
    <n v="9"/>
    <m/>
    <s v="C"/>
    <s v="S"/>
    <s v="un fuste"/>
    <n v="10"/>
    <n v="5"/>
    <m/>
    <m/>
    <m/>
    <m/>
  </r>
  <r>
    <n v="9"/>
    <x v="0"/>
    <n v="1"/>
    <n v="4"/>
    <n v="4"/>
    <s v="Leguminosae"/>
    <x v="52"/>
    <s v="Xul"/>
    <n v="27"/>
    <n v="8.5943669269623477"/>
    <n v="5"/>
    <n v="10"/>
    <m/>
    <s v="C"/>
    <s v="S"/>
    <s v="un fuste"/>
    <n v="10"/>
    <n v="10"/>
    <m/>
    <m/>
    <m/>
    <m/>
  </r>
  <r>
    <n v="9"/>
    <x v="0"/>
    <n v="1"/>
    <n v="6"/>
    <n v="6"/>
    <s v="Leguminosae"/>
    <x v="52"/>
    <s v="Xul"/>
    <n v="18.5"/>
    <n v="5.8887328944001274"/>
    <n v="7"/>
    <n v="10"/>
    <m/>
    <s v="C"/>
    <s v="S"/>
    <s v="un fuste"/>
    <n v="10"/>
    <n v="5"/>
    <m/>
    <m/>
    <m/>
    <m/>
  </r>
  <r>
    <n v="12"/>
    <x v="1"/>
    <m/>
    <n v="7"/>
    <n v="7"/>
    <s v="Rhamnaceae"/>
    <x v="70"/>
    <s v="Ciruela de monte"/>
    <m/>
    <m/>
    <m/>
    <n v="5"/>
    <e v="#REF!"/>
    <m/>
    <s v="S"/>
    <s v="un fuste"/>
    <n v="5"/>
    <n v="5"/>
    <m/>
    <m/>
    <m/>
    <m/>
  </r>
  <r>
    <n v="12"/>
    <x v="1"/>
    <m/>
    <n v="8"/>
    <n v="8"/>
    <s v="Myrtaceae"/>
    <x v="1"/>
    <s v="Granada cimarrona"/>
    <m/>
    <m/>
    <m/>
    <n v="2.4"/>
    <e v="#REF!"/>
    <m/>
    <s v="S"/>
    <s v="un fuste"/>
    <n v="2.5"/>
    <n v="5"/>
    <m/>
    <m/>
    <m/>
    <m/>
  </r>
  <r>
    <n v="9"/>
    <x v="0"/>
    <n v="1"/>
    <n v="8"/>
    <n v="8"/>
    <s v="Leguminosae"/>
    <x v="52"/>
    <s v="Xul"/>
    <n v="17"/>
    <n v="5.4112680651244416"/>
    <n v="7"/>
    <n v="9"/>
    <m/>
    <s v="C"/>
    <s v="S"/>
    <s v="un fuste"/>
    <n v="10"/>
    <n v="5"/>
    <m/>
    <m/>
    <m/>
    <m/>
  </r>
  <r>
    <n v="12"/>
    <x v="1"/>
    <m/>
    <n v="9"/>
    <n v="9"/>
    <s v="Rubiaceae"/>
    <x v="35"/>
    <s v="Café de Monte"/>
    <m/>
    <m/>
    <m/>
    <n v="1.2"/>
    <e v="#REF!"/>
    <m/>
    <s v="S"/>
    <s v="un fuste"/>
    <n v="2.5"/>
    <n v="5"/>
    <m/>
    <m/>
    <m/>
    <m/>
  </r>
  <r>
    <n v="12"/>
    <x v="1"/>
    <m/>
    <n v="10"/>
    <n v="10"/>
    <s v="Rubiaceae"/>
    <x v="35"/>
    <s v="Café de Monte"/>
    <m/>
    <m/>
    <m/>
    <n v="1.2"/>
    <e v="#REF!"/>
    <m/>
    <s v="S"/>
    <s v="un fuste"/>
    <n v="2.5"/>
    <n v="5"/>
    <m/>
    <m/>
    <m/>
    <m/>
  </r>
  <r>
    <n v="12"/>
    <x v="1"/>
    <m/>
    <n v="11"/>
    <n v="11"/>
    <s v="Bignoniaceae"/>
    <x v="71"/>
    <s v="Bejuco seis hojas"/>
    <m/>
    <m/>
    <m/>
    <n v="9"/>
    <e v="#REF!"/>
    <m/>
    <s v="S"/>
    <s v="un fuste"/>
    <n v="10"/>
    <n v="5"/>
    <m/>
    <m/>
    <m/>
    <m/>
  </r>
  <r>
    <n v="9"/>
    <x v="0"/>
    <n v="2"/>
    <n v="14"/>
    <n v="14"/>
    <s v="Leguminosae"/>
    <x v="52"/>
    <s v="Xul"/>
    <n v="17"/>
    <n v="5.4112680651244416"/>
    <n v="9"/>
    <n v="12"/>
    <m/>
    <s v="C"/>
    <s v="S"/>
    <s v="un fuste"/>
    <n v="12.5"/>
    <n v="5"/>
    <m/>
    <m/>
    <m/>
    <m/>
  </r>
  <r>
    <n v="9"/>
    <x v="0"/>
    <n v="2"/>
    <n v="16"/>
    <n v="16"/>
    <s v="Leguminosae"/>
    <x v="52"/>
    <s v="Xul"/>
    <n v="19.5"/>
    <n v="6.2070427805839179"/>
    <n v="4"/>
    <n v="9"/>
    <m/>
    <s v="C"/>
    <s v="S"/>
    <s v="un fuste"/>
    <n v="10"/>
    <n v="5"/>
    <m/>
    <m/>
    <m/>
    <m/>
  </r>
  <r>
    <n v="9"/>
    <x v="0"/>
    <n v="2"/>
    <n v="18"/>
    <n v="18"/>
    <s v="Leguminosae"/>
    <x v="52"/>
    <s v="Xul"/>
    <n v="18"/>
    <n v="5.7295779513082321"/>
    <n v="5"/>
    <n v="8"/>
    <m/>
    <s v="C"/>
    <s v="S"/>
    <s v="un fuste"/>
    <n v="7.5"/>
    <n v="5"/>
    <m/>
    <m/>
    <m/>
    <m/>
  </r>
  <r>
    <n v="12"/>
    <x v="1"/>
    <m/>
    <n v="12"/>
    <n v="12"/>
    <s v="Bignoniaceae"/>
    <x v="26"/>
    <s v="Sool aak"/>
    <m/>
    <m/>
    <m/>
    <n v="5"/>
    <e v="#REF!"/>
    <m/>
    <s v="S"/>
    <s v="un fuste"/>
    <n v="5"/>
    <n v="5"/>
    <m/>
    <m/>
    <m/>
    <m/>
  </r>
  <r>
    <n v="9"/>
    <x v="0"/>
    <n v="2"/>
    <n v="22"/>
    <n v="22"/>
    <s v="Leguminosae"/>
    <x v="52"/>
    <s v="Xul"/>
    <n v="18.5"/>
    <n v="5.8887328944001274"/>
    <n v="8"/>
    <n v="11"/>
    <m/>
    <s v="C"/>
    <s v="S"/>
    <s v="un fuste"/>
    <n v="10"/>
    <n v="5"/>
    <m/>
    <m/>
    <m/>
    <m/>
  </r>
  <r>
    <n v="12"/>
    <x v="1"/>
    <m/>
    <n v="13"/>
    <n v="13"/>
    <s v="Vitaceae "/>
    <x v="32"/>
    <s v="Bejuco Cissus"/>
    <m/>
    <m/>
    <m/>
    <n v="0.8"/>
    <e v="#REF!"/>
    <m/>
    <s v="S"/>
    <s v="un fuste"/>
    <n v="2.5"/>
    <n v="5"/>
    <m/>
    <m/>
    <m/>
    <m/>
  </r>
  <r>
    <n v="12"/>
    <x v="1"/>
    <m/>
    <n v="14"/>
    <n v="14"/>
    <s v="Bignoniaceae"/>
    <x v="71"/>
    <s v="Bejuco seis hojas"/>
    <m/>
    <m/>
    <m/>
    <n v="4"/>
    <e v="#REF!"/>
    <m/>
    <s v="S"/>
    <s v="un fuste"/>
    <n v="5"/>
    <n v="5"/>
    <m/>
    <m/>
    <m/>
    <m/>
  </r>
  <r>
    <n v="12"/>
    <x v="1"/>
    <m/>
    <n v="15"/>
    <n v="15"/>
    <s v="Bignoniaceae"/>
    <x v="71"/>
    <s v="Bejuco seis hojas"/>
    <m/>
    <m/>
    <m/>
    <n v="8"/>
    <e v="#REF!"/>
    <m/>
    <s v="S"/>
    <s v="un fuste"/>
    <n v="7.5"/>
    <n v="5"/>
    <m/>
    <m/>
    <m/>
    <m/>
  </r>
  <r>
    <n v="9"/>
    <x v="2"/>
    <n v="4"/>
    <n v="24"/>
    <n v="27"/>
    <s v="Leguminosae"/>
    <x v="52"/>
    <s v="Xul"/>
    <n v="32"/>
    <n v="10.185916357881302"/>
    <n v="6"/>
    <n v="12"/>
    <m/>
    <s v="C"/>
    <s v="S"/>
    <s v="un fuste"/>
    <n v="12.5"/>
    <n v="10"/>
    <n v="5"/>
    <s v="Vol = Exp(-9.5208709+1.85580925*LN(DIAMETRO)+0.96207943*LN(ALTURATOTAL))"/>
    <n v="5.9436373519664056E-2"/>
    <n v="8.1487330863050413E-3"/>
  </r>
  <r>
    <n v="10"/>
    <x v="0"/>
    <n v="3"/>
    <n v="36"/>
    <n v="36"/>
    <s v="Leguminosae"/>
    <x v="52"/>
    <s v="Xul"/>
    <n v="22"/>
    <n v="7.0028174960433951"/>
    <n v="6"/>
    <n v="9"/>
    <m/>
    <s v="C"/>
    <s v="S"/>
    <s v="un fuste"/>
    <n v="10"/>
    <n v="5"/>
    <m/>
    <m/>
    <m/>
    <m/>
  </r>
  <r>
    <n v="9"/>
    <x v="0"/>
    <n v="4"/>
    <n v="42"/>
    <n v="42"/>
    <s v="Leguminosae"/>
    <x v="52"/>
    <s v="Xul"/>
    <n v="23.5"/>
    <n v="7.4802823253190809"/>
    <n v="8"/>
    <n v="12"/>
    <m/>
    <s v="C"/>
    <s v="S"/>
    <s v="un fuste"/>
    <n v="12.5"/>
    <n v="5"/>
    <m/>
    <m/>
    <m/>
    <m/>
  </r>
  <r>
    <n v="11"/>
    <x v="2"/>
    <n v="1"/>
    <n v="1"/>
    <n v="1"/>
    <s v="Lamiaceae"/>
    <x v="9"/>
    <s v="Ya'axnik"/>
    <n v="46"/>
    <n v="14.642254764454371"/>
    <n v="3.5"/>
    <n v="8"/>
    <m/>
    <s v="CB"/>
    <s v="S"/>
    <s v="un fuste"/>
    <n v="7.5"/>
    <n v="15"/>
    <n v="17"/>
    <s v="Vol = Exp(-9.52375084+1.81551953*LN(DIAMETRO)+1.03039019*LN(ALTURATOTAL))"/>
    <n v="8.139667044645249E-2"/>
    <n v="1.6838592979122526E-2"/>
  </r>
  <r>
    <n v="11"/>
    <x v="0"/>
    <n v="1"/>
    <n v="1"/>
    <n v="1"/>
    <s v="Lamiaceae"/>
    <x v="9"/>
    <s v="Ya'axnik"/>
    <n v="30"/>
    <n v="9.5492965855137211"/>
    <n v="3.5"/>
    <n v="8"/>
    <m/>
    <s v="C"/>
    <s v="S"/>
    <s v="un fuste"/>
    <n v="7.5"/>
    <n v="10"/>
    <m/>
    <m/>
    <m/>
    <m/>
  </r>
  <r>
    <n v="11"/>
    <x v="2"/>
    <n v="1"/>
    <s v="1A"/>
    <n v="2"/>
    <s v="Lamiaceae"/>
    <x v="9"/>
    <s v="Ya'axnik"/>
    <n v="35.5"/>
    <n v="11.300000959524569"/>
    <n v="3"/>
    <n v="8"/>
    <m/>
    <s v="C"/>
    <s v="S"/>
    <e v="#VALUE!"/>
    <n v="7.5"/>
    <n v="10"/>
    <n v="17"/>
    <s v="Vol = Exp(-9.52375084+1.81551953*LN(DIAMETRO)+1.03039019*LN(ALTURATOTAL))"/>
    <n v="5.0851898815852531E-2"/>
    <n v="1.0028750851578054E-2"/>
  </r>
  <r>
    <n v="11"/>
    <x v="0"/>
    <n v="1"/>
    <n v="2"/>
    <n v="2"/>
    <s v="Lamiaceae"/>
    <x v="9"/>
    <s v="Ya'axnik"/>
    <n v="24.5"/>
    <n v="7.7985922115028714"/>
    <n v="4"/>
    <n v="8"/>
    <m/>
    <s v="C"/>
    <s v="S"/>
    <s v="un fuste"/>
    <n v="7.5"/>
    <n v="10"/>
    <m/>
    <m/>
    <m/>
    <m/>
  </r>
  <r>
    <n v="6"/>
    <x v="2"/>
    <n v="1"/>
    <n v="3"/>
    <n v="3"/>
    <s v="Lamiaceae"/>
    <x v="9"/>
    <s v="Ya'axnik"/>
    <n v="35"/>
    <n v="11.140846016432674"/>
    <n v="6"/>
    <n v="10"/>
    <m/>
    <s v="CB"/>
    <s v="S"/>
    <s v="un fuste"/>
    <n v="10"/>
    <n v="10"/>
    <n v="17"/>
    <s v="Vol = Exp(-9.52375084+1.81551953*LN(DIAMETRO)+1.03039019*LN(ALTURATOTAL))"/>
    <n v="6.2370344105770845E-2"/>
    <n v="9.7482402643785885E-3"/>
  </r>
  <r>
    <n v="5"/>
    <x v="0"/>
    <n v="1"/>
    <n v="2"/>
    <n v="3"/>
    <s v="Lamiaceae"/>
    <x v="9"/>
    <s v="Ya'axnik"/>
    <n v="28"/>
    <n v="8.91267681314614"/>
    <n v="5"/>
    <n v="14"/>
    <m/>
    <s v="C"/>
    <s v="S"/>
    <s v="un fuste"/>
    <n v="15"/>
    <n v="10"/>
    <m/>
    <m/>
    <m/>
    <m/>
  </r>
  <r>
    <n v="8"/>
    <x v="0"/>
    <n v="1"/>
    <n v="3"/>
    <n v="3"/>
    <s v="Lamiaceae"/>
    <x v="9"/>
    <s v="Ya'axnik"/>
    <n v="19"/>
    <n v="6.0478878374920226"/>
    <n v="7"/>
    <n v="9"/>
    <m/>
    <s v="C"/>
    <s v="S"/>
    <s v="un fuste"/>
    <n v="10"/>
    <n v="5"/>
    <m/>
    <m/>
    <m/>
    <m/>
  </r>
  <r>
    <n v="5"/>
    <x v="2"/>
    <n v="1"/>
    <n v="4"/>
    <n v="4"/>
    <s v="Lamiaceae"/>
    <x v="9"/>
    <s v="Ya'axnik"/>
    <n v="37.5"/>
    <n v="11.93662073189215"/>
    <n v="6"/>
    <n v="10"/>
    <m/>
    <s v="C"/>
    <s v="S"/>
    <s v="un fuste"/>
    <n v="10"/>
    <n v="10"/>
    <n v="17"/>
    <s v="Vol = Exp(-9.52375084+1.81551953*LN(DIAMETRO)+1.03039019*LN(ALTURATOTAL))"/>
    <n v="7.0693088734366083E-2"/>
    <n v="1.1190581936148891E-2"/>
  </r>
  <r>
    <n v="6"/>
    <x v="2"/>
    <n v="1"/>
    <s v="3A"/>
    <n v="4"/>
    <s v="Lamiaceae"/>
    <x v="9"/>
    <s v="Ya'axnik"/>
    <n v="32.5"/>
    <n v="10.345071300973197"/>
    <n v="6"/>
    <n v="10"/>
    <m/>
    <s v="C"/>
    <s v="S"/>
    <e v="#VALUE!"/>
    <n v="10"/>
    <n v="10"/>
    <n v="17"/>
    <s v="Vol = Exp(-9.52375084+1.81551953*LN(DIAMETRO)+1.03039019*LN(ALTURATOTAL))"/>
    <n v="5.451879130983666E-2"/>
    <n v="8.4053704320407232E-3"/>
  </r>
  <r>
    <n v="8"/>
    <x v="0"/>
    <n v="1"/>
    <n v="4"/>
    <n v="4"/>
    <s v="Lamiaceae"/>
    <x v="9"/>
    <s v="Ya'axnik"/>
    <n v="25"/>
    <n v="7.9577471545947667"/>
    <n v="4.5"/>
    <n v="9"/>
    <m/>
    <s v="C"/>
    <s v="S"/>
    <s v="un fuste"/>
    <n v="10"/>
    <n v="10"/>
    <m/>
    <m/>
    <m/>
    <m/>
  </r>
  <r>
    <n v="7"/>
    <x v="0"/>
    <n v="3"/>
    <n v="5"/>
    <n v="5"/>
    <s v="Lamiaceae"/>
    <x v="9"/>
    <s v="Ya'axnik"/>
    <n v="28"/>
    <n v="8.91267681314614"/>
    <n v="6.5"/>
    <n v="11"/>
    <m/>
    <s v="C"/>
    <s v="S"/>
    <s v="un fuste"/>
    <n v="10"/>
    <n v="10"/>
    <m/>
    <m/>
    <m/>
    <m/>
  </r>
  <r>
    <n v="8"/>
    <x v="2"/>
    <n v="1"/>
    <n v="5"/>
    <n v="6"/>
    <s v="Lamiaceae"/>
    <x v="9"/>
    <s v="Ya'axnik"/>
    <n v="36"/>
    <n v="11.459155902616464"/>
    <n v="1.8"/>
    <n v="10"/>
    <m/>
    <s v="C"/>
    <s v="S"/>
    <s v="un fuste"/>
    <n v="10"/>
    <n v="10"/>
    <n v="17"/>
    <s v="Vol = Exp(-9.52375084+1.81551953*LN(DIAMETRO)+1.03039019*LN(ALTURATOTAL))"/>
    <n v="6.5643243928823439E-2"/>
    <n v="1.0313240312354817E-2"/>
  </r>
  <r>
    <n v="7"/>
    <x v="2"/>
    <n v="1"/>
    <n v="6"/>
    <n v="7"/>
    <s v="Lamiaceae"/>
    <x v="9"/>
    <s v="Ya'axnik"/>
    <n v="123"/>
    <n v="39.152116000606256"/>
    <n v="6"/>
    <n v="13"/>
    <m/>
    <s v="C"/>
    <s v="SB"/>
    <s v="un fuste"/>
    <n v="12.5"/>
    <n v="40"/>
    <n v="17"/>
    <s v="Vol = Exp(-9.52375084+1.81551953*LN(DIAMETRO)+1.03039019*LN(ALTURATOTAL))"/>
    <n v="0.80050142259012025"/>
    <n v="0.12039275670186424"/>
  </r>
  <r>
    <n v="8"/>
    <x v="0"/>
    <n v="1"/>
    <n v="7"/>
    <n v="7"/>
    <s v="Lamiaceae"/>
    <x v="9"/>
    <s v="Ya'axnik"/>
    <n v="28"/>
    <n v="8.91267681314614"/>
    <n v="6"/>
    <n v="9"/>
    <m/>
    <s v="C"/>
    <s v="S"/>
    <s v="un fuste"/>
    <n v="10"/>
    <n v="10"/>
    <m/>
    <m/>
    <m/>
    <m/>
  </r>
  <r>
    <n v="7"/>
    <x v="2"/>
    <n v="1"/>
    <s v="6A"/>
    <n v="8"/>
    <s v="Lamiaceae"/>
    <x v="9"/>
    <s v="Ya'axnik"/>
    <n v="68"/>
    <n v="21.645072260497766"/>
    <n v="6"/>
    <n v="13"/>
    <m/>
    <s v="C"/>
    <s v="S"/>
    <e v="#VALUE!"/>
    <n v="12.5"/>
    <n v="20"/>
    <n v="17"/>
    <s v="Vol = Exp(-9.52375084+1.81551953*LN(DIAMETRO)+1.03039019*LN(ALTURATOTAL))"/>
    <n v="0.27293188980277572"/>
    <n v="3.6796622842846204E-2"/>
  </r>
  <r>
    <n v="12"/>
    <x v="2"/>
    <n v="3"/>
    <n v="7"/>
    <n v="8"/>
    <s v="Lamiaceae"/>
    <x v="9"/>
    <s v="Ya'axnik"/>
    <n v="38.5"/>
    <n v="12.254930618075941"/>
    <n v="5"/>
    <n v="11"/>
    <m/>
    <s v="C"/>
    <s v="S"/>
    <s v="un fuste"/>
    <n v="10"/>
    <n v="10"/>
    <n v="17"/>
    <s v="Vol = Exp(-9.52375084+1.81551953*LN(DIAMETRO)+1.03039019*LN(ALTURATOTAL))"/>
    <n v="8.1804648924443071E-2"/>
    <n v="1.1795370719898092E-2"/>
  </r>
  <r>
    <n v="7"/>
    <x v="2"/>
    <n v="1"/>
    <s v="6B"/>
    <n v="9"/>
    <s v="Lamiaceae"/>
    <x v="9"/>
    <s v="Ya'axnik"/>
    <n v="58"/>
    <n v="18.461973398659861"/>
    <n v="1.8"/>
    <n v="12"/>
    <m/>
    <s v="C"/>
    <s v="S"/>
    <e v="#VALUE!"/>
    <n v="12.5"/>
    <n v="20"/>
    <n v="17"/>
    <s v="Vol = Exp(-9.52375084+1.81551953*LN(DIAMETRO)+1.03039019*LN(ALTURATOTAL))"/>
    <n v="0.18828598348685746"/>
    <n v="2.6769861428056801E-2"/>
  </r>
  <r>
    <n v="12"/>
    <x v="2"/>
    <n v="3"/>
    <n v="9"/>
    <n v="10"/>
    <s v="Lamiaceae"/>
    <x v="9"/>
    <s v="Ya'axnik"/>
    <n v="33"/>
    <n v="10.504226244065093"/>
    <n v="4.5"/>
    <n v="10"/>
    <m/>
    <s v="C"/>
    <s v="S"/>
    <s v="un fuste"/>
    <n v="10"/>
    <n v="10"/>
    <n v="17"/>
    <s v="Vol = Exp(-9.52375084+1.81551953*LN(DIAMETRO)+1.03039019*LN(ALTURATOTAL))"/>
    <n v="5.6051103143577655E-2"/>
    <n v="8.6659866513537007E-3"/>
  </r>
  <r>
    <n v="4"/>
    <x v="2"/>
    <n v="1"/>
    <n v="11"/>
    <n v="11"/>
    <s v="Lamiaceae"/>
    <x v="9"/>
    <s v="Ya'axnik"/>
    <n v="34"/>
    <n v="10.822536130248883"/>
    <n v="6"/>
    <n v="10"/>
    <m/>
    <s v="C"/>
    <s v="S"/>
    <s v="un fuste"/>
    <n v="10"/>
    <n v="10"/>
    <n v="17"/>
    <s v="Vol = Exp(-9.52375084+1.81551953*LN(DIAMETRO)+1.03039019*LN(ALTURATOTAL))"/>
    <n v="5.9172829084870877E-2"/>
    <n v="9.1991557107115509E-3"/>
  </r>
  <r>
    <n v="5"/>
    <x v="2"/>
    <n v="1"/>
    <n v="11"/>
    <n v="11"/>
    <s v="Lamiaceae"/>
    <x v="9"/>
    <s v="Ya'axnik"/>
    <n v="36.5"/>
    <n v="11.618310845708359"/>
    <n v="3"/>
    <n v="9"/>
    <m/>
    <s v="CB"/>
    <s v="S"/>
    <s v="un fuste"/>
    <n v="10"/>
    <n v="10"/>
    <n v="17"/>
    <s v="Vol = Exp(-9.52375084+1.81551953*LN(DIAMETRO)+1.03039019*LN(ALTURATOTAL))"/>
    <n v="6.0383403395902875E-2"/>
    <n v="1.0601708646708877E-2"/>
  </r>
  <r>
    <n v="4"/>
    <x v="2"/>
    <n v="1"/>
    <n v="12"/>
    <n v="12"/>
    <s v="Lamiaceae"/>
    <x v="9"/>
    <s v="Ya'axnik"/>
    <n v="49.5"/>
    <n v="15.756339366097638"/>
    <n v="6"/>
    <n v="12"/>
    <m/>
    <s v="C"/>
    <s v="S"/>
    <s v="un fuste"/>
    <n v="12.5"/>
    <n v="15"/>
    <n v="17"/>
    <s v="Vol = Exp(-9.52375084+1.81551953*LN(DIAMETRO)+1.03039019*LN(ALTURATOTAL))"/>
    <n v="0.141211108885963"/>
    <n v="1.9498469965545825E-2"/>
  </r>
  <r>
    <n v="5"/>
    <x v="2"/>
    <n v="1"/>
    <n v="12"/>
    <n v="12"/>
    <s v="Lamiaceae"/>
    <x v="9"/>
    <s v="Ya'axnik"/>
    <n v="37"/>
    <n v="11.777465788800255"/>
    <n v="6"/>
    <n v="13"/>
    <m/>
    <s v="C"/>
    <s v="S"/>
    <s v="un fuste"/>
    <n v="12.5"/>
    <n v="10"/>
    <n v="17"/>
    <s v="Vol = Exp(-9.52375084+1.81551953*LN(DIAMETRO)+1.03039019*LN(ALTURATOTAL))"/>
    <n v="9.0406450691164611E-2"/>
    <n v="1.0894155854640236E-2"/>
  </r>
  <r>
    <n v="5"/>
    <x v="2"/>
    <n v="1"/>
    <s v="12A"/>
    <n v="13"/>
    <s v="Lamiaceae"/>
    <x v="9"/>
    <s v="Ya'axnik"/>
    <n v="32.5"/>
    <n v="10.345071300973197"/>
    <n v="4"/>
    <n v="10"/>
    <m/>
    <s v="C"/>
    <s v="S"/>
    <e v="#VALUE!"/>
    <n v="10"/>
    <n v="10"/>
    <n v="17"/>
    <s v="Vol = Exp(-9.52375084+1.81551953*LN(DIAMETRO)+1.03039019*LN(ALTURATOTAL))"/>
    <n v="5.451879130983666E-2"/>
    <n v="8.4053704320407232E-3"/>
  </r>
  <r>
    <n v="11"/>
    <x v="2"/>
    <n v="3"/>
    <n v="12"/>
    <n v="13"/>
    <s v="Lamiaceae"/>
    <x v="9"/>
    <s v="Ya'axnik"/>
    <n v="34.5"/>
    <n v="10.981691073340778"/>
    <n v="6"/>
    <n v="12"/>
    <m/>
    <s v="C"/>
    <s v="S"/>
    <s v="un fuste"/>
    <n v="12.5"/>
    <n v="10"/>
    <n v="17"/>
    <s v="Vol = Exp(-9.52375084+1.81551953*LN(DIAMETRO)+1.03039019*LN(ALTURATOTAL))"/>
    <n v="7.3319691646719198E-2"/>
    <n v="9.4717085507564219E-3"/>
  </r>
  <r>
    <n v="2"/>
    <x v="0"/>
    <n v="4"/>
    <n v="14"/>
    <n v="14"/>
    <s v="Lamiaceae"/>
    <x v="9"/>
    <s v="Ya'axnik"/>
    <n v="17"/>
    <n v="5.4112680651244416"/>
    <n v="2.5"/>
    <n v="5"/>
    <m/>
    <s v="C"/>
    <s v="S"/>
    <s v="un fuste"/>
    <n v="5"/>
    <n v="5"/>
    <m/>
    <m/>
    <m/>
    <m/>
  </r>
  <r>
    <n v="3"/>
    <x v="0"/>
    <n v="4"/>
    <n v="17"/>
    <n v="17"/>
    <s v="Lamiaceae"/>
    <x v="9"/>
    <s v="Ya'axnik"/>
    <n v="31"/>
    <n v="9.8676064716975116"/>
    <n v="8"/>
    <n v="10"/>
    <m/>
    <s v="C"/>
    <s v="S"/>
    <s v="un fuste"/>
    <n v="10"/>
    <n v="10"/>
    <m/>
    <m/>
    <m/>
    <m/>
  </r>
  <r>
    <n v="1"/>
    <x v="2"/>
    <n v="3"/>
    <n v="18"/>
    <n v="21"/>
    <s v="Lamiaceae"/>
    <x v="9"/>
    <s v="Ya'axnik"/>
    <n v="175"/>
    <n v="55.70423008216337"/>
    <n v="5"/>
    <n v="19"/>
    <m/>
    <s v="C"/>
    <s v="S"/>
    <s v="un fuste"/>
    <n v="20"/>
    <n v="55"/>
    <n v="17"/>
    <s v="Vol = Exp(-9.52375084+1.81551953*LN(DIAMETRO)+1.03039019*LN(ALTURATOTAL))"/>
    <n v="2.2448990167528335"/>
    <n v="0.24370600660946476"/>
  </r>
  <r>
    <n v="4"/>
    <x v="2"/>
    <n v="2"/>
    <n v="20"/>
    <n v="21"/>
    <s v="Lamiaceae"/>
    <x v="9"/>
    <s v="Ya'axnik"/>
    <n v="36"/>
    <n v="11.459155902616464"/>
    <n v="6"/>
    <n v="12"/>
    <m/>
    <s v="C"/>
    <s v="S"/>
    <s v="un fuste"/>
    <n v="12.5"/>
    <n v="10"/>
    <n v="17"/>
    <s v="Vol = Exp(-9.52375084+1.81551953*LN(DIAMETRO)+1.03039019*LN(ALTURATOTAL))"/>
    <n v="7.9209562371578848E-2"/>
    <n v="1.0313240312354817E-2"/>
  </r>
  <r>
    <n v="12"/>
    <x v="1"/>
    <m/>
    <n v="16"/>
    <n v="16"/>
    <s v="Bignoniaceae"/>
    <x v="71"/>
    <s v="Bejuco seis hojas"/>
    <m/>
    <m/>
    <m/>
    <n v="8"/>
    <e v="#REF!"/>
    <m/>
    <s v="S"/>
    <s v="un fuste"/>
    <n v="7.5"/>
    <n v="5"/>
    <m/>
    <m/>
    <m/>
    <m/>
  </r>
  <r>
    <n v="9"/>
    <x v="2"/>
    <n v="4"/>
    <n v="21"/>
    <n v="22"/>
    <s v="Lamiaceae"/>
    <x v="9"/>
    <s v="Ya'axnik"/>
    <n v="41.5"/>
    <n v="13.209860276627314"/>
    <n v="6"/>
    <n v="13"/>
    <m/>
    <s v="C"/>
    <s v="S"/>
    <s v="un fuste"/>
    <n v="12.5"/>
    <n v="15"/>
    <n v="17"/>
    <s v="Vol = Exp(-9.52375084+1.81551953*LN(DIAMETRO)+1.03039019*LN(ALTURATOTAL))"/>
    <n v="0.11135160530671286"/>
    <n v="1.3705230037000837E-2"/>
  </r>
  <r>
    <n v="9"/>
    <x v="2"/>
    <n v="4"/>
    <s v="21A"/>
    <n v="23"/>
    <s v="Lamiaceae"/>
    <x v="9"/>
    <s v="Ya'axnik"/>
    <n v="35"/>
    <n v="11.140846016432674"/>
    <n v="6"/>
    <n v="12"/>
    <m/>
    <s v="C"/>
    <s v="S"/>
    <e v="#VALUE!"/>
    <n v="12.5"/>
    <n v="10"/>
    <n v="17"/>
    <s v="Vol = Exp(-9.52375084+1.81551953*LN(DIAMETRO)+1.03039019*LN(ALTURATOTAL))"/>
    <n v="7.5260260856999356E-2"/>
    <n v="9.7482402643785885E-3"/>
  </r>
  <r>
    <n v="4"/>
    <x v="2"/>
    <n v="2"/>
    <n v="23"/>
    <n v="24"/>
    <s v="Lamiaceae"/>
    <x v="9"/>
    <s v="Ya'axnik"/>
    <n v="34"/>
    <n v="10.822536130248883"/>
    <n v="6.5"/>
    <n v="10"/>
    <m/>
    <s v="C"/>
    <s v="S"/>
    <s v="un fuste"/>
    <n v="10"/>
    <n v="10"/>
    <n v="17"/>
    <s v="Vol = Exp(-9.52375084+1.81551953*LN(DIAMETRO)+1.03039019*LN(ALTURATOTAL))"/>
    <n v="5.9172829084870877E-2"/>
    <n v="9.1991557107115509E-3"/>
  </r>
  <r>
    <n v="9"/>
    <x v="2"/>
    <n v="4"/>
    <s v="21B"/>
    <n v="24"/>
    <s v="Lamiaceae"/>
    <x v="9"/>
    <s v="Ya'axnik"/>
    <n v="39.5"/>
    <n v="12.573240504259733"/>
    <n v="6"/>
    <n v="12"/>
    <m/>
    <s v="C"/>
    <s v="S"/>
    <e v="#VALUE!"/>
    <n v="12.5"/>
    <n v="15"/>
    <n v="17"/>
    <s v="Vol = Exp(-9.52375084+1.81551953*LN(DIAMETRO)+1.03039019*LN(ALTURATOTAL))"/>
    <n v="9.3741789059976335E-2"/>
    <n v="1.2416074997956486E-2"/>
  </r>
  <r>
    <n v="8"/>
    <x v="0"/>
    <n v="4"/>
    <n v="26"/>
    <n v="26"/>
    <s v="Lamiaceae"/>
    <x v="9"/>
    <s v="Ya'axnik"/>
    <n v="24.5"/>
    <n v="7.7985922115028714"/>
    <n v="2"/>
    <n v="8"/>
    <m/>
    <s v="C"/>
    <s v="SI"/>
    <s v="un fuste"/>
    <n v="7.5"/>
    <n v="10"/>
    <m/>
    <m/>
    <m/>
    <m/>
  </r>
  <r>
    <n v="5"/>
    <x v="0"/>
    <n v="4"/>
    <n v="28"/>
    <n v="30"/>
    <s v="Lamiaceae"/>
    <x v="9"/>
    <s v="Ya'axnik"/>
    <n v="30.3"/>
    <n v="9.6447895513688575"/>
    <n v="6"/>
    <n v="11"/>
    <m/>
    <s v="C"/>
    <s v="S"/>
    <s v="un fuste"/>
    <n v="10"/>
    <n v="10"/>
    <m/>
    <m/>
    <m/>
    <m/>
  </r>
  <r>
    <n v="5"/>
    <x v="0"/>
    <n v="4"/>
    <n v="29"/>
    <n v="31"/>
    <s v="Lamiaceae"/>
    <x v="9"/>
    <s v="Ya'axnik"/>
    <n v="25.5"/>
    <n v="8.1169020976866619"/>
    <n v="5"/>
    <n v="9"/>
    <m/>
    <s v="C"/>
    <s v="S"/>
    <s v="un fuste"/>
    <n v="10"/>
    <n v="10"/>
    <m/>
    <m/>
    <m/>
    <m/>
  </r>
  <r>
    <n v="5"/>
    <x v="0"/>
    <n v="4"/>
    <n v="30"/>
    <n v="32"/>
    <s v="Lamiaceae"/>
    <x v="9"/>
    <s v="Ya'axnik"/>
    <n v="22.5"/>
    <n v="7.1619724391352904"/>
    <n v="4.5"/>
    <n v="8"/>
    <m/>
    <s v="C"/>
    <s v="S"/>
    <s v="un fuste"/>
    <n v="7.5"/>
    <n v="5"/>
    <m/>
    <m/>
    <m/>
    <m/>
  </r>
  <r>
    <n v="2"/>
    <x v="2"/>
    <n v="2"/>
    <n v="32"/>
    <n v="33"/>
    <s v="Lamiaceae"/>
    <x v="9"/>
    <s v="Ya'axnik"/>
    <n v="37.5"/>
    <n v="11.93662073189215"/>
    <n v="8"/>
    <n v="12"/>
    <m/>
    <s v="C"/>
    <s v="S"/>
    <s v="un fuste"/>
    <n v="12.5"/>
    <n v="10"/>
    <n v="17"/>
    <s v="Vol = Exp(-9.52375084+1.81551953*LN(DIAMETRO)+1.03039019*LN(ALTURATOTAL))"/>
    <n v="8.5303045465210489E-2"/>
    <n v="1.1190581936148891E-2"/>
  </r>
  <r>
    <n v="5"/>
    <x v="0"/>
    <n v="4"/>
    <n v="31"/>
    <n v="33"/>
    <s v="Lamiaceae"/>
    <x v="9"/>
    <s v="Ya'axnik"/>
    <n v="16"/>
    <n v="5.0929581789406511"/>
    <n v="2.5"/>
    <n v="6"/>
    <m/>
    <s v="C"/>
    <s v="S"/>
    <s v="un fuste"/>
    <n v="5"/>
    <n v="5"/>
    <m/>
    <m/>
    <m/>
    <m/>
  </r>
  <r>
    <n v="3"/>
    <x v="2"/>
    <n v="3"/>
    <n v="32"/>
    <n v="34"/>
    <s v="Lamiaceae"/>
    <x v="9"/>
    <s v="Ya'axnik"/>
    <n v="67"/>
    <n v="21.326762374313976"/>
    <n v="4.5"/>
    <n v="14"/>
    <m/>
    <s v="C"/>
    <s v="S"/>
    <s v="un fuste"/>
    <n v="15"/>
    <n v="20"/>
    <n v="17"/>
    <s v="Vol = Exp(-9.52375084+1.81551953*LN(DIAMETRO)+1.03039019*LN(ALTURATOTAL))"/>
    <n v="0.28677138376563549"/>
    <n v="3.5722326976975909E-2"/>
  </r>
  <r>
    <n v="2"/>
    <x v="2"/>
    <n v="3"/>
    <n v="34"/>
    <n v="35"/>
    <s v="Lamiaceae"/>
    <x v="9"/>
    <s v="Ya'axnik"/>
    <n v="40"/>
    <n v="12.732395447351628"/>
    <n v="8"/>
    <n v="10"/>
    <m/>
    <s v="C"/>
    <s v="S"/>
    <s v="un fuste"/>
    <n v="10"/>
    <n v="15"/>
    <n v="17"/>
    <s v="Vol = Exp(-9.52375084+1.81551953*LN(DIAMETRO)+1.03039019*LN(ALTURATOTAL))"/>
    <n v="7.9481060364469586E-2"/>
    <n v="1.2732395447351628E-2"/>
  </r>
  <r>
    <n v="2"/>
    <x v="2"/>
    <n v="3"/>
    <n v="35"/>
    <n v="36"/>
    <s v="Lamiaceae"/>
    <x v="9"/>
    <s v="Ya'axnik"/>
    <n v="36.5"/>
    <n v="11.618310845708359"/>
    <n v="2.5"/>
    <n v="9"/>
    <m/>
    <s v="C"/>
    <s v="S"/>
    <s v="un fuste"/>
    <n v="10"/>
    <n v="10"/>
    <n v="17"/>
    <s v="Vol = Exp(-9.52375084+1.81551953*LN(DIAMETRO)+1.03039019*LN(ALTURATOTAL))"/>
    <n v="6.0383403395902875E-2"/>
    <n v="1.0601708646708877E-2"/>
  </r>
  <r>
    <n v="3"/>
    <x v="2"/>
    <n v="3"/>
    <n v="34"/>
    <n v="36"/>
    <s v="Lamiaceae"/>
    <x v="9"/>
    <s v="Ya'axnik"/>
    <n v="34.5"/>
    <n v="10.981691073340778"/>
    <n v="7"/>
    <n v="13"/>
    <m/>
    <s v="C"/>
    <s v="S"/>
    <s v="un fuste"/>
    <n v="12.5"/>
    <n v="10"/>
    <n v="17"/>
    <s v="Vol = Exp(-9.52375084+1.81551953*LN(DIAMETRO)+1.03039019*LN(ALTURATOTAL))"/>
    <n v="7.9623114841205614E-2"/>
    <n v="9.4717085507564219E-3"/>
  </r>
  <r>
    <n v="2"/>
    <x v="2"/>
    <n v="3"/>
    <n v="36"/>
    <n v="37"/>
    <s v="Lamiaceae"/>
    <x v="9"/>
    <s v="Ya'axnik"/>
    <n v="120"/>
    <n v="38.197186342054884"/>
    <n v="2"/>
    <n v="10"/>
    <m/>
    <s v="CB"/>
    <s v="S"/>
    <s v="un fuste"/>
    <n v="10"/>
    <n v="40"/>
    <n v="17"/>
    <s v="Vol = Exp(-9.52375084+1.81551953*LN(DIAMETRO)+1.03039019*LN(ALTURATOTAL))"/>
    <n v="0.58409919616064987"/>
    <n v="0.11459155902616465"/>
  </r>
  <r>
    <n v="3"/>
    <x v="2"/>
    <n v="3"/>
    <n v="35"/>
    <n v="37"/>
    <s v="Lamiaceae"/>
    <x v="9"/>
    <s v="Ya'axnik"/>
    <n v="37"/>
    <n v="11.777465788800255"/>
    <n v="6"/>
    <n v="12"/>
    <m/>
    <s v="C"/>
    <s v="S"/>
    <s v="un fuste"/>
    <n v="12.5"/>
    <n v="10"/>
    <n v="17"/>
    <s v="Vol = Exp(-9.52375084+1.81551953*LN(DIAMETRO)+1.03039019*LN(ALTURATOTAL))"/>
    <n v="8.3249356682039422E-2"/>
    <n v="1.0894155854640236E-2"/>
  </r>
  <r>
    <n v="2"/>
    <x v="2"/>
    <n v="3"/>
    <s v="36A"/>
    <n v="38"/>
    <s v="Lamiaceae"/>
    <x v="9"/>
    <s v="Ya'axnik"/>
    <n v="52"/>
    <n v="16.552114081557114"/>
    <n v="5.5"/>
    <n v="9"/>
    <m/>
    <s v="C"/>
    <s v="S"/>
    <e v="#VALUE!"/>
    <n v="10"/>
    <n v="15"/>
    <n v="17"/>
    <s v="Vol = Exp(-9.52375084+1.81551953*LN(DIAMETRO)+1.03039019*LN(ALTURATOTAL))"/>
    <n v="0.11481059415829332"/>
    <n v="2.1517748306024244E-2"/>
  </r>
  <r>
    <n v="3"/>
    <x v="2"/>
    <n v="3"/>
    <n v="36"/>
    <n v="38"/>
    <s v="Lamiaceae"/>
    <x v="9"/>
    <s v="Ya'axnik"/>
    <n v="31.5"/>
    <n v="10.026761414789407"/>
    <n v="4"/>
    <n v="12"/>
    <m/>
    <s v="C"/>
    <s v="S"/>
    <s v="un fuste"/>
    <n v="12.5"/>
    <n v="10"/>
    <n v="17"/>
    <s v="Vol = Exp(-9.52375084+1.81551953*LN(DIAMETRO)+1.03039019*LN(ALTURATOTAL))"/>
    <n v="6.2157294315506713E-2"/>
    <n v="7.8960746141466566E-3"/>
  </r>
  <r>
    <n v="2"/>
    <x v="2"/>
    <n v="3"/>
    <n v="37"/>
    <n v="39"/>
    <s v="Lamiaceae"/>
    <x v="9"/>
    <s v="Ya'axnik"/>
    <n v="33"/>
    <n v="10.504226244065093"/>
    <n v="5"/>
    <n v="10"/>
    <m/>
    <s v="C"/>
    <s v="S"/>
    <s v="un fuste"/>
    <n v="10"/>
    <n v="10"/>
    <n v="17"/>
    <s v="Vol = Exp(-9.52375084+1.81551953*LN(DIAMETRO)+1.03039019*LN(ALTURATOTAL))"/>
    <n v="5.6051103143577655E-2"/>
    <n v="8.6659866513537007E-3"/>
  </r>
  <r>
    <n v="3"/>
    <x v="2"/>
    <n v="3"/>
    <n v="37"/>
    <n v="39"/>
    <s v="Lamiaceae"/>
    <x v="9"/>
    <s v="Ya'axnik"/>
    <n v="31.5"/>
    <n v="10.026761414789407"/>
    <n v="4"/>
    <n v="9"/>
    <m/>
    <s v="C"/>
    <s v="S"/>
    <s v="un fuste"/>
    <n v="10"/>
    <n v="10"/>
    <n v="17"/>
    <s v="Vol = Exp(-9.52375084+1.81551953*LN(DIAMETRO)+1.03039019*LN(ALTURATOTAL))"/>
    <n v="4.6212179647431767E-2"/>
    <n v="7.8960746141466566E-3"/>
  </r>
  <r>
    <n v="5"/>
    <x v="2"/>
    <n v="4"/>
    <n v="37"/>
    <n v="39"/>
    <s v="Lamiaceae"/>
    <x v="9"/>
    <s v="Ya'axnik"/>
    <n v="32"/>
    <n v="10.185916357881302"/>
    <n v="5"/>
    <n v="10"/>
    <m/>
    <s v="C"/>
    <s v="S"/>
    <s v="un fuste"/>
    <n v="10"/>
    <n v="10"/>
    <n v="17"/>
    <s v="Vol = Exp(-9.52375084+1.81551953*LN(DIAMETRO)+1.03039019*LN(ALTURATOTAL))"/>
    <n v="5.3005584899578816E-2"/>
    <n v="8.1487330863050413E-3"/>
  </r>
  <r>
    <n v="12"/>
    <x v="0"/>
    <n v="4"/>
    <n v="27"/>
    <n v="39"/>
    <s v="Lamiaceae"/>
    <x v="9"/>
    <s v="Ya'axnik"/>
    <n v="18.5"/>
    <n v="5.8887328944001274"/>
    <n v="10"/>
    <n v="12"/>
    <m/>
    <s v="C"/>
    <s v="S"/>
    <s v="un fuste"/>
    <n v="12.5"/>
    <n v="5"/>
    <m/>
    <m/>
    <m/>
    <m/>
  </r>
  <r>
    <n v="2"/>
    <x v="2"/>
    <n v="3"/>
    <n v="38"/>
    <n v="40"/>
    <s v="Lamiaceae"/>
    <x v="9"/>
    <s v="Ya'axnik"/>
    <n v="50"/>
    <n v="15.915494309189533"/>
    <n v="8"/>
    <n v="14"/>
    <m/>
    <s v="C"/>
    <s v="S"/>
    <s v="un fuste"/>
    <n v="15"/>
    <n v="15"/>
    <n v="17"/>
    <s v="Vol = Exp(-9.52375084+1.81551953*LN(DIAMETRO)+1.03039019*LN(ALTURATOTAL))"/>
    <n v="0.16856778033591691"/>
    <n v="1.9894367886486915E-2"/>
  </r>
  <r>
    <n v="3"/>
    <x v="2"/>
    <n v="3"/>
    <n v="38"/>
    <n v="40"/>
    <s v="Lamiaceae"/>
    <x v="9"/>
    <s v="Ya'axnik"/>
    <n v="36"/>
    <n v="11.459155902616464"/>
    <n v="6"/>
    <n v="11"/>
    <m/>
    <s v="C"/>
    <s v="S"/>
    <s v="un fuste"/>
    <n v="10"/>
    <n v="10"/>
    <n v="17"/>
    <s v="Vol = Exp(-9.52375084+1.81551953*LN(DIAMETRO)+1.03039019*LN(ALTURATOTAL))"/>
    <n v="7.2417020336136742E-2"/>
    <n v="1.0313240312354817E-2"/>
  </r>
  <r>
    <n v="5"/>
    <x v="2"/>
    <n v="4"/>
    <n v="38"/>
    <n v="40"/>
    <s v="Lamiaceae"/>
    <x v="9"/>
    <s v="Ya'axnik"/>
    <n v="36"/>
    <n v="11.459155902616464"/>
    <n v="7"/>
    <n v="11"/>
    <m/>
    <s v="C"/>
    <s v="S"/>
    <s v="un fuste"/>
    <n v="10"/>
    <n v="10"/>
    <n v="17"/>
    <s v="Vol = Exp(-9.52375084+1.81551953*LN(DIAMETRO)+1.03039019*LN(ALTURATOTAL))"/>
    <n v="7.2417020336136742E-2"/>
    <n v="1.0313240312354817E-2"/>
  </r>
  <r>
    <n v="3"/>
    <x v="2"/>
    <n v="3"/>
    <n v="39"/>
    <n v="41"/>
    <s v="Lamiaceae"/>
    <x v="9"/>
    <s v="Ya'axnik"/>
    <n v="49"/>
    <n v="15.597184423005743"/>
    <n v="9"/>
    <n v="13"/>
    <m/>
    <s v="C"/>
    <s v="S"/>
    <s v="un fuste"/>
    <n v="12.5"/>
    <n v="15"/>
    <n v="17"/>
    <s v="Vol = Exp(-9.52375084+1.81551953*LN(DIAMETRO)+1.03039019*LN(ALTURATOTAL))"/>
    <n v="0.15055062236980352"/>
    <n v="1.9106550918182034E-2"/>
  </r>
  <r>
    <n v="3"/>
    <x v="2"/>
    <n v="3"/>
    <n v="41"/>
    <n v="43"/>
    <s v="Lamiaceae"/>
    <x v="9"/>
    <s v="Ya'axnik"/>
    <n v="52"/>
    <n v="16.552114081557114"/>
    <n v="6"/>
    <n v="13"/>
    <m/>
    <s v="C"/>
    <s v="S"/>
    <s v="un fuste"/>
    <n v="12.5"/>
    <n v="15"/>
    <n v="17"/>
    <s v="Vol = Exp(-9.52375084+1.81551953*LN(DIAMETRO)+1.03039019*LN(ALTURATOTAL))"/>
    <n v="0.16770119075276024"/>
    <n v="2.1517748306024244E-2"/>
  </r>
  <r>
    <n v="4"/>
    <x v="2"/>
    <n v="4"/>
    <n v="42"/>
    <n v="44"/>
    <s v="Lamiaceae"/>
    <x v="9"/>
    <s v="Ya'axnik"/>
    <n v="37"/>
    <n v="11.777465788800255"/>
    <n v="1.6"/>
    <n v="12"/>
    <m/>
    <s v="C"/>
    <s v="S"/>
    <s v="un fuste"/>
    <n v="12.5"/>
    <n v="10"/>
    <n v="17"/>
    <s v="Vol = Exp(-9.52375084+1.81551953*LN(DIAMETRO)+1.03039019*LN(ALTURATOTAL))"/>
    <n v="8.3249356682039422E-2"/>
    <n v="1.0894155854640236E-2"/>
  </r>
  <r>
    <n v="3"/>
    <x v="2"/>
    <n v="3"/>
    <n v="43"/>
    <n v="45"/>
    <s v="Lamiaceae"/>
    <x v="9"/>
    <s v="Ya'axnik"/>
    <n v="40"/>
    <n v="12.732395447351628"/>
    <n v="2.5"/>
    <n v="12"/>
    <m/>
    <s v="CB"/>
    <s v="S"/>
    <s v="un fuste"/>
    <n v="12.5"/>
    <n v="15"/>
    <n v="17"/>
    <s v="Vol = Exp(-9.52375084+1.81551953*LN(DIAMETRO)+1.03039019*LN(ALTURATOTAL))"/>
    <n v="9.5907204328978965E-2"/>
    <n v="1.2732395447351628E-2"/>
  </r>
  <r>
    <n v="4"/>
    <x v="2"/>
    <n v="4"/>
    <n v="43"/>
    <n v="45"/>
    <s v="Lamiaceae"/>
    <x v="9"/>
    <s v="Ya'axnik"/>
    <n v="57"/>
    <n v="18.143663512476071"/>
    <n v="3.5"/>
    <n v="12"/>
    <m/>
    <s v="C"/>
    <s v="S"/>
    <s v="un fuste"/>
    <n v="12.5"/>
    <n v="20"/>
    <n v="17"/>
    <s v="Vol = Exp(-9.52375084+1.81551953*LN(DIAMETRO)+1.03039019*LN(ALTURATOTAL))"/>
    <n v="0.18243372332483015"/>
    <n v="2.5854720505278404E-2"/>
  </r>
  <r>
    <n v="3"/>
    <x v="2"/>
    <n v="3"/>
    <s v="43A"/>
    <n v="46"/>
    <s v="Lamiaceae"/>
    <x v="9"/>
    <s v="Ya'axnik"/>
    <n v="50"/>
    <n v="15.915494309189533"/>
    <n v="3"/>
    <n v="13"/>
    <m/>
    <s v="C"/>
    <s v="S"/>
    <e v="#VALUE!"/>
    <n v="12.5"/>
    <n v="15"/>
    <n v="17"/>
    <s v="Vol = Exp(-9.52375084+1.81551953*LN(DIAMETRO)+1.03039019*LN(ALTURATOTAL))"/>
    <n v="0.15617509764181392"/>
    <n v="1.9894367886486915E-2"/>
  </r>
  <r>
    <n v="2"/>
    <x v="2"/>
    <n v="3"/>
    <n v="45"/>
    <n v="47"/>
    <s v="Lamiaceae"/>
    <x v="9"/>
    <s v="Ya'axnik"/>
    <n v="58.5"/>
    <n v="18.621128341751756"/>
    <n v="6"/>
    <n v="13"/>
    <m/>
    <s v="CB"/>
    <s v="S"/>
    <s v="un fuste"/>
    <n v="12.5"/>
    <n v="20"/>
    <n v="17"/>
    <s v="Vol = Exp(-9.52375084+1.81551953*LN(DIAMETRO)+1.03039019*LN(ALTURATOTAL))"/>
    <n v="0.20768472214000741"/>
    <n v="2.7233400199811946E-2"/>
  </r>
  <r>
    <n v="3"/>
    <x v="2"/>
    <n v="3"/>
    <s v="43B"/>
    <n v="47"/>
    <s v="Lamiaceae"/>
    <x v="9"/>
    <s v="Ya'axnik"/>
    <n v="58"/>
    <n v="18.461973398659861"/>
    <n v="4"/>
    <n v="11"/>
    <m/>
    <s v="C"/>
    <s v="S"/>
    <e v="#VALUE!"/>
    <n v="10"/>
    <n v="20"/>
    <n v="17"/>
    <s v="Vol = Exp(-9.52375084+1.81551953*LN(DIAMETRO)+1.03039019*LN(ALTURATOTAL))"/>
    <n v="0.17213969484156214"/>
    <n v="2.6769861428056801E-2"/>
  </r>
  <r>
    <n v="2"/>
    <x v="2"/>
    <n v="3"/>
    <s v="45A"/>
    <n v="48"/>
    <s v="Lamiaceae"/>
    <x v="9"/>
    <s v="Ya'axnik"/>
    <n v="51"/>
    <n v="16.233804195373324"/>
    <n v="4"/>
    <n v="12"/>
    <m/>
    <s v="C"/>
    <s v="S"/>
    <e v="#VALUE!"/>
    <n v="12.5"/>
    <n v="15"/>
    <n v="17"/>
    <s v="Vol = Exp(-9.52375084+1.81551953*LN(DIAMETRO)+1.03039019*LN(ALTURATOTAL))"/>
    <n v="0.14907576019673047"/>
    <n v="2.0698100349100988E-2"/>
  </r>
  <r>
    <n v="3"/>
    <x v="2"/>
    <n v="3"/>
    <s v="43C"/>
    <n v="48"/>
    <s v="Lamiaceae"/>
    <x v="9"/>
    <s v="Ya'axnik"/>
    <n v="46"/>
    <n v="14.642254764454371"/>
    <n v="8"/>
    <n v="12"/>
    <m/>
    <s v="C"/>
    <s v="S"/>
    <e v="#VALUE!"/>
    <n v="12.5"/>
    <n v="15"/>
    <n v="17"/>
    <s v="Vol = Exp(-9.52375084+1.81551953*LN(DIAMETRO)+1.03039019*LN(ALTURATOTAL))"/>
    <n v="0.12360878744721161"/>
    <n v="1.6838592979122526E-2"/>
  </r>
  <r>
    <n v="3"/>
    <x v="2"/>
    <n v="3"/>
    <s v="43D"/>
    <n v="49"/>
    <s v="Lamiaceae"/>
    <x v="9"/>
    <s v="Ya'axnik"/>
    <n v="47"/>
    <n v="14.960564650638162"/>
    <n v="7"/>
    <n v="11"/>
    <m/>
    <s v="C"/>
    <s v="S"/>
    <e v="#VALUE!"/>
    <n v="10"/>
    <n v="15"/>
    <n v="17"/>
    <s v="Vol = Exp(-9.52375084+1.81551953*LN(DIAMETRO)+1.03039019*LN(ALTURATOTAL))"/>
    <n v="0.11750852741246427"/>
    <n v="1.7578663464499839E-2"/>
  </r>
  <r>
    <n v="3"/>
    <x v="2"/>
    <n v="3"/>
    <s v="43E"/>
    <n v="50"/>
    <s v="Lamiaceae"/>
    <x v="9"/>
    <s v="Ya'axnik"/>
    <n v="54"/>
    <n v="17.188733853924695"/>
    <n v="6"/>
    <n v="11"/>
    <m/>
    <s v="C"/>
    <s v="S"/>
    <e v="#VALUE!"/>
    <n v="10"/>
    <n v="15"/>
    <n v="17"/>
    <s v="Vol = Exp(-9.52375084+1.81551953*LN(DIAMETRO)+1.03039019*LN(ALTURATOTAL))"/>
    <n v="0.15119511904599825"/>
    <n v="2.3204790702798336E-2"/>
  </r>
  <r>
    <n v="3"/>
    <x v="2"/>
    <n v="3"/>
    <s v="43F"/>
    <n v="51"/>
    <s v="Lamiaceae"/>
    <x v="9"/>
    <s v="Ya'axnik"/>
    <n v="40"/>
    <n v="12.732395447351628"/>
    <n v="7"/>
    <n v="12"/>
    <m/>
    <s v="C"/>
    <s v="S"/>
    <e v="#VALUE!"/>
    <n v="12.5"/>
    <n v="15"/>
    <n v="17"/>
    <s v="Vol = Exp(-9.52375084+1.81551953*LN(DIAMETRO)+1.03039019*LN(ALTURATOTAL))"/>
    <n v="9.5907204328978965E-2"/>
    <n v="1.2732395447351628E-2"/>
  </r>
  <r>
    <n v="3"/>
    <x v="2"/>
    <n v="3"/>
    <s v="43G"/>
    <n v="52"/>
    <s v="Lamiaceae"/>
    <x v="9"/>
    <s v="Ya'axnik"/>
    <n v="49.5"/>
    <n v="15.756339366097638"/>
    <n v="4"/>
    <n v="13"/>
    <m/>
    <s v="C"/>
    <s v="S"/>
    <e v="#VALUE!"/>
    <n v="12.5"/>
    <n v="15"/>
    <n v="17"/>
    <s v="Vol = Exp(-9.52375084+1.81551953*LN(DIAMETRO)+1.03039019*LN(ALTURATOTAL))"/>
    <n v="0.15335127695104184"/>
    <n v="1.9498469965545825E-2"/>
  </r>
  <r>
    <n v="3"/>
    <x v="2"/>
    <n v="3"/>
    <n v="44"/>
    <n v="53"/>
    <s v="Lamiaceae"/>
    <x v="9"/>
    <s v="Ya'axnik"/>
    <n v="59.5"/>
    <n v="18.939438227935547"/>
    <n v="3"/>
    <n v="14"/>
    <m/>
    <s v="C"/>
    <s v="S"/>
    <s v="un fuste"/>
    <n v="15"/>
    <n v="20"/>
    <n v="17"/>
    <s v="Vol = Exp(-9.52375084+1.81551953*LN(DIAMETRO)+1.03039019*LN(ALTURATOTAL))"/>
    <n v="0.2311700420480558"/>
    <n v="2.8172414364054127E-2"/>
  </r>
  <r>
    <n v="3"/>
    <x v="2"/>
    <n v="4"/>
    <n v="52"/>
    <n v="61"/>
    <s v="Lamiaceae"/>
    <x v="9"/>
    <s v="Ya'axnik"/>
    <n v="36"/>
    <n v="11.459155902616464"/>
    <n v="6"/>
    <n v="10"/>
    <m/>
    <s v="C"/>
    <s v="S"/>
    <s v="un fuste"/>
    <n v="10"/>
    <n v="10"/>
    <n v="17"/>
    <s v="Vol = Exp(-9.52375084+1.81551953*LN(DIAMETRO)+1.03039019*LN(ALTURATOTAL))"/>
    <n v="6.5643243928823439E-2"/>
    <n v="1.0313240312354817E-2"/>
  </r>
  <r>
    <n v="5"/>
    <x v="2"/>
    <n v="1"/>
    <n v="1"/>
    <n v="1"/>
    <s v="Rutaceae "/>
    <x v="72"/>
    <s v="Zapote blanco"/>
    <n v="31.5"/>
    <n v="10.026761414789407"/>
    <n v="4.5"/>
    <n v="9"/>
    <m/>
    <s v="C"/>
    <s v="S"/>
    <s v="un fuste"/>
    <n v="10"/>
    <n v="10"/>
    <n v="17"/>
    <s v="Vol = Exp(-9.52375084+1.81551953*LN(DIAMETRO)+1.03039019*LN(ALTURATOTAL))"/>
    <n v="4.6212179647431767E-2"/>
    <n v="7.8960746141466566E-3"/>
  </r>
  <r>
    <n v="2"/>
    <x v="2"/>
    <n v="3"/>
    <n v="33"/>
    <n v="34"/>
    <s v="Sapotaceae"/>
    <x v="73"/>
    <s v="Zapote faisán"/>
    <n v="65.5"/>
    <n v="20.84929754503829"/>
    <n v="8"/>
    <n v="14"/>
    <m/>
    <s v="C"/>
    <s v="S"/>
    <s v="un fuste"/>
    <n v="15"/>
    <n v="20"/>
    <n v="17"/>
    <s v="Vol = Exp(-9.52375084+1.81551953*LN(DIAMETRO)+1.03039019*LN(ALTURATOTAL))"/>
    <n v="0.27522184108988007"/>
    <n v="3.4140724730000196E-2"/>
  </r>
  <r>
    <n v="3"/>
    <x v="2"/>
    <n v="4"/>
    <n v="46"/>
    <n v="55"/>
    <s v="Sapotaceae"/>
    <x v="73"/>
    <s v="Zapote faisán"/>
    <n v="36"/>
    <n v="11.459155902616464"/>
    <n v="7"/>
    <n v="10"/>
    <m/>
    <s v="C"/>
    <s v="S"/>
    <s v="un fuste"/>
    <n v="10"/>
    <n v="10"/>
    <n v="17"/>
    <s v="Vol = Exp(-9.52375084+1.81551953*LN(DIAMETRO)+1.03039019*LN(ALTURATOTAL))"/>
    <n v="6.5643243928823439E-2"/>
    <n v="1.0313240312354817E-2"/>
  </r>
  <r>
    <m/>
    <x v="3"/>
    <m/>
    <m/>
    <m/>
    <m/>
    <x v="74"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151">
  <r>
    <n v="6"/>
    <x v="0"/>
    <n v="1"/>
    <n v="1"/>
    <n v="1"/>
    <s v="Lauraceae"/>
    <s v="Nectandra coriacea"/>
    <s v="Aguacatillo"/>
    <n v="22"/>
    <n v="7.0028174960433951"/>
    <n v="3.5"/>
    <n v="7.5"/>
    <m/>
    <s v="C"/>
    <s v="S"/>
    <x v="0"/>
    <x v="0"/>
    <x v="0"/>
    <m/>
    <m/>
    <m/>
  </r>
  <r>
    <n v="7"/>
    <x v="0"/>
    <n v="1"/>
    <n v="1"/>
    <n v="1"/>
    <s v="Lauraceae"/>
    <s v="Nectandra coriacea"/>
    <s v="Aguacatillo"/>
    <n v="30"/>
    <n v="9.5492965855137211"/>
    <n v="6"/>
    <n v="9"/>
    <m/>
    <s v="C"/>
    <s v="S"/>
    <x v="0"/>
    <x v="1"/>
    <x v="1"/>
    <m/>
    <m/>
    <m/>
  </r>
  <r>
    <n v="1"/>
    <x v="1"/>
    <m/>
    <n v="1"/>
    <n v="1"/>
    <s v="Lauraceae"/>
    <s v="Nectandra coriacea"/>
    <s v="Aguacatillo"/>
    <m/>
    <m/>
    <m/>
    <n v="6"/>
    <e v="#REF!"/>
    <m/>
    <s v="S"/>
    <x v="0"/>
    <x v="2"/>
    <x v="0"/>
    <m/>
    <m/>
    <m/>
  </r>
  <r>
    <n v="1"/>
    <x v="1"/>
    <m/>
    <n v="2"/>
    <n v="2"/>
    <s v="Lauraceae"/>
    <s v="Nectandra coriacea"/>
    <s v="Aguacatillo"/>
    <m/>
    <m/>
    <m/>
    <n v="0.7"/>
    <e v="#REF!"/>
    <m/>
    <s v="S"/>
    <x v="0"/>
    <x v="3"/>
    <x v="0"/>
    <m/>
    <m/>
    <m/>
  </r>
  <r>
    <n v="1"/>
    <x v="1"/>
    <m/>
    <n v="3"/>
    <n v="3"/>
    <s v="Lauraceae"/>
    <s v="Nectandra coriacea"/>
    <s v="Aguacatillo"/>
    <m/>
    <m/>
    <m/>
    <n v="0.5"/>
    <e v="#REF!"/>
    <m/>
    <s v="S"/>
    <x v="0"/>
    <x v="3"/>
    <x v="0"/>
    <m/>
    <m/>
    <m/>
  </r>
  <r>
    <n v="1"/>
    <x v="1"/>
    <m/>
    <n v="4"/>
    <n v="4"/>
    <s v="Lauraceae"/>
    <s v="Nectandra coriacea"/>
    <s v="Aguacatillo"/>
    <m/>
    <m/>
    <m/>
    <n v="0.2"/>
    <e v="#REF!"/>
    <m/>
    <s v="S"/>
    <x v="0"/>
    <x v="3"/>
    <x v="0"/>
    <m/>
    <m/>
    <m/>
  </r>
  <r>
    <n v="1"/>
    <x v="1"/>
    <m/>
    <n v="5"/>
    <n v="5"/>
    <s v="Myrtaceae"/>
    <s v="Eugenia axillaris "/>
    <s v="Granada cimarrona"/>
    <m/>
    <m/>
    <m/>
    <n v="0.5"/>
    <e v="#REF!"/>
    <m/>
    <s v="S"/>
    <x v="0"/>
    <x v="3"/>
    <x v="0"/>
    <m/>
    <m/>
    <m/>
  </r>
  <r>
    <n v="6"/>
    <x v="0"/>
    <n v="1"/>
    <n v="2"/>
    <n v="2"/>
    <s v="Lauraceae"/>
    <s v="Nectandra coriacea"/>
    <s v="Aguacatillo"/>
    <n v="22"/>
    <n v="7.0028174960433951"/>
    <n v="4"/>
    <n v="7.5"/>
    <m/>
    <s v="C"/>
    <s v="S"/>
    <x v="0"/>
    <x v="0"/>
    <x v="0"/>
    <m/>
    <m/>
    <m/>
  </r>
  <r>
    <n v="10"/>
    <x v="0"/>
    <n v="1"/>
    <n v="2"/>
    <n v="2"/>
    <s v="Lauraceae"/>
    <s v="Nectandra coriacea"/>
    <s v="Aguacatillo"/>
    <n v="17.5"/>
    <n v="5.5704230082163368"/>
    <n v="5"/>
    <n v="8"/>
    <m/>
    <s v="C"/>
    <s v="S"/>
    <x v="0"/>
    <x v="0"/>
    <x v="0"/>
    <m/>
    <m/>
    <m/>
  </r>
  <r>
    <n v="1"/>
    <x v="1"/>
    <m/>
    <n v="6"/>
    <n v="6"/>
    <s v="Sapindaceae"/>
    <s v="Paullinia pinnata"/>
    <s v="Salatxiw"/>
    <m/>
    <m/>
    <m/>
    <n v="0.7"/>
    <e v="#REF!"/>
    <m/>
    <s v="S"/>
    <x v="0"/>
    <x v="3"/>
    <x v="0"/>
    <m/>
    <m/>
    <m/>
  </r>
  <r>
    <n v="1"/>
    <x v="1"/>
    <m/>
    <n v="7"/>
    <n v="7"/>
    <s v="Sapindaceae"/>
    <s v="Serjania goniocarpa"/>
    <s v="Bejuco tres lomos"/>
    <m/>
    <m/>
    <m/>
    <n v="1.7"/>
    <e v="#REF!"/>
    <m/>
    <s v="S"/>
    <x v="0"/>
    <x v="3"/>
    <x v="0"/>
    <m/>
    <m/>
    <m/>
  </r>
  <r>
    <n v="1"/>
    <x v="1"/>
    <m/>
    <n v="8"/>
    <n v="8"/>
    <s v="Malpighiaceae"/>
    <s v="Hiraea reclinata "/>
    <s v="Hiraea"/>
    <m/>
    <m/>
    <m/>
    <n v="2.5"/>
    <e v="#REF!"/>
    <m/>
    <s v="S"/>
    <x v="0"/>
    <x v="3"/>
    <x v="0"/>
    <m/>
    <m/>
    <m/>
  </r>
  <r>
    <n v="1"/>
    <x v="1"/>
    <m/>
    <n v="9"/>
    <n v="9"/>
    <s v="Leguminosae"/>
    <s v="Zygia cognata"/>
    <s v="Cacao che"/>
    <m/>
    <m/>
    <m/>
    <n v="2"/>
    <e v="#REF!"/>
    <m/>
    <s v="S"/>
    <x v="0"/>
    <x v="3"/>
    <x v="0"/>
    <m/>
    <m/>
    <m/>
  </r>
  <r>
    <n v="1"/>
    <x v="1"/>
    <m/>
    <n v="10"/>
    <n v="10"/>
    <s v="Leguminosae"/>
    <s v="Bauhinia jenningsii"/>
    <s v="Tsimin"/>
    <m/>
    <m/>
    <m/>
    <n v="0.8"/>
    <e v="#REF!"/>
    <m/>
    <s v="S"/>
    <x v="0"/>
    <x v="3"/>
    <x v="0"/>
    <m/>
    <m/>
    <m/>
  </r>
  <r>
    <n v="1"/>
    <x v="1"/>
    <m/>
    <n v="11"/>
    <n v="11"/>
    <s v="Leguminosae"/>
    <s v="Zygia cognata"/>
    <s v="Cacao che"/>
    <m/>
    <m/>
    <m/>
    <n v="0.9"/>
    <e v="#REF!"/>
    <m/>
    <s v="S"/>
    <x v="0"/>
    <x v="3"/>
    <x v="0"/>
    <m/>
    <m/>
    <m/>
  </r>
  <r>
    <n v="3"/>
    <x v="0"/>
    <n v="1"/>
    <n v="3"/>
    <n v="3"/>
    <s v="Lauraceae"/>
    <s v="Nectandra coriacea"/>
    <s v="Aguacatillo"/>
    <n v="17.5"/>
    <n v="5.5704230082163368"/>
    <n v="3"/>
    <n v="8"/>
    <m/>
    <s v="C"/>
    <s v="S"/>
    <x v="0"/>
    <x v="0"/>
    <x v="0"/>
    <m/>
    <m/>
    <m/>
  </r>
  <r>
    <n v="7"/>
    <x v="0"/>
    <n v="1"/>
    <n v="3"/>
    <n v="3"/>
    <s v="Lauraceae"/>
    <s v="Nectandra coriacea"/>
    <s v="Aguacatillo"/>
    <n v="18"/>
    <n v="5.7295779513082321"/>
    <n v="5"/>
    <n v="9"/>
    <m/>
    <s v="C"/>
    <s v="S"/>
    <x v="0"/>
    <x v="1"/>
    <x v="0"/>
    <m/>
    <m/>
    <m/>
  </r>
  <r>
    <n v="11"/>
    <x v="0"/>
    <n v="1"/>
    <n v="3"/>
    <n v="3"/>
    <s v="Lauraceae"/>
    <s v="Nectandra coriacea"/>
    <s v="Aguacatillo"/>
    <n v="17.5"/>
    <n v="5.5704230082163368"/>
    <n v="3.3"/>
    <n v="7"/>
    <m/>
    <s v="C"/>
    <s v="S"/>
    <x v="0"/>
    <x v="0"/>
    <x v="0"/>
    <m/>
    <m/>
    <m/>
  </r>
  <r>
    <n v="1"/>
    <x v="1"/>
    <m/>
    <n v="12"/>
    <n v="12"/>
    <s v="Annonaceae"/>
    <s v="Mosannona depressa"/>
    <s v="Ek elemuy"/>
    <m/>
    <m/>
    <m/>
    <n v="0.7"/>
    <e v="#REF!"/>
    <m/>
    <s v="S"/>
    <x v="0"/>
    <x v="3"/>
    <x v="0"/>
    <m/>
    <m/>
    <m/>
  </r>
  <r>
    <n v="1"/>
    <x v="1"/>
    <m/>
    <n v="13"/>
    <n v="13"/>
    <s v="Zamiaceae"/>
    <s v="Zamia loddigesii Miq."/>
    <s v="Palma zamia"/>
    <m/>
    <m/>
    <m/>
    <n v="0.15"/>
    <e v="#REF!"/>
    <m/>
    <s v="S"/>
    <x v="0"/>
    <x v="3"/>
    <x v="0"/>
    <m/>
    <m/>
    <m/>
  </r>
  <r>
    <n v="1"/>
    <x v="1"/>
    <m/>
    <n v="14"/>
    <n v="14"/>
    <s v="Lauraceae"/>
    <s v="Nectandra coriacea"/>
    <s v="Aguacatillo"/>
    <m/>
    <m/>
    <m/>
    <n v="0.3"/>
    <e v="#REF!"/>
    <m/>
    <s v="S"/>
    <x v="0"/>
    <x v="3"/>
    <x v="0"/>
    <m/>
    <m/>
    <m/>
  </r>
  <r>
    <n v="1"/>
    <x v="1"/>
    <m/>
    <n v="15"/>
    <n v="15"/>
    <s v="Lauraceae"/>
    <s v="Nectandra coriacea"/>
    <s v="Aguacatillo"/>
    <m/>
    <m/>
    <m/>
    <n v="2"/>
    <e v="#REF!"/>
    <m/>
    <s v="S"/>
    <x v="0"/>
    <x v="3"/>
    <x v="0"/>
    <m/>
    <m/>
    <m/>
  </r>
  <r>
    <n v="1"/>
    <x v="1"/>
    <m/>
    <n v="16"/>
    <n v="16"/>
    <s v="Leguminosae"/>
    <s v="Zygia cognata"/>
    <s v="Cacao che"/>
    <m/>
    <m/>
    <m/>
    <n v="4"/>
    <e v="#REF!"/>
    <m/>
    <s v="S"/>
    <x v="0"/>
    <x v="2"/>
    <x v="0"/>
    <m/>
    <m/>
    <m/>
  </r>
  <r>
    <n v="1"/>
    <x v="1"/>
    <m/>
    <n v="17"/>
    <n v="17"/>
    <s v="Leguminosae"/>
    <s v="Zygia cognata"/>
    <s v="Cacao che"/>
    <m/>
    <m/>
    <m/>
    <n v="4"/>
    <e v="#REF!"/>
    <m/>
    <s v="S"/>
    <x v="0"/>
    <x v="2"/>
    <x v="0"/>
    <m/>
    <m/>
    <m/>
  </r>
  <r>
    <n v="1"/>
    <x v="1"/>
    <m/>
    <n v="18"/>
    <n v="18"/>
    <s v="Lauraceae"/>
    <s v="Nectandra coriacea"/>
    <s v="Aguacatillo"/>
    <m/>
    <m/>
    <m/>
    <n v="0.15"/>
    <e v="#REF!"/>
    <m/>
    <s v="S"/>
    <x v="0"/>
    <x v="3"/>
    <x v="0"/>
    <m/>
    <m/>
    <m/>
  </r>
  <r>
    <n v="1"/>
    <x v="1"/>
    <m/>
    <n v="19"/>
    <n v="19"/>
    <s v="Lauraceae"/>
    <s v="Nectandra coriacea"/>
    <s v="Aguacatillo"/>
    <m/>
    <m/>
    <m/>
    <n v="0.7"/>
    <e v="#REF!"/>
    <m/>
    <s v="S"/>
    <x v="0"/>
    <x v="3"/>
    <x v="0"/>
    <m/>
    <m/>
    <m/>
  </r>
  <r>
    <n v="1"/>
    <x v="1"/>
    <m/>
    <n v="20"/>
    <n v="20"/>
    <s v="Lauraceae"/>
    <s v="Nectandra coriacea"/>
    <s v="Aguacatillo"/>
    <m/>
    <m/>
    <m/>
    <n v="0.3"/>
    <e v="#REF!"/>
    <m/>
    <s v="S"/>
    <x v="0"/>
    <x v="3"/>
    <x v="0"/>
    <m/>
    <m/>
    <m/>
  </r>
  <r>
    <n v="1"/>
    <x v="1"/>
    <m/>
    <n v="21"/>
    <n v="21"/>
    <s v="Lamiaceae"/>
    <s v="Vitex gaumeri"/>
    <s v="Ya'axnik"/>
    <m/>
    <m/>
    <m/>
    <n v="0.1"/>
    <e v="#REF!"/>
    <m/>
    <s v="S"/>
    <x v="0"/>
    <x v="3"/>
    <x v="0"/>
    <m/>
    <m/>
    <m/>
  </r>
  <r>
    <n v="1"/>
    <x v="0"/>
    <n v="2"/>
    <n v="8"/>
    <n v="8"/>
    <s v="Lauraceae"/>
    <s v="Nectandra coriacea"/>
    <s v="Aguacatillo"/>
    <n v="18"/>
    <n v="5.7295779513082321"/>
    <n v="4.5"/>
    <n v="8"/>
    <m/>
    <s v="C"/>
    <s v="S"/>
    <x v="0"/>
    <x v="0"/>
    <x v="0"/>
    <m/>
    <m/>
    <m/>
  </r>
  <r>
    <n v="2"/>
    <x v="1"/>
    <m/>
    <n v="1"/>
    <n v="1"/>
    <s v="Lauraceae"/>
    <s v="Nectandra coriacea"/>
    <s v="Aguacatillo"/>
    <m/>
    <m/>
    <m/>
    <n v="1.7"/>
    <e v="#REF!"/>
    <m/>
    <m/>
    <x v="0"/>
    <x v="3"/>
    <x v="0"/>
    <m/>
    <m/>
    <m/>
  </r>
  <r>
    <n v="7"/>
    <x v="0"/>
    <n v="4"/>
    <n v="9"/>
    <n v="9"/>
    <s v="Lauraceae"/>
    <s v="Nectandra coriacea"/>
    <s v="Aguacatillo"/>
    <n v="17"/>
    <n v="5.4112680651244416"/>
    <n v="3"/>
    <n v="5"/>
    <m/>
    <s v="C"/>
    <s v="S"/>
    <x v="0"/>
    <x v="2"/>
    <x v="0"/>
    <m/>
    <m/>
    <m/>
  </r>
  <r>
    <n v="2"/>
    <x v="1"/>
    <m/>
    <n v="2"/>
    <n v="2"/>
    <s v="Lauraceae"/>
    <s v="Nectandra coriacea"/>
    <s v="Aguacatillo"/>
    <m/>
    <m/>
    <m/>
    <n v="3.5"/>
    <e v="#REF!"/>
    <m/>
    <m/>
    <x v="0"/>
    <x v="3"/>
    <x v="0"/>
    <m/>
    <m/>
    <m/>
  </r>
  <r>
    <n v="2"/>
    <x v="1"/>
    <m/>
    <n v="3"/>
    <n v="3"/>
    <s v="Leguminosae"/>
    <s v="Zygia cognata"/>
    <s v="Cacao che"/>
    <m/>
    <m/>
    <m/>
    <n v="3"/>
    <e v="#REF!"/>
    <m/>
    <m/>
    <x v="0"/>
    <x v="3"/>
    <x v="0"/>
    <m/>
    <m/>
    <m/>
  </r>
  <r>
    <n v="2"/>
    <x v="1"/>
    <m/>
    <n v="4"/>
    <n v="4"/>
    <s v="Lauraceae"/>
    <s v="Nectandra coriacea"/>
    <s v="Aguacatillo"/>
    <m/>
    <m/>
    <m/>
    <n v="1.7"/>
    <e v="#REF!"/>
    <m/>
    <m/>
    <x v="0"/>
    <x v="3"/>
    <x v="0"/>
    <m/>
    <m/>
    <m/>
  </r>
  <r>
    <n v="2"/>
    <x v="1"/>
    <m/>
    <n v="5"/>
    <n v="5"/>
    <s v="Leguminosae"/>
    <s v="Zygia cognata"/>
    <s v="Cacao che"/>
    <m/>
    <m/>
    <m/>
    <n v="3.5"/>
    <e v="#REF!"/>
    <m/>
    <m/>
    <x v="0"/>
    <x v="3"/>
    <x v="0"/>
    <m/>
    <m/>
    <m/>
  </r>
  <r>
    <n v="2"/>
    <x v="0"/>
    <n v="3"/>
    <n v="10"/>
    <n v="10"/>
    <s v="Lauraceae"/>
    <s v="Nectandra coriacea"/>
    <s v="Aguacatillo"/>
    <n v="18.5"/>
    <n v="5.8887328944001274"/>
    <n v="4"/>
    <n v="8"/>
    <m/>
    <s v="C"/>
    <s v="S"/>
    <x v="0"/>
    <x v="0"/>
    <x v="0"/>
    <m/>
    <m/>
    <m/>
  </r>
  <r>
    <n v="10"/>
    <x v="0"/>
    <n v="1"/>
    <n v="10"/>
    <n v="10"/>
    <s v="Lauraceae"/>
    <s v="Nectandra coriacea"/>
    <s v="Aguacatillo"/>
    <n v="16"/>
    <n v="5.0929581789406511"/>
    <n v="3.5"/>
    <n v="7"/>
    <m/>
    <s v="C"/>
    <s v="S"/>
    <x v="0"/>
    <x v="0"/>
    <x v="0"/>
    <m/>
    <m/>
    <m/>
  </r>
  <r>
    <n v="2"/>
    <x v="1"/>
    <m/>
    <n v="6"/>
    <n v="6"/>
    <s v="Rubiaceae"/>
    <s v="Randia aculeata"/>
    <s v="Cruceta"/>
    <m/>
    <m/>
    <m/>
    <n v="1.8"/>
    <e v="#REF!"/>
    <m/>
    <m/>
    <x v="0"/>
    <x v="3"/>
    <x v="0"/>
    <m/>
    <m/>
    <m/>
  </r>
  <r>
    <n v="2"/>
    <x v="1"/>
    <m/>
    <n v="7"/>
    <n v="7"/>
    <s v="Rubiaceae"/>
    <s v="Randia aculeata"/>
    <s v="Cruceta"/>
    <m/>
    <m/>
    <m/>
    <n v="1.8"/>
    <e v="#REF!"/>
    <m/>
    <m/>
    <x v="0"/>
    <x v="3"/>
    <x v="0"/>
    <m/>
    <m/>
    <m/>
  </r>
  <r>
    <n v="2"/>
    <x v="1"/>
    <m/>
    <n v="8"/>
    <n v="8"/>
    <s v="Araceae"/>
    <s v="Philodendron jacquinii"/>
    <s v="Baston de viejo "/>
    <m/>
    <m/>
    <m/>
    <n v="4"/>
    <e v="#REF!"/>
    <m/>
    <m/>
    <x v="0"/>
    <x v="2"/>
    <x v="0"/>
    <m/>
    <m/>
    <m/>
  </r>
  <r>
    <n v="2"/>
    <x v="1"/>
    <m/>
    <n v="9"/>
    <n v="9"/>
    <s v="Leguminosae"/>
    <s v="Zygia cognata"/>
    <s v="Cacao che"/>
    <m/>
    <m/>
    <m/>
    <n v="1"/>
    <e v="#REF!"/>
    <m/>
    <m/>
    <x v="0"/>
    <x v="3"/>
    <x v="0"/>
    <m/>
    <m/>
    <m/>
  </r>
  <r>
    <n v="5"/>
    <x v="0"/>
    <n v="1"/>
    <n v="10"/>
    <n v="11"/>
    <s v="Lauraceae"/>
    <s v="Nectandra coriacea"/>
    <s v="Aguacatillo"/>
    <n v="17"/>
    <n v="5.4112680651244416"/>
    <n v="4"/>
    <n v="8"/>
    <m/>
    <s v="C"/>
    <s v="S"/>
    <x v="0"/>
    <x v="0"/>
    <x v="0"/>
    <m/>
    <m/>
    <m/>
  </r>
  <r>
    <n v="2"/>
    <x v="1"/>
    <m/>
    <n v="10"/>
    <n v="10"/>
    <s v="Rubiaceae"/>
    <s v="Randia aculeata"/>
    <s v="Cruceta"/>
    <m/>
    <m/>
    <m/>
    <n v="2.2999999999999998"/>
    <e v="#REF!"/>
    <m/>
    <m/>
    <x v="0"/>
    <x v="3"/>
    <x v="0"/>
    <m/>
    <m/>
    <m/>
  </r>
  <r>
    <n v="2"/>
    <x v="1"/>
    <m/>
    <n v="11"/>
    <n v="11"/>
    <s v="Leguminosae"/>
    <s v="Zygia cognata"/>
    <s v="Cacao che"/>
    <m/>
    <m/>
    <m/>
    <n v="1"/>
    <e v="#REF!"/>
    <m/>
    <m/>
    <x v="0"/>
    <x v="3"/>
    <x v="0"/>
    <m/>
    <m/>
    <m/>
  </r>
  <r>
    <n v="2"/>
    <x v="1"/>
    <m/>
    <n v="12"/>
    <n v="12"/>
    <s v="Sapindaceae"/>
    <s v="Paullinia pinnata"/>
    <s v="Salatxiw"/>
    <m/>
    <m/>
    <m/>
    <n v="1.7"/>
    <e v="#REF!"/>
    <m/>
    <m/>
    <x v="0"/>
    <x v="3"/>
    <x v="0"/>
    <m/>
    <m/>
    <m/>
  </r>
  <r>
    <n v="2"/>
    <x v="1"/>
    <m/>
    <n v="13"/>
    <n v="13"/>
    <s v="Sapindaceae"/>
    <s v="Paullinia pinnata"/>
    <s v="Salatxiw"/>
    <m/>
    <m/>
    <m/>
    <n v="7"/>
    <e v="#REF!"/>
    <m/>
    <m/>
    <x v="0"/>
    <x v="0"/>
    <x v="0"/>
    <m/>
    <m/>
    <m/>
  </r>
  <r>
    <n v="2"/>
    <x v="0"/>
    <n v="4"/>
    <n v="12"/>
    <n v="12"/>
    <s v="Lauraceae"/>
    <s v="Nectandra coriacea"/>
    <s v="Aguacatillo"/>
    <n v="21"/>
    <n v="6.6845076098596046"/>
    <n v="4"/>
    <n v="9"/>
    <m/>
    <s v="C"/>
    <s v="S"/>
    <x v="0"/>
    <x v="1"/>
    <x v="0"/>
    <m/>
    <m/>
    <m/>
  </r>
  <r>
    <n v="2"/>
    <x v="1"/>
    <m/>
    <n v="14"/>
    <n v="14"/>
    <s v="Myrtaceae"/>
    <s v="Myrcianthes fragrans"/>
    <s v="Guayabillo"/>
    <m/>
    <m/>
    <m/>
    <n v="0.6"/>
    <e v="#REF!"/>
    <m/>
    <m/>
    <x v="0"/>
    <x v="3"/>
    <x v="0"/>
    <m/>
    <m/>
    <m/>
  </r>
  <r>
    <n v="2"/>
    <x v="1"/>
    <m/>
    <n v="15"/>
    <n v="15"/>
    <s v="Myrtaceae"/>
    <s v="Myrcianthes fragrans"/>
    <s v="Guayabillo"/>
    <m/>
    <m/>
    <m/>
    <n v="0.4"/>
    <e v="#REF!"/>
    <m/>
    <m/>
    <x v="0"/>
    <x v="3"/>
    <x v="0"/>
    <m/>
    <m/>
    <m/>
  </r>
  <r>
    <n v="2"/>
    <x v="1"/>
    <m/>
    <n v="16"/>
    <n v="16"/>
    <s v="Myrtaceae"/>
    <s v="Myrcianthes fragrans"/>
    <s v="Guayabillo"/>
    <m/>
    <m/>
    <m/>
    <n v="0.15"/>
    <e v="#REF!"/>
    <m/>
    <m/>
    <x v="0"/>
    <x v="3"/>
    <x v="0"/>
    <m/>
    <m/>
    <m/>
  </r>
  <r>
    <n v="2"/>
    <x v="1"/>
    <m/>
    <n v="17"/>
    <n v="17"/>
    <s v="Myrtaceae"/>
    <s v="Myrcianthes fragrans"/>
    <s v="Guayabillo"/>
    <m/>
    <m/>
    <m/>
    <n v="0.4"/>
    <e v="#REF!"/>
    <m/>
    <m/>
    <x v="0"/>
    <x v="3"/>
    <x v="0"/>
    <m/>
    <m/>
    <m/>
  </r>
  <r>
    <n v="2"/>
    <x v="1"/>
    <m/>
    <n v="18"/>
    <n v="18"/>
    <s v="Polygonaceae"/>
    <s v="Coccoloba spicata"/>
    <s v="Boob"/>
    <m/>
    <m/>
    <m/>
    <n v="0.6"/>
    <e v="#REF!"/>
    <m/>
    <m/>
    <x v="0"/>
    <x v="3"/>
    <x v="0"/>
    <m/>
    <m/>
    <m/>
  </r>
  <r>
    <n v="2"/>
    <x v="1"/>
    <m/>
    <n v="19"/>
    <n v="19"/>
    <s v="Lauraceae"/>
    <s v="Nectandra coriacea"/>
    <s v="Aguacatillo"/>
    <m/>
    <m/>
    <m/>
    <n v="0.6"/>
    <e v="#REF!"/>
    <m/>
    <m/>
    <x v="0"/>
    <x v="3"/>
    <x v="0"/>
    <m/>
    <m/>
    <m/>
  </r>
  <r>
    <n v="1"/>
    <x v="0"/>
    <n v="3"/>
    <n v="14"/>
    <n v="14"/>
    <s v="Lauraceae"/>
    <s v="Nectandra coriacea"/>
    <s v="Aguacatillo"/>
    <n v="18"/>
    <n v="5.7295779513082321"/>
    <n v="1.5"/>
    <n v="5"/>
    <m/>
    <s v="C"/>
    <s v="S"/>
    <x v="0"/>
    <x v="2"/>
    <x v="0"/>
    <m/>
    <m/>
    <m/>
  </r>
  <r>
    <n v="2"/>
    <x v="1"/>
    <m/>
    <n v="20"/>
    <n v="20"/>
    <s v="Lauraceae"/>
    <s v="Nectandra coriacea"/>
    <s v="Aguacatillo"/>
    <m/>
    <m/>
    <m/>
    <n v="0.4"/>
    <e v="#REF!"/>
    <m/>
    <m/>
    <x v="0"/>
    <x v="3"/>
    <x v="0"/>
    <m/>
    <m/>
    <m/>
  </r>
  <r>
    <n v="2"/>
    <x v="1"/>
    <m/>
    <n v="21"/>
    <n v="21"/>
    <s v="Lauraceae"/>
    <s v="Nectandra coriacea"/>
    <s v="Aguacatillo"/>
    <m/>
    <m/>
    <m/>
    <n v="0.3"/>
    <e v="#REF!"/>
    <m/>
    <m/>
    <x v="0"/>
    <x v="3"/>
    <x v="0"/>
    <m/>
    <m/>
    <m/>
  </r>
  <r>
    <n v="2"/>
    <x v="1"/>
    <m/>
    <n v="22"/>
    <n v="22"/>
    <s v="Rubiaceae"/>
    <s v="Chiococca alba (L.) Hitchc. "/>
    <s v="ka’an chak che"/>
    <m/>
    <m/>
    <m/>
    <n v="13"/>
    <e v="#REF!"/>
    <m/>
    <m/>
    <x v="0"/>
    <x v="4"/>
    <x v="0"/>
    <m/>
    <m/>
    <m/>
  </r>
  <r>
    <n v="3"/>
    <x v="1"/>
    <m/>
    <n v="1"/>
    <n v="1"/>
    <s v="Lauraceae"/>
    <s v="Nectandra coriacea"/>
    <s v="Aguacatillo"/>
    <m/>
    <m/>
    <m/>
    <n v="8"/>
    <e v="#REF!"/>
    <m/>
    <s v="S"/>
    <x v="0"/>
    <x v="0"/>
    <x v="0"/>
    <m/>
    <m/>
    <m/>
  </r>
  <r>
    <n v="10"/>
    <x v="0"/>
    <n v="1"/>
    <n v="15"/>
    <n v="15"/>
    <s v="Lauraceae"/>
    <s v="Nectandra coriacea"/>
    <s v="Aguacatillo"/>
    <n v="26.5"/>
    <n v="8.4352119838704525"/>
    <n v="6"/>
    <n v="12"/>
    <m/>
    <s v="C"/>
    <s v="S"/>
    <x v="0"/>
    <x v="4"/>
    <x v="1"/>
    <m/>
    <m/>
    <m/>
  </r>
  <r>
    <n v="3"/>
    <x v="1"/>
    <m/>
    <n v="2"/>
    <n v="2"/>
    <s v="Lauraceae"/>
    <s v="Nectandra coriacea"/>
    <s v="Aguacatillo"/>
    <m/>
    <m/>
    <m/>
    <n v="8"/>
    <e v="#REF!"/>
    <m/>
    <s v="S"/>
    <x v="0"/>
    <x v="0"/>
    <x v="0"/>
    <m/>
    <m/>
    <m/>
  </r>
  <r>
    <n v="3"/>
    <x v="1"/>
    <m/>
    <n v="3"/>
    <n v="3"/>
    <s v="Annonaceae"/>
    <s v="Mosannona depressa"/>
    <s v="Ek elemuy"/>
    <m/>
    <m/>
    <m/>
    <n v="3.5"/>
    <e v="#REF!"/>
    <m/>
    <s v="S"/>
    <x v="0"/>
    <x v="3"/>
    <x v="0"/>
    <m/>
    <m/>
    <m/>
  </r>
  <r>
    <n v="3"/>
    <x v="1"/>
    <m/>
    <n v="4"/>
    <n v="4"/>
    <s v="Rubiaceae"/>
    <s v="Guettarda combsii "/>
    <s v="Tasta'ab"/>
    <m/>
    <m/>
    <m/>
    <n v="3.5"/>
    <e v="#REF!"/>
    <m/>
    <s v="S"/>
    <x v="0"/>
    <x v="3"/>
    <x v="0"/>
    <m/>
    <m/>
    <m/>
  </r>
  <r>
    <n v="3"/>
    <x v="0"/>
    <n v="4"/>
    <n v="16"/>
    <n v="16"/>
    <s v="Lauraceae"/>
    <s v="Nectandra coriacea"/>
    <s v="Aguacatillo"/>
    <n v="17.5"/>
    <n v="5.5704230082163368"/>
    <n v="3.5"/>
    <n v="9"/>
    <m/>
    <s v="C"/>
    <s v="S"/>
    <x v="0"/>
    <x v="1"/>
    <x v="0"/>
    <m/>
    <m/>
    <m/>
  </r>
  <r>
    <n v="3"/>
    <x v="1"/>
    <m/>
    <n v="5"/>
    <n v="5"/>
    <s v="Lauraceae"/>
    <s v="Nectandra coriacea"/>
    <s v="Aguacatillo"/>
    <m/>
    <m/>
    <m/>
    <n v="5"/>
    <e v="#REF!"/>
    <m/>
    <s v="S"/>
    <x v="0"/>
    <x v="2"/>
    <x v="0"/>
    <m/>
    <m/>
    <m/>
  </r>
  <r>
    <n v="3"/>
    <x v="1"/>
    <m/>
    <n v="6"/>
    <n v="6"/>
    <s v="Lauraceae"/>
    <s v="Nectandra coriacea"/>
    <s v="Aguacatillo"/>
    <m/>
    <m/>
    <m/>
    <n v="4"/>
    <e v="#REF!"/>
    <m/>
    <s v="S"/>
    <x v="0"/>
    <x v="2"/>
    <x v="0"/>
    <m/>
    <m/>
    <m/>
  </r>
  <r>
    <n v="3"/>
    <x v="1"/>
    <m/>
    <n v="7"/>
    <n v="7"/>
    <s v="Myrtaceae"/>
    <s v="Eugenia axillaris "/>
    <s v="Granada cimarrona"/>
    <m/>
    <m/>
    <m/>
    <n v="0.6"/>
    <e v="#REF!"/>
    <m/>
    <s v="S"/>
    <x v="0"/>
    <x v="3"/>
    <x v="0"/>
    <m/>
    <m/>
    <m/>
  </r>
  <r>
    <n v="3"/>
    <x v="1"/>
    <m/>
    <n v="8"/>
    <n v="8"/>
    <s v="Primulaceae"/>
    <s v="Ardisia escallonioides"/>
    <s v="Pimienta de monte"/>
    <m/>
    <m/>
    <m/>
    <n v="0.15"/>
    <e v="#REF!"/>
    <m/>
    <s v="S"/>
    <x v="0"/>
    <x v="3"/>
    <x v="0"/>
    <m/>
    <m/>
    <m/>
  </r>
  <r>
    <n v="3"/>
    <x v="1"/>
    <m/>
    <n v="9"/>
    <n v="9"/>
    <s v="Myrtaceae"/>
    <s v="Myrcianthes fragrans"/>
    <s v="Guayabillo"/>
    <m/>
    <m/>
    <m/>
    <n v="0.8"/>
    <e v="#REF!"/>
    <m/>
    <s v="S"/>
    <x v="0"/>
    <x v="3"/>
    <x v="0"/>
    <m/>
    <m/>
    <m/>
  </r>
  <r>
    <n v="3"/>
    <x v="1"/>
    <m/>
    <n v="10"/>
    <n v="10"/>
    <s v="Lauraceae"/>
    <s v="Nectandra coriacea"/>
    <s v="Aguacatillo"/>
    <m/>
    <m/>
    <m/>
    <n v="0.2"/>
    <e v="#REF!"/>
    <m/>
    <s v="S"/>
    <x v="0"/>
    <x v="3"/>
    <x v="0"/>
    <m/>
    <m/>
    <m/>
  </r>
  <r>
    <n v="1"/>
    <x v="0"/>
    <n v="3"/>
    <n v="19"/>
    <n v="19"/>
    <s v="Lauraceae"/>
    <s v="Nectandra coriacea"/>
    <s v="Aguacatillo"/>
    <n v="24"/>
    <n v="7.6394372684109761"/>
    <n v="6"/>
    <n v="10"/>
    <m/>
    <s v="C"/>
    <s v="S"/>
    <x v="0"/>
    <x v="1"/>
    <x v="1"/>
    <m/>
    <m/>
    <m/>
  </r>
  <r>
    <n v="9"/>
    <x v="0"/>
    <n v="2"/>
    <n v="19"/>
    <n v="19"/>
    <s v="Lauraceae"/>
    <s v="Nectandra coriacea"/>
    <s v="Aguacatillo"/>
    <n v="20.5"/>
    <n v="6.5253526667677093"/>
    <n v="3.5"/>
    <n v="8"/>
    <m/>
    <s v="C"/>
    <s v="S"/>
    <x v="0"/>
    <x v="0"/>
    <x v="0"/>
    <m/>
    <m/>
    <m/>
  </r>
  <r>
    <n v="3"/>
    <x v="1"/>
    <m/>
    <n v="11"/>
    <n v="11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2"/>
    <n v="12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3"/>
    <n v="13"/>
    <s v="Lauraceae"/>
    <s v="Nectandra coriacea"/>
    <s v="Aguacatillo"/>
    <m/>
    <m/>
    <m/>
    <n v="0.2"/>
    <e v="#REF!"/>
    <m/>
    <s v="S"/>
    <x v="0"/>
    <x v="3"/>
    <x v="0"/>
    <m/>
    <m/>
    <m/>
  </r>
  <r>
    <n v="4"/>
    <x v="2"/>
    <n v="2"/>
    <n v="19"/>
    <n v="20"/>
    <s v="Lauraceae"/>
    <s v="Nectandra coriacea"/>
    <s v="Aguacatillo"/>
    <n v="31.5"/>
    <n v="10.026761414789407"/>
    <n v="6"/>
    <n v="9"/>
    <m/>
    <s v="C"/>
    <s v="S"/>
    <x v="0"/>
    <x v="1"/>
    <x v="1"/>
    <n v="9"/>
    <s v="Vol = Exp(-9.45811109+1.82568462*LN(DIAMETRO)+1.00281859*LN(ALTURATOTAL))"/>
    <n v="4.7547789333731237E-2"/>
  </r>
  <r>
    <n v="8"/>
    <x v="2"/>
    <n v="2"/>
    <n v="18"/>
    <n v="20"/>
    <s v="Lauraceae"/>
    <s v="Nectandra coriacea"/>
    <s v="Aguacatillo"/>
    <n v="34"/>
    <n v="10.822536130248883"/>
    <n v="4"/>
    <n v="12"/>
    <m/>
    <s v="C"/>
    <s v="S"/>
    <x v="0"/>
    <x v="4"/>
    <x v="1"/>
    <n v="9"/>
    <s v="Vol = Exp(-9.45811109+1.82568462*LN(DIAMETRO)+1.00281859*LN(ALTURATOTAL))"/>
    <n v="7.2941751612467562E-2"/>
  </r>
  <r>
    <n v="12"/>
    <x v="0"/>
    <n v="2"/>
    <n v="15"/>
    <n v="20"/>
    <s v="Lauraceae"/>
    <s v="Nectandra coriacea"/>
    <s v="Aguacatillo"/>
    <n v="17.5"/>
    <n v="5.5704230082163368"/>
    <n v="6"/>
    <n v="9"/>
    <m/>
    <s v="C"/>
    <s v="S"/>
    <x v="0"/>
    <x v="1"/>
    <x v="0"/>
    <m/>
    <m/>
    <m/>
  </r>
  <r>
    <n v="3"/>
    <x v="1"/>
    <m/>
    <n v="14"/>
    <n v="14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5"/>
    <n v="15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16"/>
    <n v="16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17"/>
    <n v="17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18"/>
    <n v="18"/>
    <s v="Lauraceae"/>
    <s v="Nectandra coriacea"/>
    <s v="Aguacatillo"/>
    <m/>
    <m/>
    <m/>
    <n v="0.15"/>
    <e v="#REF!"/>
    <m/>
    <s v="S"/>
    <x v="0"/>
    <x v="3"/>
    <x v="0"/>
    <m/>
    <m/>
    <m/>
  </r>
  <r>
    <n v="6"/>
    <x v="0"/>
    <n v="3"/>
    <n v="19"/>
    <n v="22"/>
    <s v="Lauraceae"/>
    <s v="Nectandra coriacea"/>
    <s v="Aguacatillo"/>
    <n v="23.5"/>
    <n v="7.4802823253190809"/>
    <n v="3"/>
    <n v="8"/>
    <m/>
    <s v="C"/>
    <s v="S"/>
    <x v="0"/>
    <x v="0"/>
    <x v="0"/>
    <m/>
    <m/>
    <m/>
  </r>
  <r>
    <n v="3"/>
    <x v="1"/>
    <m/>
    <n v="19"/>
    <n v="19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20"/>
    <n v="20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21"/>
    <n v="21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22"/>
    <n v="22"/>
    <s v="Lauraceae"/>
    <s v="Nectandra coriacea"/>
    <s v="Aguacatillo"/>
    <m/>
    <m/>
    <m/>
    <n v="0.2"/>
    <e v="#REF!"/>
    <m/>
    <s v="S"/>
    <x v="0"/>
    <x v="3"/>
    <x v="0"/>
    <m/>
    <m/>
    <m/>
  </r>
  <r>
    <n v="3"/>
    <x v="1"/>
    <m/>
    <n v="23"/>
    <n v="23"/>
    <s v="Lauraceae"/>
    <s v="Nectandra coriacea"/>
    <s v="Aguacatillo"/>
    <m/>
    <m/>
    <m/>
    <n v="0.2"/>
    <e v="#REF!"/>
    <m/>
    <s v="S"/>
    <x v="0"/>
    <x v="3"/>
    <x v="0"/>
    <m/>
    <m/>
    <m/>
  </r>
  <r>
    <n v="1"/>
    <x v="0"/>
    <n v="4"/>
    <n v="26"/>
    <n v="26"/>
    <s v="Lauraceae"/>
    <s v="Nectandra coriacea"/>
    <s v="Aguacatillo"/>
    <n v="22"/>
    <n v="7.0028174960433951"/>
    <n v="7"/>
    <n v="10"/>
    <m/>
    <s v="C"/>
    <s v="S"/>
    <x v="0"/>
    <x v="1"/>
    <x v="0"/>
    <m/>
    <m/>
    <m/>
  </r>
  <r>
    <n v="6"/>
    <x v="0"/>
    <n v="4"/>
    <n v="23"/>
    <n v="26"/>
    <s v="Lauraceae"/>
    <s v="Nectandra coriacea"/>
    <s v="Aguacatillo"/>
    <n v="19"/>
    <n v="6.0478878374920226"/>
    <n v="4"/>
    <n v="10"/>
    <m/>
    <s v="C"/>
    <s v="S"/>
    <x v="0"/>
    <x v="1"/>
    <x v="0"/>
    <m/>
    <m/>
    <m/>
  </r>
  <r>
    <n v="3"/>
    <x v="1"/>
    <m/>
    <n v="24"/>
    <n v="24"/>
    <s v="Lauraceae"/>
    <s v="Nectandra coriacea"/>
    <s v="Aguacatillo"/>
    <m/>
    <m/>
    <m/>
    <n v="0.15"/>
    <e v="#REF!"/>
    <m/>
    <s v="S"/>
    <x v="0"/>
    <x v="3"/>
    <x v="0"/>
    <m/>
    <m/>
    <m/>
  </r>
  <r>
    <n v="3"/>
    <x v="1"/>
    <m/>
    <n v="25"/>
    <n v="25"/>
    <s v="Lauraceae"/>
    <s v="Nectandra coriacea"/>
    <s v="Aguacatillo"/>
    <m/>
    <m/>
    <m/>
    <n v="0.15"/>
    <e v="#REF!"/>
    <m/>
    <s v="S"/>
    <x v="0"/>
    <x v="3"/>
    <x v="0"/>
    <m/>
    <m/>
    <m/>
  </r>
  <r>
    <n v="6"/>
    <x v="0"/>
    <n v="4"/>
    <n v="24"/>
    <n v="27"/>
    <s v="Lauraceae"/>
    <s v="Nectandra coriacea"/>
    <s v="Aguacatillo"/>
    <n v="17.5"/>
    <n v="5.5704230082163368"/>
    <n v="4.5"/>
    <n v="9"/>
    <m/>
    <s v="C"/>
    <s v="S"/>
    <x v="0"/>
    <x v="1"/>
    <x v="0"/>
    <m/>
    <m/>
    <m/>
  </r>
  <r>
    <n v="3"/>
    <x v="1"/>
    <m/>
    <n v="26"/>
    <n v="26"/>
    <s v="Lauraceae"/>
    <s v="Nectandra coriacea"/>
    <s v="Aguacatillo"/>
    <m/>
    <m/>
    <m/>
    <n v="0.15"/>
    <e v="#REF!"/>
    <m/>
    <s v="S"/>
    <x v="0"/>
    <x v="3"/>
    <x v="0"/>
    <m/>
    <m/>
    <m/>
  </r>
  <r>
    <n v="6"/>
    <x v="0"/>
    <n v="4"/>
    <n v="26"/>
    <n v="29"/>
    <s v="Lauraceae"/>
    <s v="Nectandra coriacea"/>
    <s v="Aguacatillo"/>
    <n v="20.5"/>
    <n v="6.5253526667677093"/>
    <n v="5"/>
    <n v="9"/>
    <m/>
    <s v="C"/>
    <s v="S"/>
    <x v="0"/>
    <x v="1"/>
    <x v="0"/>
    <m/>
    <m/>
    <m/>
  </r>
  <r>
    <n v="10"/>
    <x v="0"/>
    <n v="3"/>
    <n v="33"/>
    <n v="33"/>
    <s v="Lauraceae"/>
    <s v="Nectandra coriacea"/>
    <s v="Aguacatillo"/>
    <n v="19"/>
    <n v="6.0478878374920226"/>
    <n v="5"/>
    <n v="11"/>
    <m/>
    <s v="C"/>
    <s v="S"/>
    <x v="0"/>
    <x v="1"/>
    <x v="0"/>
    <m/>
    <m/>
    <m/>
  </r>
  <r>
    <n v="11"/>
    <x v="0"/>
    <n v="3"/>
    <n v="35"/>
    <n v="35"/>
    <s v="Lauraceae"/>
    <s v="Nectandra coriacea"/>
    <s v="Aguacatillo"/>
    <n v="19.5"/>
    <n v="6.2070427805839179"/>
    <n v="3"/>
    <n v="8"/>
    <m/>
    <s v="C"/>
    <s v="S"/>
    <x v="0"/>
    <x v="0"/>
    <x v="0"/>
    <m/>
    <m/>
    <m/>
  </r>
  <r>
    <n v="12"/>
    <x v="0"/>
    <n v="4"/>
    <n v="25"/>
    <n v="37"/>
    <s v="Lauraceae"/>
    <s v="Nectandra coriacea"/>
    <s v="Aguacatillo"/>
    <n v="16.5"/>
    <n v="5.2521131220325463"/>
    <n v="2"/>
    <n v="7"/>
    <m/>
    <s v="C"/>
    <s v="S"/>
    <x v="0"/>
    <x v="0"/>
    <x v="0"/>
    <m/>
    <m/>
    <m/>
  </r>
  <r>
    <n v="11"/>
    <x v="0"/>
    <n v="4"/>
    <n v="38"/>
    <n v="38"/>
    <s v="Lauraceae"/>
    <s v="Nectandra coriacea"/>
    <s v="Aguacatillo"/>
    <n v="20.5"/>
    <n v="6.5253526667677093"/>
    <n v="7"/>
    <n v="10"/>
    <m/>
    <s v="C"/>
    <s v="S"/>
    <x v="0"/>
    <x v="1"/>
    <x v="0"/>
    <m/>
    <m/>
    <m/>
  </r>
  <r>
    <n v="10"/>
    <x v="0"/>
    <n v="4"/>
    <n v="39"/>
    <n v="39"/>
    <s v="Lauraceae"/>
    <s v="Nectandra coriacea"/>
    <s v="Aguacatillo"/>
    <n v="26.5"/>
    <n v="8.4352119838704525"/>
    <n v="2.5"/>
    <n v="11"/>
    <m/>
    <s v="C"/>
    <s v="S"/>
    <x v="0"/>
    <x v="1"/>
    <x v="1"/>
    <m/>
    <m/>
    <m/>
  </r>
  <r>
    <n v="7"/>
    <x v="2"/>
    <n v="4"/>
    <n v="40"/>
    <n v="43"/>
    <s v="Lauraceae"/>
    <s v="Nectandra coriacea"/>
    <s v="Aguacatillo"/>
    <n v="33"/>
    <n v="10.504226244065093"/>
    <n v="4"/>
    <n v="10"/>
    <m/>
    <s v="C"/>
    <s v="S"/>
    <x v="0"/>
    <x v="1"/>
    <x v="1"/>
    <n v="9"/>
    <s v="Vol = Exp(-9.45811109+1.82568462*LN(DIAMETRO)+1.00281859*LN(ALTURATOTAL))"/>
    <n v="5.753098414258366E-2"/>
  </r>
  <r>
    <n v="9"/>
    <x v="0"/>
    <n v="4"/>
    <n v="43"/>
    <n v="43"/>
    <s v="Lauraceae"/>
    <s v="Nectandra coriacea"/>
    <s v="Aguacatillo"/>
    <n v="18"/>
    <n v="5.7295779513082321"/>
    <n v="4.5"/>
    <n v="9"/>
    <m/>
    <s v="C"/>
    <s v="S"/>
    <x v="0"/>
    <x v="1"/>
    <x v="0"/>
    <m/>
    <m/>
    <m/>
  </r>
  <r>
    <n v="7"/>
    <x v="2"/>
    <n v="4"/>
    <n v="41"/>
    <n v="44"/>
    <s v="Lauraceae"/>
    <s v="Nectandra coriacea"/>
    <s v="Aguacatillo"/>
    <n v="33"/>
    <n v="10.504226244065093"/>
    <n v="4"/>
    <n v="14"/>
    <m/>
    <s v="C"/>
    <s v="S"/>
    <x v="0"/>
    <x v="5"/>
    <x v="1"/>
    <n v="9"/>
    <s v="Vol = Exp(-9.45811109+1.82568462*LN(DIAMETRO)+1.00281859*LN(ALTURATOTAL))"/>
    <n v="8.0619799541885084E-2"/>
  </r>
  <r>
    <n v="9"/>
    <x v="0"/>
    <n v="4"/>
    <n v="44"/>
    <n v="44"/>
    <s v="Lauraceae"/>
    <s v="Nectandra coriacea"/>
    <s v="Aguacatillo"/>
    <n v="18.5"/>
    <n v="5.8887328944001274"/>
    <n v="5"/>
    <n v="5"/>
    <m/>
    <s v="C"/>
    <s v="S"/>
    <x v="0"/>
    <x v="2"/>
    <x v="0"/>
    <m/>
    <m/>
    <m/>
  </r>
  <r>
    <n v="12"/>
    <x v="0"/>
    <n v="4"/>
    <n v="34"/>
    <n v="51"/>
    <s v="Lauraceae"/>
    <s v="Nectandra coriacea"/>
    <s v="Aguacatillo"/>
    <n v="18"/>
    <n v="5.7295779513082321"/>
    <n v="3"/>
    <n v="9"/>
    <m/>
    <s v="C"/>
    <s v="S"/>
    <x v="0"/>
    <x v="1"/>
    <x v="0"/>
    <m/>
    <m/>
    <m/>
  </r>
  <r>
    <n v="3"/>
    <x v="1"/>
    <m/>
    <n v="27"/>
    <n v="27"/>
    <s v="Lauraceae"/>
    <s v="Nectandra coriacea"/>
    <s v="Aguacatillo"/>
    <m/>
    <m/>
    <m/>
    <n v="0.15"/>
    <e v="#REF!"/>
    <m/>
    <s v="S"/>
    <x v="0"/>
    <x v="3"/>
    <x v="0"/>
    <m/>
    <m/>
    <m/>
  </r>
  <r>
    <n v="4"/>
    <x v="0"/>
    <n v="1"/>
    <n v="7"/>
    <n v="8"/>
    <s v="Leguminosae"/>
    <s v="Dalbergia glabra"/>
    <s v="Ahmuk "/>
    <n v="16.5"/>
    <n v="5.2521131220325463"/>
    <n v="1.8"/>
    <n v="10"/>
    <m/>
    <s v="C"/>
    <s v="S"/>
    <x v="0"/>
    <x v="1"/>
    <x v="0"/>
    <m/>
    <m/>
    <m/>
  </r>
  <r>
    <n v="3"/>
    <x v="1"/>
    <m/>
    <n v="28"/>
    <n v="28"/>
    <s v="Sapindaceae"/>
    <s v="Serjania goniocarpa"/>
    <s v="Bejuco tres lomos"/>
    <m/>
    <m/>
    <m/>
    <n v="4"/>
    <e v="#REF!"/>
    <m/>
    <s v="S"/>
    <x v="0"/>
    <x v="2"/>
    <x v="0"/>
    <m/>
    <m/>
    <m/>
  </r>
  <r>
    <n v="3"/>
    <x v="1"/>
    <m/>
    <n v="29"/>
    <n v="29"/>
    <s v="Sapotaceae"/>
    <s v="Manilkara zapota "/>
    <s v="Chicozapote"/>
    <m/>
    <m/>
    <m/>
    <n v="1.7"/>
    <e v="#REF!"/>
    <m/>
    <s v="S"/>
    <x v="0"/>
    <x v="3"/>
    <x v="0"/>
    <m/>
    <m/>
    <m/>
  </r>
  <r>
    <n v="1"/>
    <x v="0"/>
    <n v="1"/>
    <n v="6"/>
    <n v="6"/>
    <s v="Apocynaceae"/>
    <s v="Cascabela gaumeri"/>
    <s v="Akits"/>
    <n v="23"/>
    <n v="7.3211273822271856"/>
    <n v="5"/>
    <n v="10"/>
    <m/>
    <s v="C"/>
    <s v="S"/>
    <x v="0"/>
    <x v="1"/>
    <x v="0"/>
    <m/>
    <m/>
    <m/>
  </r>
  <r>
    <n v="7"/>
    <x v="2"/>
    <n v="2"/>
    <n v="9"/>
    <n v="12"/>
    <s v="Apocynaceae"/>
    <s v="Cascabela gaumeri"/>
    <s v="Akits"/>
    <n v="37"/>
    <n v="11.777465788800255"/>
    <n v="3"/>
    <n v="10"/>
    <m/>
    <s v="C"/>
    <s v="S"/>
    <x v="0"/>
    <x v="1"/>
    <x v="1"/>
    <n v="17"/>
    <s v="Vol = Exp(-9.52375084+1.81551953*LN(DIAMETRO)+1.03039019*LN(ALTURATOTAL))"/>
    <n v="6.8991137736137118E-2"/>
  </r>
  <r>
    <n v="4"/>
    <x v="0"/>
    <n v="2"/>
    <n v="15"/>
    <n v="16"/>
    <s v="Apocynaceae"/>
    <s v="Cascabela gaumeri"/>
    <s v="Akits"/>
    <n v="21.5"/>
    <n v="6.8436625529514998"/>
    <n v="10"/>
    <n v="12"/>
    <m/>
    <s v="C"/>
    <s v="S"/>
    <x v="0"/>
    <x v="4"/>
    <x v="0"/>
    <m/>
    <m/>
    <m/>
  </r>
  <r>
    <n v="6"/>
    <x v="0"/>
    <n v="3"/>
    <n v="17"/>
    <n v="20"/>
    <s v="Apocynaceae"/>
    <s v="Cascabela gaumeri"/>
    <s v="Akits"/>
    <n v="19.5"/>
    <n v="6.2070427805839179"/>
    <n v="3"/>
    <n v="8"/>
    <m/>
    <s v="C"/>
    <s v="S"/>
    <x v="0"/>
    <x v="0"/>
    <x v="0"/>
    <m/>
    <m/>
    <m/>
  </r>
  <r>
    <n v="6"/>
    <x v="0"/>
    <n v="4"/>
    <n v="22"/>
    <n v="25"/>
    <s v="Apocynaceae"/>
    <s v="Cascabela gaumeri"/>
    <s v="Akits"/>
    <n v="22.5"/>
    <n v="7.1619724391352904"/>
    <n v="2"/>
    <n v="9"/>
    <m/>
    <s v="C"/>
    <s v="S"/>
    <x v="0"/>
    <x v="1"/>
    <x v="0"/>
    <m/>
    <m/>
    <m/>
  </r>
  <r>
    <n v="11"/>
    <x v="0"/>
    <n v="4"/>
    <n v="39"/>
    <n v="39"/>
    <s v="Apocynaceae"/>
    <s v="Cascabela gaumeri"/>
    <s v="Akits"/>
    <n v="17.5"/>
    <n v="5.5704230082163368"/>
    <n v="2.5"/>
    <n v="7"/>
    <m/>
    <s v="C"/>
    <s v="S"/>
    <x v="0"/>
    <x v="0"/>
    <x v="0"/>
    <m/>
    <m/>
    <m/>
  </r>
  <r>
    <n v="6"/>
    <x v="2"/>
    <n v="2"/>
    <n v="4"/>
    <n v="5"/>
    <s v="Moraceae"/>
    <s v="Ficus maxima"/>
    <s v="Akúun"/>
    <n v="34"/>
    <n v="10.822536130248883"/>
    <n v="3"/>
    <n v="10"/>
    <m/>
    <s v="C"/>
    <s v="S"/>
    <x v="0"/>
    <x v="1"/>
    <x v="1"/>
    <n v="17"/>
    <s v="Vol = Exp(-9.52375084+1.81551953*LN(DIAMETRO)+1.03039019*LN(ALTURATOTAL))"/>
    <n v="5.9172829084870877E-2"/>
  </r>
  <r>
    <n v="6"/>
    <x v="2"/>
    <n v="1"/>
    <n v="2"/>
    <n v="2"/>
    <s v="Moraceae"/>
    <s v="Ficus cotinifolia"/>
    <s v="Álamo"/>
    <n v="48.5"/>
    <n v="15.438029479913848"/>
    <n v="4.5"/>
    <n v="9"/>
    <m/>
    <s v="C"/>
    <s v="S"/>
    <x v="0"/>
    <x v="1"/>
    <x v="2"/>
    <n v="6"/>
    <s v="Vol = Exp(-9.75894522+1.90722681*LN(DIAMETRO)+1.01257027*LN(ALTURATOTAL))"/>
    <n v="9.8831596293402643E-2"/>
  </r>
  <r>
    <n v="4"/>
    <x v="2"/>
    <n v="1"/>
    <n v="3"/>
    <n v="3"/>
    <s v="Moraceae"/>
    <s v="Ficus cotinifolia"/>
    <s v="Álamo"/>
    <n v="85"/>
    <n v="27.056340325622209"/>
    <n v="1.5"/>
    <n v="12"/>
    <m/>
    <s v="C"/>
    <s v="S"/>
    <x v="0"/>
    <x v="4"/>
    <x v="3"/>
    <n v="6"/>
    <s v="Vol = Exp(-9.75894522+1.90722681*LN(DIAMETRO)+1.01257027*LN(ALTURATOTAL))"/>
    <n v="0.38561393926958815"/>
  </r>
  <r>
    <n v="10"/>
    <x v="0"/>
    <n v="1"/>
    <n v="3"/>
    <n v="3"/>
    <s v="Moraceae"/>
    <s v="Ficus cotinifolia"/>
    <s v="Álamo"/>
    <n v="17"/>
    <n v="5.4112680651244416"/>
    <n v="4.5"/>
    <n v="7"/>
    <m/>
    <s v="C"/>
    <s v="S"/>
    <x v="0"/>
    <x v="0"/>
    <x v="0"/>
    <m/>
    <m/>
    <m/>
  </r>
  <r>
    <n v="12"/>
    <x v="0"/>
    <n v="1"/>
    <n v="5"/>
    <n v="6"/>
    <s v="Moraceae"/>
    <s v="Ficus cotinifolia"/>
    <s v="Álamo"/>
    <n v="16.5"/>
    <n v="5.2521131220325463"/>
    <n v="3"/>
    <n v="7"/>
    <m/>
    <s v="C"/>
    <s v="S"/>
    <x v="0"/>
    <x v="0"/>
    <x v="0"/>
    <m/>
    <m/>
    <m/>
  </r>
  <r>
    <n v="4"/>
    <x v="2"/>
    <n v="1"/>
    <n v="9"/>
    <n v="9"/>
    <s v="Moraceae"/>
    <s v="Ficus cotinifolia"/>
    <s v="Álamo"/>
    <n v="64.5"/>
    <n v="20.5309876588545"/>
    <n v="8"/>
    <n v="12"/>
    <m/>
    <s v="C"/>
    <s v="S"/>
    <x v="0"/>
    <x v="4"/>
    <x v="4"/>
    <n v="6"/>
    <s v="Vol = Exp(-9.75894522+1.90722681*LN(DIAMETRO)+1.01257027*LN(ALTURATOTAL))"/>
    <n v="0.2278001594369968"/>
  </r>
  <r>
    <n v="10"/>
    <x v="0"/>
    <n v="1"/>
    <n v="9"/>
    <n v="9"/>
    <s v="Moraceae"/>
    <s v="Ficus cotinifolia"/>
    <s v="Álamo"/>
    <n v="30"/>
    <n v="9.5492965855137211"/>
    <n v="8"/>
    <n v="11"/>
    <m/>
    <s v="C"/>
    <s v="S"/>
    <x v="0"/>
    <x v="1"/>
    <x v="1"/>
    <m/>
    <m/>
    <m/>
  </r>
  <r>
    <n v="7"/>
    <x v="2"/>
    <n v="1"/>
    <n v="7"/>
    <n v="10"/>
    <s v="Moraceae"/>
    <s v="Ficus cotinifolia"/>
    <s v="Álamo"/>
    <n v="69"/>
    <n v="21.963382146681557"/>
    <n v="4"/>
    <n v="14"/>
    <m/>
    <s v="C"/>
    <s v="S"/>
    <x v="0"/>
    <x v="5"/>
    <x v="4"/>
    <n v="6"/>
    <s v="Vol = Exp(-9.75894522+1.90722681*LN(DIAMETRO)+1.01257027*LN(ALTURATOTAL))"/>
    <n v="0.30283344419188174"/>
  </r>
  <r>
    <n v="4"/>
    <x v="2"/>
    <n v="1"/>
    <n v="13"/>
    <n v="13"/>
    <s v="Moraceae"/>
    <s v="Ficus cotinifolia"/>
    <s v="Álamo"/>
    <n v="42"/>
    <n v="13.369015219719209"/>
    <n v="6"/>
    <n v="11"/>
    <m/>
    <s v="C"/>
    <s v="S"/>
    <x v="0"/>
    <x v="1"/>
    <x v="2"/>
    <n v="6"/>
    <s v="Vol = Exp(-9.75894522+1.90722681*LN(DIAMETRO)+1.01257027*LN(ALTURATOTAL))"/>
    <n v="9.2035253807010123E-2"/>
  </r>
  <r>
    <n v="4"/>
    <x v="2"/>
    <n v="1"/>
    <n v="14"/>
    <n v="14"/>
    <s v="Moraceae"/>
    <s v="Ficus cotinifolia"/>
    <s v="Álamo"/>
    <n v="33"/>
    <n v="10.504226244065093"/>
    <n v="7"/>
    <n v="9"/>
    <m/>
    <s v="C"/>
    <s v="S"/>
    <x v="0"/>
    <x v="1"/>
    <x v="1"/>
    <n v="6"/>
    <s v="Vol = Exp(-9.75894522+1.90722681*LN(DIAMETRO)+1.01257027*LN(ALTURATOTAL))"/>
    <n v="4.7419226868973763E-2"/>
  </r>
  <r>
    <n v="9"/>
    <x v="2"/>
    <n v="3"/>
    <n v="15"/>
    <n v="15"/>
    <s v="Moraceae"/>
    <s v="Ficus cotinifolia"/>
    <s v="Álamo"/>
    <n v="32.5"/>
    <n v="10.345071300973197"/>
    <n v="3"/>
    <n v="10"/>
    <m/>
    <s v="C"/>
    <s v="S"/>
    <x v="0"/>
    <x v="1"/>
    <x v="1"/>
    <n v="6"/>
    <s v="Vol = Exp(-9.75894522+1.90722681*LN(DIAMETRO)+1.01257027*LN(ALTURATOTAL))"/>
    <n v="5.1243776178304466E-2"/>
  </r>
  <r>
    <n v="3"/>
    <x v="1"/>
    <m/>
    <n v="30"/>
    <n v="30"/>
    <s v="Sapindaceae"/>
    <s v="Serjania goniocarpa"/>
    <s v="Bejuco tres lomos"/>
    <m/>
    <m/>
    <m/>
    <n v="0.3"/>
    <e v="#REF!"/>
    <m/>
    <s v="S"/>
    <x v="0"/>
    <x v="3"/>
    <x v="0"/>
    <m/>
    <m/>
    <m/>
  </r>
  <r>
    <n v="4"/>
    <x v="1"/>
    <m/>
    <n v="1"/>
    <n v="1"/>
    <s v="Polygonaceae"/>
    <s v="Coccoloba acapulcensis"/>
    <s v="Toyub"/>
    <m/>
    <m/>
    <m/>
    <n v="1.3"/>
    <e v="#REF!"/>
    <m/>
    <m/>
    <x v="0"/>
    <x v="3"/>
    <x v="0"/>
    <m/>
    <m/>
    <m/>
  </r>
  <r>
    <n v="11"/>
    <x v="0"/>
    <n v="2"/>
    <n v="17"/>
    <n v="17"/>
    <s v="Moraceae"/>
    <s v="Ficus cotinifolia"/>
    <s v="Álamo"/>
    <n v="20"/>
    <n v="6.366197723675814"/>
    <n v="6"/>
    <n v="10"/>
    <m/>
    <s v="C"/>
    <s v="S"/>
    <x v="0"/>
    <x v="1"/>
    <x v="0"/>
    <m/>
    <m/>
    <m/>
  </r>
  <r>
    <n v="4"/>
    <x v="2"/>
    <n v="2"/>
    <n v="18"/>
    <n v="18"/>
    <s v="Moraceae"/>
    <s v="Ficus cotinifolia"/>
    <s v="Álamo"/>
    <n v="71"/>
    <n v="22.600001919049138"/>
    <n v="6"/>
    <n v="12"/>
    <m/>
    <s v="CB"/>
    <s v="Sámago"/>
    <x v="0"/>
    <x v="4"/>
    <x v="3"/>
    <n v="6"/>
    <s v="Vol = Exp(-9.75894522+1.90722681*LN(DIAMETRO)+1.01257027*LN(ALTURATOTAL))"/>
    <n v="0.27357901184777428"/>
  </r>
  <r>
    <n v="9"/>
    <x v="2"/>
    <n v="4"/>
    <n v="18"/>
    <n v="18"/>
    <s v="Moraceae"/>
    <s v="Ficus cotinifolia"/>
    <s v="Álamo"/>
    <n v="33.5"/>
    <n v="10.663381187156988"/>
    <n v="6"/>
    <n v="10"/>
    <m/>
    <s v="CB"/>
    <s v="S"/>
    <x v="0"/>
    <x v="1"/>
    <x v="1"/>
    <n v="6"/>
    <s v="Vol = Exp(-9.75894522+1.90722681*LN(DIAMETRO)+1.01257027*LN(ALTURATOTAL))"/>
    <n v="5.4292893590092241E-2"/>
  </r>
  <r>
    <n v="4"/>
    <x v="2"/>
    <n v="2"/>
    <s v="18A"/>
    <n v="19"/>
    <s v="Moraceae"/>
    <s v="Ficus cotinifolia"/>
    <s v="Álamo"/>
    <n v="49"/>
    <n v="15.597184423005743"/>
    <n v="1.8"/>
    <n v="10"/>
    <m/>
    <s v="C"/>
    <s v="S"/>
    <x v="1"/>
    <x v="1"/>
    <x v="2"/>
    <n v="6"/>
    <s v="Vol = Exp(-9.75894522+1.90722681*LN(DIAMETRO)+1.01257027*LN(ALTURATOTAL))"/>
    <n v="0.1121305426632917"/>
  </r>
  <r>
    <n v="9"/>
    <x v="2"/>
    <n v="4"/>
    <s v="18A"/>
    <n v="19"/>
    <s v="Moraceae"/>
    <s v="Ficus cotinifolia"/>
    <s v="Álamo"/>
    <n v="50.5"/>
    <n v="16.074649252281429"/>
    <n v="3"/>
    <n v="12"/>
    <m/>
    <s v="C"/>
    <s v="S"/>
    <x v="1"/>
    <x v="4"/>
    <x v="2"/>
    <n v="6"/>
    <s v="Vol = Exp(-9.75894522+1.90722681*LN(DIAMETRO)+1.01257027*LN(ALTURATOTAL))"/>
    <n v="0.1428486706678897"/>
  </r>
  <r>
    <n v="9"/>
    <x v="0"/>
    <n v="2"/>
    <n v="20"/>
    <n v="20"/>
    <s v="Moraceae"/>
    <s v="Ficus cotinifolia"/>
    <s v="Álamo"/>
    <n v="16"/>
    <n v="5.0929581789406511"/>
    <n v="5"/>
    <n v="8"/>
    <m/>
    <s v="C"/>
    <s v="S"/>
    <x v="0"/>
    <x v="0"/>
    <x v="0"/>
    <m/>
    <m/>
    <m/>
  </r>
  <r>
    <n v="9"/>
    <x v="0"/>
    <n v="2"/>
    <n v="21"/>
    <n v="21"/>
    <s v="Moraceae"/>
    <s v="Ficus cotinifolia"/>
    <s v="Álamo"/>
    <n v="21"/>
    <n v="6.6845076098596046"/>
    <n v="7.5"/>
    <n v="10"/>
    <m/>
    <s v="C"/>
    <s v="S"/>
    <x v="0"/>
    <x v="1"/>
    <x v="0"/>
    <m/>
    <m/>
    <m/>
  </r>
  <r>
    <n v="8"/>
    <x v="0"/>
    <n v="4"/>
    <n v="23"/>
    <n v="23"/>
    <s v="Moraceae"/>
    <s v="Ficus cotinifolia"/>
    <s v="Álamo"/>
    <n v="18"/>
    <n v="5.7295779513082321"/>
    <n v="8"/>
    <n v="9"/>
    <m/>
    <s v="C"/>
    <s v="S"/>
    <x v="0"/>
    <x v="1"/>
    <x v="0"/>
    <m/>
    <m/>
    <m/>
  </r>
  <r>
    <n v="2"/>
    <x v="2"/>
    <n v="2"/>
    <n v="23"/>
    <n v="24"/>
    <s v="Moraceae"/>
    <s v="Ficus cotinifolia"/>
    <s v="Álamo"/>
    <n v="60"/>
    <n v="19.098593171027442"/>
    <n v="7"/>
    <n v="13"/>
    <m/>
    <s v="C"/>
    <s v="S"/>
    <x v="0"/>
    <x v="4"/>
    <x v="4"/>
    <n v="6"/>
    <s v="Vol = Exp(-9.75894522+1.90722681*LN(DIAMETRO)+1.01257027*LN(ALTURATOTAL))"/>
    <n v="0.21520384868480516"/>
  </r>
  <r>
    <n v="7"/>
    <x v="2"/>
    <n v="3"/>
    <n v="29"/>
    <n v="32"/>
    <s v="Moraceae"/>
    <s v="Ficus cotinifolia"/>
    <s v="Álamo"/>
    <n v="58"/>
    <n v="18.461973398659861"/>
    <n v="8"/>
    <n v="15"/>
    <m/>
    <s v="C"/>
    <s v="S"/>
    <x v="0"/>
    <x v="5"/>
    <x v="4"/>
    <n v="6"/>
    <s v="Vol = Exp(-9.75894522+1.90722681*LN(DIAMETRO)+1.01257027*LN(ALTURATOTAL))"/>
    <n v="0.2331839026431152"/>
  </r>
  <r>
    <n v="1"/>
    <x v="2"/>
    <n v="4"/>
    <n v="31"/>
    <n v="34"/>
    <s v="Moraceae"/>
    <s v="Ficus cotinifolia"/>
    <s v="Álamo"/>
    <n v="42"/>
    <n v="13.369015219719209"/>
    <n v="8"/>
    <n v="12"/>
    <m/>
    <s v="C"/>
    <s v="S"/>
    <x v="0"/>
    <x v="4"/>
    <x v="2"/>
    <n v="6"/>
    <s v="Vol = Exp(-9.75894522+1.90722681*LN(DIAMETRO)+1.01257027*LN(ALTURATOTAL))"/>
    <n v="0.10051197058404412"/>
  </r>
  <r>
    <n v="9"/>
    <x v="0"/>
    <n v="3"/>
    <n v="34"/>
    <n v="34"/>
    <s v="Moraceae"/>
    <s v="Ficus cotinifolia"/>
    <s v="Álamo"/>
    <n v="25.5"/>
    <n v="8.1169020976866619"/>
    <n v="7.5"/>
    <n v="9"/>
    <m/>
    <s v="C"/>
    <s v="S"/>
    <x v="0"/>
    <x v="1"/>
    <x v="1"/>
    <m/>
    <m/>
    <m/>
  </r>
  <r>
    <n v="2"/>
    <x v="2"/>
    <n v="3"/>
    <n v="41"/>
    <n v="43"/>
    <s v="Moraceae"/>
    <s v="Ficus cotinifolia"/>
    <s v="Álamo"/>
    <n v="92"/>
    <n v="29.284509528908742"/>
    <n v="8"/>
    <n v="13"/>
    <m/>
    <s v="C"/>
    <s v="S"/>
    <x v="0"/>
    <x v="4"/>
    <x v="5"/>
    <n v="6"/>
    <s v="Vol = Exp(-9.75894522+1.90722681*LN(DIAMETRO)+1.01257027*LN(ALTURATOTAL))"/>
    <n v="0.48629644019637369"/>
  </r>
  <r>
    <n v="2"/>
    <x v="2"/>
    <n v="3"/>
    <n v="42"/>
    <n v="44"/>
    <s v="Moraceae"/>
    <s v="Ficus cotinifolia"/>
    <s v="Álamo"/>
    <n v="102"/>
    <n v="32.467608390746648"/>
    <n v="3"/>
    <n v="13"/>
    <m/>
    <s v="C"/>
    <s v="S"/>
    <x v="0"/>
    <x v="4"/>
    <x v="5"/>
    <n v="6"/>
    <s v="Vol = Exp(-9.75894522+1.90722681*LN(DIAMETRO)+1.01257027*LN(ALTURATOTAL))"/>
    <n v="0.59206364581031623"/>
  </r>
  <r>
    <n v="4"/>
    <x v="2"/>
    <n v="4"/>
    <n v="44"/>
    <n v="46"/>
    <s v="Moraceae"/>
    <s v="Ficus cotinifolia"/>
    <s v="Álamo"/>
    <n v="81"/>
    <n v="25.783100780887047"/>
    <n v="2.5"/>
    <n v="12"/>
    <m/>
    <s v="C"/>
    <s v="S"/>
    <x v="0"/>
    <x v="4"/>
    <x v="3"/>
    <n v="6"/>
    <s v="Vol = Exp(-9.75894522+1.90722681*LN(DIAMETRO)+1.01257027*LN(ALTURATOTAL))"/>
    <n v="0.35174425764411343"/>
  </r>
  <r>
    <n v="4"/>
    <x v="2"/>
    <n v="4"/>
    <n v="47"/>
    <n v="49"/>
    <s v="Moraceae"/>
    <s v="Ficus cotinifolia"/>
    <s v="Álamo"/>
    <n v="36"/>
    <n v="11.459155902616464"/>
    <n v="6"/>
    <n v="12"/>
    <m/>
    <s v="C"/>
    <s v="S"/>
    <x v="0"/>
    <x v="4"/>
    <x v="1"/>
    <n v="6"/>
    <s v="Vol = Exp(-9.75894522+1.90722681*LN(DIAMETRO)+1.01257027*LN(ALTURATOTAL))"/>
    <n v="7.49091856120465E-2"/>
  </r>
  <r>
    <n v="2"/>
    <x v="2"/>
    <n v="4"/>
    <n v="49"/>
    <n v="53"/>
    <s v="Moraceae"/>
    <s v="Ficus cotinifolia"/>
    <s v="Álamo"/>
    <n v="134"/>
    <n v="42.653524748627952"/>
    <n v="5.5"/>
    <n v="13"/>
    <m/>
    <s v="CB"/>
    <s v="S"/>
    <x v="0"/>
    <x v="4"/>
    <x v="6"/>
    <n v="6"/>
    <s v="Vol = Exp(-9.75894522+1.90722681*LN(DIAMETRO)+1.01257027*LN(ALTURATOTAL))"/>
    <n v="0.99628501018515359"/>
  </r>
  <r>
    <n v="8"/>
    <x v="2"/>
    <n v="4"/>
    <n v="48"/>
    <n v="53"/>
    <s v="Moraceae"/>
    <s v="Ficus cotinifolia"/>
    <s v="Álamo"/>
    <n v="61"/>
    <n v="19.416903057211233"/>
    <n v="3"/>
    <n v="12"/>
    <m/>
    <s v="C"/>
    <s v="S"/>
    <x v="0"/>
    <x v="4"/>
    <x v="4"/>
    <n v="6"/>
    <s v="Vol = Exp(-9.75894522+1.90722681*LN(DIAMETRO)+1.01257027*LN(ALTURATOTAL))"/>
    <n v="0.20480575104841942"/>
  </r>
  <r>
    <n v="2"/>
    <x v="2"/>
    <n v="4"/>
    <s v="49A"/>
    <n v="54"/>
    <s v="Moraceae"/>
    <s v="Ficus cotinifolia"/>
    <s v="Álamo"/>
    <n v="80"/>
    <n v="25.464790894703256"/>
    <n v="5.5"/>
    <n v="13"/>
    <m/>
    <s v="C"/>
    <s v="S"/>
    <x v="1"/>
    <x v="4"/>
    <x v="3"/>
    <n v="6"/>
    <s v="Vol = Exp(-9.75894522+1.90722681*LN(DIAMETRO)+1.01257027*LN(ALTURATOTAL))"/>
    <n v="0.37250880446471862"/>
  </r>
  <r>
    <n v="8"/>
    <x v="2"/>
    <n v="4"/>
    <n v="53"/>
    <n v="58"/>
    <s v="Moraceae"/>
    <s v="Ficus cotinifolia"/>
    <s v="Álamo"/>
    <n v="41.5"/>
    <n v="13.209860276627314"/>
    <n v="4"/>
    <n v="12"/>
    <m/>
    <s v="C"/>
    <s v="S"/>
    <x v="0"/>
    <x v="4"/>
    <x v="2"/>
    <n v="6"/>
    <s v="Vol = Exp(-9.75894522+1.90722681*LN(DIAMETRO)+1.01257027*LN(ALTURATOTAL))"/>
    <n v="9.8242166574490863E-2"/>
  </r>
  <r>
    <n v="4"/>
    <x v="2"/>
    <n v="1"/>
    <n v="1"/>
    <n v="1"/>
    <s v="Moraceae"/>
    <s v="Ficus pertusa"/>
    <s v="Amatillo"/>
    <n v="40"/>
    <n v="12.732395447351628"/>
    <n v="7.5"/>
    <n v="11"/>
    <m/>
    <s v="C"/>
    <s v="S"/>
    <x v="0"/>
    <x v="1"/>
    <x v="2"/>
    <n v="17"/>
    <s v="Vol = Exp(-9.52375084+1.81551953*LN(DIAMETRO)+1.03039019*LN(ALTURATOTAL))"/>
    <n v="8.76827716039211E-2"/>
  </r>
  <r>
    <n v="3"/>
    <x v="0"/>
    <n v="1"/>
    <n v="1"/>
    <n v="1"/>
    <s v="Moraceae"/>
    <s v="Ficus pertusa"/>
    <s v="Amatillo"/>
    <n v="22.5"/>
    <n v="7.1619724391352904"/>
    <n v="3"/>
    <n v="7"/>
    <m/>
    <s v="C"/>
    <s v="S"/>
    <x v="0"/>
    <x v="0"/>
    <x v="0"/>
    <m/>
    <m/>
    <m/>
  </r>
  <r>
    <n v="4"/>
    <x v="1"/>
    <m/>
    <n v="2"/>
    <n v="2"/>
    <s v="Lauraceae"/>
    <s v="Nectandra coriacea"/>
    <s v="Aguacatillo"/>
    <m/>
    <m/>
    <m/>
    <n v="2.2999999999999998"/>
    <e v="#REF!"/>
    <m/>
    <m/>
    <x v="0"/>
    <x v="3"/>
    <x v="0"/>
    <m/>
    <m/>
    <m/>
  </r>
  <r>
    <n v="4"/>
    <x v="2"/>
    <n v="1"/>
    <n v="4"/>
    <n v="4"/>
    <s v="Moraceae"/>
    <s v="Ficus pertusa"/>
    <s v="Amatillo"/>
    <n v="33"/>
    <n v="10.504226244065093"/>
    <n v="2.5"/>
    <n v="9"/>
    <m/>
    <s v="C"/>
    <s v="Sámago"/>
    <x v="0"/>
    <x v="1"/>
    <x v="1"/>
    <n v="17"/>
    <s v="Vol = Exp(-9.52375084+1.81551953*LN(DIAMETRO)+1.03039019*LN(ALTURATOTAL))"/>
    <n v="5.0284726807398025E-2"/>
  </r>
  <r>
    <n v="4"/>
    <x v="2"/>
    <n v="1"/>
    <n v="6"/>
    <n v="6"/>
    <s v="Moraceae"/>
    <s v="Ficus pertusa"/>
    <s v="Amatillo"/>
    <n v="36"/>
    <n v="11.459155902616464"/>
    <n v="8"/>
    <n v="12"/>
    <m/>
    <s v="C"/>
    <s v="S"/>
    <x v="0"/>
    <x v="4"/>
    <x v="1"/>
    <n v="17"/>
    <s v="Vol = Exp(-9.52375084+1.81551953*LN(DIAMETRO)+1.03039019*LN(ALTURATOTAL))"/>
    <n v="7.9209562371578848E-2"/>
  </r>
  <r>
    <n v="9"/>
    <x v="0"/>
    <n v="1"/>
    <n v="7"/>
    <n v="7"/>
    <s v="Moraceae"/>
    <s v="Ficus pertusa"/>
    <s v="Amatillo"/>
    <n v="23.5"/>
    <n v="7.4802823253190809"/>
    <n v="6"/>
    <n v="12"/>
    <m/>
    <s v="C"/>
    <s v="S"/>
    <x v="0"/>
    <x v="4"/>
    <x v="0"/>
    <m/>
    <m/>
    <m/>
  </r>
  <r>
    <n v="3"/>
    <x v="2"/>
    <n v="1"/>
    <n v="9"/>
    <n v="9"/>
    <s v="Moraceae"/>
    <s v="Ficus pertusa"/>
    <s v="Amatillo"/>
    <n v="35.5"/>
    <n v="11.300000959524569"/>
    <n v="8"/>
    <n v="10"/>
    <m/>
    <s v="C"/>
    <s v="S"/>
    <x v="0"/>
    <x v="1"/>
    <x v="1"/>
    <n v="17"/>
    <s v="Vol = Exp(-9.52375084+1.81551953*LN(DIAMETRO)+1.03039019*LN(ALTURATOTAL))"/>
    <n v="6.3997395648830932E-2"/>
  </r>
  <r>
    <n v="6"/>
    <x v="0"/>
    <n v="2"/>
    <n v="10"/>
    <n v="10"/>
    <s v="Moraceae"/>
    <s v="Ficus pertusa"/>
    <s v="Amatillo"/>
    <n v="22.5"/>
    <n v="7.1619724391352904"/>
    <n v="3"/>
    <n v="9"/>
    <m/>
    <s v="C"/>
    <s v="S"/>
    <x v="0"/>
    <x v="1"/>
    <x v="0"/>
    <m/>
    <m/>
    <m/>
  </r>
  <r>
    <n v="9"/>
    <x v="0"/>
    <n v="1"/>
    <n v="11"/>
    <n v="11"/>
    <s v="Moraceae"/>
    <s v="Ficus pertusa"/>
    <s v="Amatillo"/>
    <n v="21.5"/>
    <n v="6.8436625529514998"/>
    <n v="8.5"/>
    <n v="10"/>
    <m/>
    <s v="C"/>
    <s v="S"/>
    <x v="0"/>
    <x v="1"/>
    <x v="0"/>
    <m/>
    <m/>
    <m/>
  </r>
  <r>
    <n v="3"/>
    <x v="2"/>
    <n v="1"/>
    <n v="13"/>
    <n v="13"/>
    <s v="Moraceae"/>
    <s v="Ficus pertusa"/>
    <s v="Amatillo"/>
    <n v="60"/>
    <n v="19.098593171027442"/>
    <n v="5.5"/>
    <n v="11"/>
    <m/>
    <s v="C"/>
    <s v="S"/>
    <x v="0"/>
    <x v="1"/>
    <x v="4"/>
    <n v="17"/>
    <s v="Vol = Exp(-9.52375084+1.81551953*LN(DIAMETRO)+1.03039019*LN(ALTURATOTAL))"/>
    <n v="0.18306755828121885"/>
  </r>
  <r>
    <n v="3"/>
    <x v="0"/>
    <n v="3"/>
    <n v="13"/>
    <n v="13"/>
    <s v="Moraceae"/>
    <s v="Ficus pertusa"/>
    <s v="Amatillo"/>
    <n v="19"/>
    <n v="6.0478878374920226"/>
    <n v="8"/>
    <n v="9"/>
    <m/>
    <s v="C"/>
    <s v="S"/>
    <x v="0"/>
    <x v="1"/>
    <x v="0"/>
    <m/>
    <m/>
    <m/>
  </r>
  <r>
    <n v="9"/>
    <x v="0"/>
    <n v="2"/>
    <n v="13"/>
    <n v="13"/>
    <s v="Moraceae"/>
    <s v="Ficus pertusa"/>
    <s v="Amatillo"/>
    <n v="16"/>
    <n v="5.0929581789406511"/>
    <n v="6"/>
    <n v="8"/>
    <m/>
    <s v="C"/>
    <s v="S"/>
    <x v="0"/>
    <x v="0"/>
    <x v="0"/>
    <m/>
    <m/>
    <m/>
  </r>
  <r>
    <n v="3"/>
    <x v="0"/>
    <n v="3"/>
    <n v="14"/>
    <n v="14"/>
    <s v="Moraceae"/>
    <s v="Ficus pertusa"/>
    <s v="Amatillo"/>
    <n v="16.5"/>
    <n v="5.2521131220325463"/>
    <n v="4"/>
    <n v="6"/>
    <m/>
    <s v="C"/>
    <s v="S"/>
    <x v="0"/>
    <x v="2"/>
    <x v="0"/>
    <m/>
    <m/>
    <m/>
  </r>
  <r>
    <n v="9"/>
    <x v="2"/>
    <n v="4"/>
    <n v="19"/>
    <n v="20"/>
    <s v="Moraceae"/>
    <s v="Ficus pertusa"/>
    <s v="Amatillo"/>
    <n v="36"/>
    <n v="11.459155902616464"/>
    <n v="3"/>
    <n v="9"/>
    <m/>
    <s v="C"/>
    <s v="S"/>
    <x v="0"/>
    <x v="1"/>
    <x v="1"/>
    <n v="17"/>
    <s v="Vol = Exp(-9.52375084+1.81551953*LN(DIAMETRO)+1.03039019*LN(ALTURATOTAL))"/>
    <n v="5.8890055727484625E-2"/>
  </r>
  <r>
    <n v="3"/>
    <x v="2"/>
    <n v="2"/>
    <n v="21"/>
    <n v="21"/>
    <s v="Moraceae"/>
    <s v="Ficus pertusa"/>
    <s v="Amatillo"/>
    <n v="38.5"/>
    <n v="12.254930618075941"/>
    <n v="6"/>
    <n v="11"/>
    <m/>
    <s v="C"/>
    <s v="S"/>
    <x v="0"/>
    <x v="1"/>
    <x v="1"/>
    <n v="17"/>
    <s v="Vol = Exp(-9.52375084+1.81551953*LN(DIAMETRO)+1.03039019*LN(ALTURATOTAL))"/>
    <n v="8.1804648924443071E-2"/>
  </r>
  <r>
    <n v="9"/>
    <x v="0"/>
    <n v="2"/>
    <n v="26"/>
    <n v="26"/>
    <s v="Moraceae"/>
    <s v="Ficus pertusa"/>
    <s v="Amatillo"/>
    <n v="21"/>
    <n v="6.6845076098596046"/>
    <n v="5.5"/>
    <n v="9"/>
    <m/>
    <s v="C"/>
    <s v="S"/>
    <x v="0"/>
    <x v="1"/>
    <x v="0"/>
    <m/>
    <m/>
    <m/>
  </r>
  <r>
    <n v="3"/>
    <x v="2"/>
    <n v="3"/>
    <n v="30"/>
    <n v="30"/>
    <s v="Moraceae"/>
    <s v="Ficus pertusa"/>
    <s v="Amatillo"/>
    <n v="51.5"/>
    <n v="16.392959138465219"/>
    <n v="5"/>
    <n v="10"/>
    <m/>
    <s v="CB"/>
    <s v="S"/>
    <x v="0"/>
    <x v="1"/>
    <x v="2"/>
    <n v="17"/>
    <s v="Vol = Exp(-9.52375084+1.81551953*LN(DIAMETRO)+1.03039019*LN(ALTURATOTAL))"/>
    <n v="0.12575113276693189"/>
  </r>
  <r>
    <n v="9"/>
    <x v="0"/>
    <n v="3"/>
    <n v="30"/>
    <n v="30"/>
    <s v="Moraceae"/>
    <s v="Ficus pertusa"/>
    <s v="Amatillo"/>
    <n v="18.5"/>
    <n v="5.8887328944001274"/>
    <n v="3.5"/>
    <n v="8"/>
    <m/>
    <s v="C"/>
    <s v="S"/>
    <x v="0"/>
    <x v="0"/>
    <x v="0"/>
    <m/>
    <m/>
    <m/>
  </r>
  <r>
    <n v="3"/>
    <x v="2"/>
    <n v="3"/>
    <s v="30A"/>
    <n v="31"/>
    <s v="Moraceae"/>
    <s v="Ficus pertusa"/>
    <s v="Amatillo"/>
    <n v="44"/>
    <n v="14.00563499208679"/>
    <n v="3"/>
    <n v="9"/>
    <m/>
    <s v="C"/>
    <s v="S"/>
    <x v="1"/>
    <x v="1"/>
    <x v="2"/>
    <n v="17"/>
    <s v="Vol = Exp(-9.52375084+1.81551953*LN(DIAMETRO)+1.03039019*LN(ALTURATOTAL))"/>
    <n v="8.4774416915525813E-2"/>
  </r>
  <r>
    <n v="3"/>
    <x v="2"/>
    <n v="3"/>
    <s v="30B"/>
    <n v="32"/>
    <s v="Moraceae"/>
    <s v="Ficus pertusa"/>
    <s v="Amatillo"/>
    <n v="38.5"/>
    <n v="12.254930618075941"/>
    <n v="5"/>
    <n v="10"/>
    <m/>
    <s v="C"/>
    <s v="S"/>
    <x v="1"/>
    <x v="1"/>
    <x v="1"/>
    <n v="17"/>
    <s v="Vol = Exp(-9.52375084+1.81551953*LN(DIAMETRO)+1.03039019*LN(ALTURATOTAL))"/>
    <n v="7.4152768215724821E-2"/>
  </r>
  <r>
    <n v="3"/>
    <x v="2"/>
    <n v="3"/>
    <n v="31"/>
    <n v="33"/>
    <s v="Moraceae"/>
    <s v="Ficus pertusa"/>
    <s v="Amatillo"/>
    <n v="56"/>
    <n v="17.82535362629228"/>
    <n v="8"/>
    <n v="14"/>
    <m/>
    <s v="C"/>
    <s v="S"/>
    <x v="0"/>
    <x v="5"/>
    <x v="4"/>
    <n v="17"/>
    <s v="Vol = Exp(-9.52375084+1.81551953*LN(DIAMETRO)+1.03039019*LN(ALTURATOTAL))"/>
    <n v="0.20707651602127494"/>
  </r>
  <r>
    <n v="4"/>
    <x v="1"/>
    <m/>
    <n v="3"/>
    <n v="3"/>
    <s v="Polygonaceae"/>
    <s v="Coccoloba acapulcensis"/>
    <s v="Toyub"/>
    <m/>
    <m/>
    <m/>
    <n v="1"/>
    <e v="#REF!"/>
    <m/>
    <m/>
    <x v="0"/>
    <x v="3"/>
    <x v="0"/>
    <m/>
    <m/>
    <m/>
  </r>
  <r>
    <n v="4"/>
    <x v="1"/>
    <m/>
    <n v="4"/>
    <n v="4"/>
    <s v="Apocynaceae"/>
    <s v="Cascabela gaumeri"/>
    <s v="Akits"/>
    <m/>
    <m/>
    <m/>
    <n v="1.5"/>
    <e v="#REF!"/>
    <m/>
    <m/>
    <x v="0"/>
    <x v="3"/>
    <x v="0"/>
    <m/>
    <m/>
    <m/>
  </r>
  <r>
    <n v="10"/>
    <x v="0"/>
    <n v="4"/>
    <n v="37"/>
    <n v="37"/>
    <s v="Moraceae"/>
    <s v="Ficus pertusa"/>
    <s v="Amatillo"/>
    <n v="27"/>
    <n v="8.5943669269623477"/>
    <n v="6"/>
    <n v="12"/>
    <m/>
    <s v="C"/>
    <s v="S"/>
    <x v="0"/>
    <x v="4"/>
    <x v="1"/>
    <m/>
    <m/>
    <m/>
  </r>
  <r>
    <n v="3"/>
    <x v="2"/>
    <n v="4"/>
    <n v="47"/>
    <n v="56"/>
    <s v="Moraceae"/>
    <s v="Ficus pertusa"/>
    <s v="Amatillo"/>
    <n v="39"/>
    <n v="12.414085561167836"/>
    <n v="5.5"/>
    <n v="9"/>
    <m/>
    <s v="C"/>
    <s v="S"/>
    <x v="0"/>
    <x v="1"/>
    <x v="1"/>
    <n v="17"/>
    <s v="Vol = Exp(-9.52375084+1.81551953*LN(DIAMETRO)+1.03039019*LN(ALTURATOTAL))"/>
    <n v="6.8100962199452261E-2"/>
  </r>
  <r>
    <n v="4"/>
    <x v="2"/>
    <n v="4"/>
    <n v="55"/>
    <n v="57"/>
    <s v="Moraceae"/>
    <s v="Ficus pertusa"/>
    <s v="Amatillo"/>
    <n v="38"/>
    <n v="12.095775674984045"/>
    <n v="6"/>
    <n v="8"/>
    <m/>
    <s v="C"/>
    <s v="SD"/>
    <x v="0"/>
    <x v="0"/>
    <x v="1"/>
    <n v="17"/>
    <s v="Vol = Exp(-9.52375084+1.81551953*LN(DIAMETRO)+1.03039019*LN(ALTURATOTAL))"/>
    <n v="5.753939564851706E-2"/>
  </r>
  <r>
    <n v="4"/>
    <x v="1"/>
    <m/>
    <n v="5"/>
    <n v="5"/>
    <s v="Lauraceae"/>
    <s v="Nectandra coriacea"/>
    <s v="Aguacatillo"/>
    <m/>
    <m/>
    <m/>
    <n v="0.6"/>
    <e v="#REF!"/>
    <m/>
    <m/>
    <x v="0"/>
    <x v="3"/>
    <x v="0"/>
    <m/>
    <m/>
    <m/>
  </r>
  <r>
    <n v="4"/>
    <x v="1"/>
    <m/>
    <n v="6"/>
    <n v="6"/>
    <s v="Sapindaceae"/>
    <s v="Paullinia cururu"/>
    <s v="Bejuco alado"/>
    <m/>
    <m/>
    <m/>
    <n v="1.7"/>
    <e v="#REF!"/>
    <m/>
    <m/>
    <x v="0"/>
    <x v="3"/>
    <x v="0"/>
    <m/>
    <m/>
    <m/>
  </r>
  <r>
    <n v="4"/>
    <x v="1"/>
    <m/>
    <n v="7"/>
    <n v="7"/>
    <s v="Sapindaceae"/>
    <s v="Paullinia cururu"/>
    <s v="Bejuco alado"/>
    <m/>
    <m/>
    <m/>
    <n v="6"/>
    <e v="#REF!"/>
    <m/>
    <m/>
    <x v="0"/>
    <x v="2"/>
    <x v="0"/>
    <m/>
    <m/>
    <m/>
  </r>
  <r>
    <n v="4"/>
    <x v="1"/>
    <m/>
    <n v="8"/>
    <n v="8"/>
    <s v="Anacardiaceae"/>
    <s v="Metopium brownei"/>
    <s v="Chechem"/>
    <m/>
    <m/>
    <m/>
    <n v="4"/>
    <e v="#REF!"/>
    <m/>
    <m/>
    <x v="0"/>
    <x v="2"/>
    <x v="0"/>
    <m/>
    <m/>
    <m/>
  </r>
  <r>
    <n v="4"/>
    <x v="1"/>
    <m/>
    <n v="9"/>
    <n v="9"/>
    <s v="Bignoniaceae"/>
    <s v="Cydista diversifolia"/>
    <s v="Sool aak"/>
    <m/>
    <m/>
    <m/>
    <n v="6"/>
    <e v="#REF!"/>
    <m/>
    <m/>
    <x v="0"/>
    <x v="2"/>
    <x v="0"/>
    <m/>
    <m/>
    <m/>
  </r>
  <r>
    <n v="4"/>
    <x v="1"/>
    <m/>
    <n v="10"/>
    <n v="10"/>
    <s v="Polygonaceae"/>
    <s v="Coccoloba acapulcensis"/>
    <s v="Toyub"/>
    <m/>
    <m/>
    <m/>
    <n v="3.5"/>
    <e v="#REF!"/>
    <m/>
    <m/>
    <x v="0"/>
    <x v="3"/>
    <x v="0"/>
    <m/>
    <m/>
    <m/>
  </r>
  <r>
    <n v="4"/>
    <x v="1"/>
    <m/>
    <n v="11"/>
    <n v="11"/>
    <s v="Bignoniaceae"/>
    <s v="Cydista diversifolia"/>
    <s v="Sool aak"/>
    <m/>
    <m/>
    <m/>
    <n v="6"/>
    <e v="#REF!"/>
    <m/>
    <m/>
    <x v="0"/>
    <x v="2"/>
    <x v="0"/>
    <m/>
    <m/>
    <m/>
  </r>
  <r>
    <n v="4"/>
    <x v="1"/>
    <m/>
    <n v="12"/>
    <n v="12"/>
    <s v="Malvaceae"/>
    <s v="Hampea trilobata"/>
    <s v="Ho'ol"/>
    <m/>
    <m/>
    <m/>
    <n v="0.8"/>
    <e v="#REF!"/>
    <m/>
    <m/>
    <x v="0"/>
    <x v="3"/>
    <x v="0"/>
    <m/>
    <m/>
    <m/>
  </r>
  <r>
    <n v="4"/>
    <x v="1"/>
    <m/>
    <n v="13"/>
    <n v="13"/>
    <s v="Araliaceae"/>
    <s v="Dendropanax arboreus"/>
    <s v="Sak chacaj"/>
    <m/>
    <m/>
    <m/>
    <n v="1.2"/>
    <e v="#REF!"/>
    <m/>
    <m/>
    <x v="0"/>
    <x v="3"/>
    <x v="0"/>
    <m/>
    <m/>
    <m/>
  </r>
  <r>
    <n v="4"/>
    <x v="1"/>
    <m/>
    <n v="14"/>
    <n v="14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5"/>
    <n v="15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6"/>
    <n v="16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7"/>
    <n v="17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8"/>
    <n v="18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19"/>
    <n v="19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20"/>
    <n v="20"/>
    <s v="Poaceae"/>
    <s v="Lasiacis divaricata"/>
    <s v="Carricillo"/>
    <m/>
    <m/>
    <m/>
    <n v="0.3"/>
    <e v="#REF!"/>
    <m/>
    <m/>
    <x v="0"/>
    <x v="3"/>
    <x v="0"/>
    <m/>
    <m/>
    <m/>
  </r>
  <r>
    <n v="4"/>
    <x v="1"/>
    <m/>
    <n v="21"/>
    <n v="21"/>
    <s v="Poaceae"/>
    <s v="Lasiacis divaricata"/>
    <s v="Carricillo"/>
    <m/>
    <m/>
    <m/>
    <n v="0.3"/>
    <e v="#REF!"/>
    <m/>
    <m/>
    <x v="0"/>
    <x v="3"/>
    <x v="0"/>
    <m/>
    <m/>
    <m/>
  </r>
  <r>
    <n v="5"/>
    <x v="1"/>
    <m/>
    <n v="1"/>
    <n v="1"/>
    <s v="Araliaceae"/>
    <s v="Dendropanax arboreus"/>
    <s v="Sak chacaj"/>
    <m/>
    <m/>
    <m/>
    <n v="6"/>
    <e v="#REF!"/>
    <m/>
    <s v="S"/>
    <x v="0"/>
    <x v="2"/>
    <x v="0"/>
    <m/>
    <m/>
    <m/>
  </r>
  <r>
    <n v="5"/>
    <x v="1"/>
    <m/>
    <n v="2"/>
    <n v="2"/>
    <s v="Rubiaceae"/>
    <s v="Guettarda combsii "/>
    <s v="Tasta'ab"/>
    <m/>
    <m/>
    <m/>
    <n v="5"/>
    <e v="#REF!"/>
    <m/>
    <s v="S"/>
    <x v="0"/>
    <x v="2"/>
    <x v="0"/>
    <m/>
    <m/>
    <m/>
  </r>
  <r>
    <n v="5"/>
    <x v="1"/>
    <m/>
    <n v="3"/>
    <n v="3"/>
    <s v="Rubiaceae"/>
    <s v="Guettarda combsii "/>
    <s v="Tasta'ab"/>
    <m/>
    <m/>
    <m/>
    <n v="4"/>
    <e v="#REF!"/>
    <m/>
    <s v="S"/>
    <x v="0"/>
    <x v="2"/>
    <x v="0"/>
    <m/>
    <m/>
    <m/>
  </r>
  <r>
    <n v="5"/>
    <x v="1"/>
    <m/>
    <n v="4"/>
    <n v="4"/>
    <s v="Rubiaceae"/>
    <s v="Guettarda combsii "/>
    <s v="Tasta'ab"/>
    <m/>
    <m/>
    <m/>
    <n v="6"/>
    <e v="#REF!"/>
    <m/>
    <s v="S"/>
    <x v="0"/>
    <x v="2"/>
    <x v="0"/>
    <m/>
    <m/>
    <m/>
  </r>
  <r>
    <n v="5"/>
    <x v="1"/>
    <m/>
    <n v="5"/>
    <n v="5"/>
    <s v="Leguminosae"/>
    <s v="Swartzia cubensis"/>
    <s v="Katalox"/>
    <m/>
    <m/>
    <m/>
    <n v="6"/>
    <e v="#REF!"/>
    <m/>
    <s v="S"/>
    <x v="0"/>
    <x v="2"/>
    <x v="0"/>
    <m/>
    <m/>
    <m/>
  </r>
  <r>
    <n v="5"/>
    <x v="1"/>
    <m/>
    <n v="6"/>
    <n v="6"/>
    <s v="Polygonaceae"/>
    <s v="Coccoloba spicata"/>
    <s v="Boob"/>
    <m/>
    <m/>
    <m/>
    <n v="0.8"/>
    <e v="#REF!"/>
    <m/>
    <s v="S"/>
    <x v="0"/>
    <x v="3"/>
    <x v="0"/>
    <m/>
    <m/>
    <m/>
  </r>
  <r>
    <n v="5"/>
    <x v="1"/>
    <m/>
    <n v="7"/>
    <n v="7"/>
    <s v="Leguminosae"/>
    <s v="Lonchocarpus rugosus"/>
    <s v="Kanasin"/>
    <m/>
    <m/>
    <m/>
    <n v="3"/>
    <e v="#REF!"/>
    <m/>
    <s v="S"/>
    <x v="0"/>
    <x v="3"/>
    <x v="0"/>
    <m/>
    <m/>
    <m/>
  </r>
  <r>
    <n v="5"/>
    <x v="1"/>
    <m/>
    <n v="8"/>
    <n v="8"/>
    <s v="Leguminosae"/>
    <s v="Lonchocarpus rugosus"/>
    <s v="Kanasin"/>
    <m/>
    <m/>
    <m/>
    <n v="3"/>
    <e v="#REF!"/>
    <m/>
    <s v="S"/>
    <x v="0"/>
    <x v="3"/>
    <x v="0"/>
    <m/>
    <m/>
    <m/>
  </r>
  <r>
    <n v="5"/>
    <x v="1"/>
    <m/>
    <n v="9"/>
    <n v="9"/>
    <s v="Polygonaceae"/>
    <s v="Coccoloba spicata"/>
    <s v="Boob"/>
    <m/>
    <m/>
    <m/>
    <n v="0.15"/>
    <e v="#REF!"/>
    <m/>
    <s v="S"/>
    <x v="0"/>
    <x v="3"/>
    <x v="0"/>
    <m/>
    <m/>
    <m/>
  </r>
  <r>
    <n v="5"/>
    <x v="1"/>
    <m/>
    <n v="10"/>
    <n v="10"/>
    <s v="Vitaceae "/>
    <s v="Cissus verticillata"/>
    <s v="Bejuco Cissus"/>
    <m/>
    <m/>
    <m/>
    <n v="0.2"/>
    <e v="#REF!"/>
    <m/>
    <s v="S"/>
    <x v="0"/>
    <x v="3"/>
    <x v="0"/>
    <m/>
    <m/>
    <m/>
  </r>
  <r>
    <n v="5"/>
    <x v="1"/>
    <m/>
    <n v="11"/>
    <n v="11"/>
    <s v="Sapindaceae"/>
    <s v="Paullinia cururu"/>
    <s v="Bejuco alado"/>
    <m/>
    <m/>
    <m/>
    <n v="0.6"/>
    <e v="#REF!"/>
    <m/>
    <s v="S"/>
    <x v="0"/>
    <x v="3"/>
    <x v="0"/>
    <m/>
    <m/>
    <m/>
  </r>
  <r>
    <n v="5"/>
    <x v="1"/>
    <m/>
    <n v="12"/>
    <n v="12"/>
    <s v="Sapindaceae"/>
    <s v="Paullinia cururu"/>
    <s v="Bejuco alado"/>
    <m/>
    <m/>
    <m/>
    <n v="0.6"/>
    <e v="#REF!"/>
    <m/>
    <s v="S"/>
    <x v="0"/>
    <x v="3"/>
    <x v="0"/>
    <m/>
    <m/>
    <m/>
  </r>
  <r>
    <n v="5"/>
    <x v="1"/>
    <m/>
    <n v="13"/>
    <n v="13"/>
    <s v="Sapindaceae"/>
    <s v="Paullinia cururu"/>
    <s v="Bejuco alado"/>
    <m/>
    <m/>
    <m/>
    <n v="0.6"/>
    <e v="#REF!"/>
    <m/>
    <s v="S"/>
    <x v="0"/>
    <x v="3"/>
    <x v="0"/>
    <m/>
    <m/>
    <m/>
  </r>
  <r>
    <n v="5"/>
    <x v="1"/>
    <m/>
    <n v="14"/>
    <n v="14"/>
    <s v="Vitaceae "/>
    <s v="Cissus verticillata"/>
    <s v="Bejuco Cissus"/>
    <m/>
    <m/>
    <m/>
    <n v="0.2"/>
    <e v="#REF!"/>
    <m/>
    <s v="S"/>
    <x v="0"/>
    <x v="3"/>
    <x v="0"/>
    <m/>
    <m/>
    <m/>
  </r>
  <r>
    <n v="5"/>
    <x v="1"/>
    <m/>
    <n v="15"/>
    <n v="15"/>
    <s v="Vitaceae "/>
    <s v="Cissus verticillata"/>
    <s v="Bejuco Cissus"/>
    <m/>
    <m/>
    <m/>
    <n v="0.1"/>
    <e v="#REF!"/>
    <m/>
    <s v="S"/>
    <x v="0"/>
    <x v="3"/>
    <x v="0"/>
    <m/>
    <m/>
    <m/>
  </r>
  <r>
    <n v="5"/>
    <x v="1"/>
    <m/>
    <n v="16"/>
    <n v="16"/>
    <s v="Vitaceae "/>
    <s v="Cissus verticillata"/>
    <s v="Bejuco Cissus"/>
    <m/>
    <m/>
    <m/>
    <n v="0.1"/>
    <e v="#REF!"/>
    <m/>
    <s v="S"/>
    <x v="0"/>
    <x v="3"/>
    <x v="0"/>
    <m/>
    <m/>
    <m/>
  </r>
  <r>
    <n v="5"/>
    <x v="1"/>
    <m/>
    <n v="17"/>
    <n v="17"/>
    <s v="Vitaceae "/>
    <s v="Cissus verticillata"/>
    <s v="Bejuco Cissus"/>
    <m/>
    <m/>
    <m/>
    <n v="0.15"/>
    <e v="#REF!"/>
    <m/>
    <s v="S"/>
    <x v="0"/>
    <x v="3"/>
    <x v="0"/>
    <m/>
    <m/>
    <m/>
  </r>
  <r>
    <n v="5"/>
    <x v="1"/>
    <m/>
    <n v="18"/>
    <n v="18"/>
    <s v="Vitaceae "/>
    <s v="Cissus verticillata"/>
    <s v="Bejuco Cissus"/>
    <m/>
    <m/>
    <m/>
    <n v="0.1"/>
    <e v="#REF!"/>
    <m/>
    <s v="S"/>
    <x v="0"/>
    <x v="3"/>
    <x v="0"/>
    <m/>
    <m/>
    <m/>
  </r>
  <r>
    <n v="5"/>
    <x v="1"/>
    <m/>
    <n v="19"/>
    <n v="19"/>
    <s v="Vitaceae "/>
    <s v="Cissus verticillata"/>
    <s v="Bejuco Cissus"/>
    <m/>
    <m/>
    <m/>
    <n v="0.1"/>
    <e v="#REF!"/>
    <m/>
    <s v="S"/>
    <x v="0"/>
    <x v="3"/>
    <x v="0"/>
    <m/>
    <m/>
    <m/>
  </r>
  <r>
    <n v="6"/>
    <x v="1"/>
    <m/>
    <n v="1"/>
    <n v="1"/>
    <s v="Sapindaceae"/>
    <s v="Cupania dentata"/>
    <s v="Sak poom"/>
    <m/>
    <m/>
    <m/>
    <n v="6"/>
    <e v="#REF!"/>
    <m/>
    <s v="S"/>
    <x v="0"/>
    <x v="2"/>
    <x v="0"/>
    <m/>
    <m/>
    <m/>
  </r>
  <r>
    <n v="6"/>
    <x v="1"/>
    <m/>
    <n v="2"/>
    <n v="2"/>
    <s v="Sapindaceae"/>
    <s v="Cupania dentata"/>
    <s v="Sak poom"/>
    <m/>
    <m/>
    <m/>
    <n v="1.6"/>
    <e v="#REF!"/>
    <m/>
    <s v="S"/>
    <x v="0"/>
    <x v="3"/>
    <x v="0"/>
    <m/>
    <m/>
    <m/>
  </r>
  <r>
    <n v="8"/>
    <x v="0"/>
    <n v="4"/>
    <n v="22"/>
    <n v="22"/>
    <s v="Capparaceae"/>
    <s v="Capparis indica (L.) Druce."/>
    <s v="Bo'kanche'"/>
    <n v="27"/>
    <n v="8.5943669269623477"/>
    <n v="7"/>
    <n v="11"/>
    <m/>
    <s v="C"/>
    <s v="S"/>
    <x v="0"/>
    <x v="1"/>
    <x v="1"/>
    <m/>
    <m/>
    <m/>
  </r>
  <r>
    <n v="2"/>
    <x v="2"/>
    <n v="1"/>
    <n v="1"/>
    <n v="1"/>
    <s v="Polygonaceae"/>
    <s v="Coccoloba spicata"/>
    <s v="Boob"/>
    <n v="37"/>
    <n v="11.777465788800255"/>
    <n v="6"/>
    <n v="13"/>
    <m/>
    <s v="C"/>
    <s v="S"/>
    <x v="0"/>
    <x v="4"/>
    <x v="1"/>
    <n v="16"/>
    <s v="Vol = Exp(-9.63519924+1.83658572*LN(DIAMETRO)+1.02444663*LN(ALTURATOTAL))"/>
    <n v="8.3895793672179933E-2"/>
  </r>
  <r>
    <n v="5"/>
    <x v="0"/>
    <n v="1"/>
    <n v="1"/>
    <n v="1"/>
    <s v="Polygonaceae"/>
    <s v="Coccoloba spicata"/>
    <s v="Boob"/>
    <n v="29.5"/>
    <n v="9.3901416424218258"/>
    <n v="5.5"/>
    <n v="9"/>
    <m/>
    <s v="CB"/>
    <s v="S"/>
    <x v="0"/>
    <x v="1"/>
    <x v="1"/>
    <m/>
    <m/>
    <m/>
  </r>
  <r>
    <n v="4"/>
    <x v="2"/>
    <n v="1"/>
    <n v="2"/>
    <n v="2"/>
    <s v="Polygonaceae"/>
    <s v="Coccoloba spicata"/>
    <s v="Boob"/>
    <n v="33"/>
    <n v="10.504226244065093"/>
    <n v="8"/>
    <n v="11"/>
    <m/>
    <s v="C"/>
    <s v="S"/>
    <x v="0"/>
    <x v="1"/>
    <x v="1"/>
    <n v="16"/>
    <s v="Vol = Exp(-9.63519924+1.83658572*LN(DIAMETRO)+1.02444663*LN(ALTURATOTAL))"/>
    <n v="5.7300712943972834E-2"/>
  </r>
  <r>
    <n v="5"/>
    <x v="2"/>
    <n v="1"/>
    <n v="2"/>
    <n v="2"/>
    <s v="Polygonaceae"/>
    <s v="Coccoloba spicata"/>
    <s v="Boob"/>
    <n v="43"/>
    <n v="13.687325105903"/>
    <n v="7"/>
    <n v="10"/>
    <m/>
    <s v="C"/>
    <s v="S"/>
    <x v="0"/>
    <x v="1"/>
    <x v="2"/>
    <n v="16"/>
    <s v="Vol = Exp(-9.63519924+1.83658572*LN(DIAMETRO)+1.02444663*LN(ALTURATOTAL))"/>
    <n v="8.45043860324068E-2"/>
  </r>
  <r>
    <n v="1"/>
    <x v="0"/>
    <n v="1"/>
    <n v="2"/>
    <n v="2"/>
    <s v="Polygonaceae"/>
    <s v="Coccoloba spicata"/>
    <s v="Boob"/>
    <n v="28"/>
    <n v="8.91267681314614"/>
    <n v="3"/>
    <n v="7"/>
    <m/>
    <s v="C"/>
    <s v="S"/>
    <x v="0"/>
    <x v="0"/>
    <x v="1"/>
    <m/>
    <m/>
    <m/>
  </r>
  <r>
    <n v="2"/>
    <x v="0"/>
    <n v="1"/>
    <n v="2"/>
    <n v="2"/>
    <s v="Polygonaceae"/>
    <s v="Coccoloba spicata"/>
    <s v="Boob"/>
    <n v="19"/>
    <n v="6.0478878374920226"/>
    <n v="5"/>
    <n v="6"/>
    <m/>
    <s v="C"/>
    <s v="SD"/>
    <x v="0"/>
    <x v="2"/>
    <x v="0"/>
    <m/>
    <m/>
    <m/>
  </r>
  <r>
    <n v="5"/>
    <x v="0"/>
    <n v="1"/>
    <s v="1A"/>
    <n v="2"/>
    <s v="Polygonaceae"/>
    <s v="Coccoloba spicata"/>
    <s v="Boob"/>
    <n v="23"/>
    <n v="7.3211273822271856"/>
    <n v="5.5"/>
    <n v="9"/>
    <m/>
    <s v="C"/>
    <s v="S"/>
    <x v="1"/>
    <x v="1"/>
    <x v="0"/>
    <m/>
    <m/>
    <m/>
  </r>
  <r>
    <n v="9"/>
    <x v="2"/>
    <n v="1"/>
    <n v="3"/>
    <n v="3"/>
    <s v="Polygonaceae"/>
    <s v="Coccoloba spicata"/>
    <s v="Boob"/>
    <n v="35.5"/>
    <n v="11.300000959524569"/>
    <n v="5.5"/>
    <n v="10"/>
    <m/>
    <s v="C"/>
    <s v="S"/>
    <x v="0"/>
    <x v="1"/>
    <x v="1"/>
    <n v="16"/>
    <s v="Vol = Exp(-9.63519924+1.83658572*LN(DIAMETRO)+1.02444663*LN(ALTURATOTAL))"/>
    <n v="5.9429443989314337E-2"/>
  </r>
  <r>
    <n v="10"/>
    <x v="2"/>
    <n v="1"/>
    <n v="3"/>
    <n v="3"/>
    <s v="Polygonaceae"/>
    <s v="Coccoloba spicata"/>
    <s v="Boob"/>
    <n v="33.5"/>
    <n v="10.663381187156988"/>
    <n v="6"/>
    <n v="10"/>
    <m/>
    <s v="C"/>
    <s v="S"/>
    <x v="0"/>
    <x v="1"/>
    <x v="1"/>
    <n v="16"/>
    <s v="Vol = Exp(-9.63519924+1.83658572*LN(DIAMETRO)+1.02444663*LN(ALTURATOTAL))"/>
    <n v="5.3425663706255927E-2"/>
  </r>
  <r>
    <n v="11"/>
    <x v="2"/>
    <n v="1"/>
    <n v="2"/>
    <n v="3"/>
    <s v="Polygonaceae"/>
    <s v="Coccoloba spicata"/>
    <s v="Boob"/>
    <n v="36"/>
    <n v="11.459155902616464"/>
    <n v="4"/>
    <n v="10"/>
    <m/>
    <s v="C"/>
    <s v="S"/>
    <x v="0"/>
    <x v="1"/>
    <x v="1"/>
    <n v="16"/>
    <s v="Vol = Exp(-9.63519924+1.83658572*LN(DIAMETRO)+1.02444663*LN(ALTURATOTAL))"/>
    <n v="6.0975779374989041E-2"/>
  </r>
  <r>
    <n v="11"/>
    <x v="2"/>
    <n v="1"/>
    <n v="3"/>
    <n v="4"/>
    <s v="Polygonaceae"/>
    <s v="Coccoloba spicata"/>
    <s v="Boob"/>
    <n v="46"/>
    <n v="14.642254764454371"/>
    <n v="6"/>
    <n v="12"/>
    <m/>
    <s v="C"/>
    <s v="S"/>
    <x v="0"/>
    <x v="4"/>
    <x v="2"/>
    <n v="16"/>
    <s v="Vol = Exp(-9.63519924+1.83658572*LN(DIAMETRO)+1.02444663*LN(ALTURATOTAL))"/>
    <n v="0.1152892094778195"/>
  </r>
  <r>
    <n v="1"/>
    <x v="0"/>
    <n v="1"/>
    <n v="4"/>
    <n v="4"/>
    <s v="Polygonaceae"/>
    <s v="Coccoloba spicata"/>
    <s v="Boob"/>
    <n v="21"/>
    <n v="6.6845076098596046"/>
    <n v="6"/>
    <n v="8"/>
    <m/>
    <s v="C"/>
    <s v="S"/>
    <x v="0"/>
    <x v="0"/>
    <x v="0"/>
    <m/>
    <m/>
    <m/>
  </r>
  <r>
    <n v="6"/>
    <x v="1"/>
    <m/>
    <n v="3"/>
    <n v="3"/>
    <s v="Sapindaceae"/>
    <s v="Cupania dentata"/>
    <s v="Sak poom"/>
    <m/>
    <m/>
    <m/>
    <n v="4"/>
    <e v="#REF!"/>
    <m/>
    <s v="S"/>
    <x v="0"/>
    <x v="2"/>
    <x v="0"/>
    <m/>
    <m/>
    <m/>
  </r>
  <r>
    <n v="2"/>
    <x v="2"/>
    <n v="1"/>
    <n v="5"/>
    <n v="5"/>
    <s v="Polygonaceae"/>
    <s v="Coccoloba spicata"/>
    <s v="Boob"/>
    <n v="35"/>
    <n v="11.140846016432674"/>
    <n v="8"/>
    <n v="12"/>
    <m/>
    <s v="C"/>
    <s v="S"/>
    <x v="0"/>
    <x v="4"/>
    <x v="1"/>
    <n v="16"/>
    <s v="Vol = Exp(-9.63519924+1.83658572*LN(DIAMETRO)+1.02444663*LN(ALTURATOTAL))"/>
    <n v="6.9791847152597383E-2"/>
  </r>
  <r>
    <n v="9"/>
    <x v="2"/>
    <n v="1"/>
    <n v="5"/>
    <n v="5"/>
    <s v="Polygonaceae"/>
    <s v="Coccoloba spicata"/>
    <s v="Boob"/>
    <n v="32"/>
    <n v="10.185916357881302"/>
    <n v="4.5"/>
    <n v="9"/>
    <m/>
    <s v="C"/>
    <s v="S"/>
    <x v="0"/>
    <x v="1"/>
    <x v="1"/>
    <n v="16"/>
    <s v="Vol = Exp(-9.63519924+1.83658572*LN(DIAMETRO)+1.02444663*LN(ALTURATOTAL))"/>
    <n v="4.408950883936872E-2"/>
  </r>
  <r>
    <n v="10"/>
    <x v="2"/>
    <n v="1"/>
    <n v="5"/>
    <n v="5"/>
    <s v="Polygonaceae"/>
    <s v="Coccoloba spicata"/>
    <s v="Boob"/>
    <n v="32"/>
    <n v="10.185916357881302"/>
    <n v="4"/>
    <n v="10"/>
    <m/>
    <s v="C"/>
    <s v="S"/>
    <x v="0"/>
    <x v="1"/>
    <x v="1"/>
    <n v="16"/>
    <s v="Vol = Exp(-9.63519924+1.83658572*LN(DIAMETRO)+1.02444663*LN(ALTURATOTAL))"/>
    <n v="4.9114685538601273E-2"/>
  </r>
  <r>
    <n v="11"/>
    <x v="2"/>
    <n v="1"/>
    <n v="4"/>
    <n v="5"/>
    <s v="Polygonaceae"/>
    <s v="Coccoloba spicata"/>
    <s v="Boob"/>
    <n v="31.5"/>
    <n v="10.026761414789407"/>
    <n v="6"/>
    <n v="11"/>
    <m/>
    <s v="C"/>
    <s v="S"/>
    <x v="0"/>
    <x v="1"/>
    <x v="1"/>
    <n v="16"/>
    <s v="Vol = Exp(-9.63519924+1.83658572*LN(DIAMETRO)+1.02444663*LN(ALTURATOTAL))"/>
    <n v="5.2608361423648733E-2"/>
  </r>
  <r>
    <n v="8"/>
    <x v="0"/>
    <n v="1"/>
    <n v="5"/>
    <n v="5"/>
    <s v="Polygonaceae"/>
    <s v="Coccoloba spicata"/>
    <s v="Boob"/>
    <n v="22"/>
    <n v="7.0028174960433951"/>
    <n v="6"/>
    <n v="9"/>
    <m/>
    <s v="C"/>
    <s v="S"/>
    <x v="0"/>
    <x v="1"/>
    <x v="0"/>
    <m/>
    <m/>
    <m/>
  </r>
  <r>
    <n v="11"/>
    <x v="0"/>
    <n v="1"/>
    <n v="5"/>
    <n v="5"/>
    <s v="Polygonaceae"/>
    <s v="Coccoloba spicata"/>
    <s v="Boob"/>
    <n v="16"/>
    <n v="5.0929581789406511"/>
    <n v="6"/>
    <n v="8"/>
    <m/>
    <s v="C"/>
    <s v="S"/>
    <x v="0"/>
    <x v="0"/>
    <x v="0"/>
    <m/>
    <m/>
    <m/>
  </r>
  <r>
    <n v="6"/>
    <x v="1"/>
    <m/>
    <n v="4"/>
    <n v="4"/>
    <s v="Sapindaceae"/>
    <s v="Cupania dentata"/>
    <s v="Sak poom"/>
    <m/>
    <m/>
    <m/>
    <n v="2.5"/>
    <e v="#REF!"/>
    <m/>
    <s v="S"/>
    <x v="0"/>
    <x v="3"/>
    <x v="0"/>
    <m/>
    <m/>
    <m/>
  </r>
  <r>
    <n v="6"/>
    <x v="1"/>
    <m/>
    <n v="5"/>
    <n v="5"/>
    <s v="Polygonaceae"/>
    <s v="Coccoloba spicata"/>
    <s v="Boob"/>
    <m/>
    <m/>
    <m/>
    <n v="3"/>
    <e v="#REF!"/>
    <m/>
    <s v="S"/>
    <x v="0"/>
    <x v="3"/>
    <x v="0"/>
    <m/>
    <m/>
    <m/>
  </r>
  <r>
    <n v="11"/>
    <x v="0"/>
    <n v="1"/>
    <n v="6"/>
    <n v="6"/>
    <s v="Polygonaceae"/>
    <s v="Coccoloba spicata"/>
    <s v="Boob"/>
    <n v="15"/>
    <n v="4.7746482927568605"/>
    <n v="5"/>
    <n v="11"/>
    <m/>
    <s v="C"/>
    <s v="S"/>
    <x v="0"/>
    <x v="1"/>
    <x v="0"/>
    <m/>
    <m/>
    <m/>
  </r>
  <r>
    <n v="6"/>
    <x v="1"/>
    <m/>
    <n v="6"/>
    <n v="6"/>
    <s v="Sapindaceae"/>
    <s v="Cupania dentata"/>
    <s v="Sak poom"/>
    <m/>
    <m/>
    <m/>
    <n v="2.5"/>
    <e v="#REF!"/>
    <m/>
    <s v="S"/>
    <x v="0"/>
    <x v="3"/>
    <x v="0"/>
    <m/>
    <m/>
    <m/>
  </r>
  <r>
    <n v="5"/>
    <x v="2"/>
    <n v="1"/>
    <n v="7"/>
    <n v="7"/>
    <s v="Polygonaceae"/>
    <s v="Coccoloba spicata"/>
    <s v="Boob"/>
    <n v="40"/>
    <n v="12.732395447351628"/>
    <n v="6"/>
    <n v="9"/>
    <m/>
    <s v="C"/>
    <s v="S"/>
    <x v="0"/>
    <x v="1"/>
    <x v="2"/>
    <n v="16"/>
    <s v="Vol = Exp(-9.63519924+1.83658572*LN(DIAMETRO)+1.02444663*LN(ALTURATOTAL))"/>
    <n v="6.6423048964348835E-2"/>
  </r>
  <r>
    <n v="11"/>
    <x v="2"/>
    <n v="2"/>
    <n v="6"/>
    <n v="7"/>
    <s v="Polygonaceae"/>
    <s v="Coccoloba spicata"/>
    <s v="Boob"/>
    <n v="45.5"/>
    <n v="14.483099821362476"/>
    <n v="7"/>
    <n v="10"/>
    <m/>
    <s v="C"/>
    <s v="S"/>
    <x v="0"/>
    <x v="1"/>
    <x v="2"/>
    <n v="16"/>
    <s v="Vol = Exp(-9.63519924+1.83658572*LN(DIAMETRO)+1.02444663*LN(ALTURATOTAL))"/>
    <n v="9.3746371218650273E-2"/>
  </r>
  <r>
    <n v="11"/>
    <x v="0"/>
    <n v="1"/>
    <n v="7"/>
    <n v="7"/>
    <s v="Polygonaceae"/>
    <s v="Coccoloba spicata"/>
    <s v="Boob"/>
    <n v="19"/>
    <n v="6.0478878374920226"/>
    <n v="8"/>
    <n v="10"/>
    <m/>
    <s v="C"/>
    <s v="S"/>
    <x v="0"/>
    <x v="1"/>
    <x v="0"/>
    <m/>
    <m/>
    <m/>
  </r>
  <r>
    <n v="6"/>
    <x v="1"/>
    <m/>
    <n v="7"/>
    <n v="7"/>
    <s v="Araliaceae"/>
    <s v="Dendropanax arboreus"/>
    <s v="Sak chacaj"/>
    <m/>
    <m/>
    <m/>
    <n v="3"/>
    <e v="#REF!"/>
    <m/>
    <s v="S"/>
    <x v="0"/>
    <x v="3"/>
    <x v="0"/>
    <m/>
    <m/>
    <m/>
  </r>
  <r>
    <n v="6"/>
    <x v="2"/>
    <n v="2"/>
    <n v="7"/>
    <n v="8"/>
    <s v="Polygonaceae"/>
    <s v="Coccoloba spicata"/>
    <s v="Boob"/>
    <n v="33"/>
    <n v="10.504226244065093"/>
    <n v="7"/>
    <n v="12"/>
    <m/>
    <s v="C"/>
    <s v="S"/>
    <x v="0"/>
    <x v="4"/>
    <x v="1"/>
    <n v="16"/>
    <s v="Vol = Exp(-9.63519924+1.83658572*LN(DIAMETRO)+1.02444663*LN(ALTURATOTAL))"/>
    <n v="6.2642977111450393E-2"/>
  </r>
  <r>
    <n v="11"/>
    <x v="2"/>
    <n v="2"/>
    <n v="7"/>
    <n v="8"/>
    <s v="Polygonaceae"/>
    <s v="Coccoloba spicata"/>
    <s v="Boob"/>
    <n v="36"/>
    <n v="11.459155902616464"/>
    <n v="6"/>
    <n v="11"/>
    <m/>
    <s v="C"/>
    <s v="S"/>
    <x v="0"/>
    <x v="1"/>
    <x v="1"/>
    <n v="16"/>
    <s v="Vol = Exp(-9.63519924+1.83658572*LN(DIAMETRO)+1.02444663*LN(ALTURATOTAL))"/>
    <n v="6.7229821297668677E-2"/>
  </r>
  <r>
    <n v="2"/>
    <x v="0"/>
    <n v="2"/>
    <n v="8"/>
    <n v="8"/>
    <s v="Polygonaceae"/>
    <s v="Coccoloba spicata"/>
    <s v="Boob"/>
    <n v="16"/>
    <n v="5.0929581789406511"/>
    <n v="3.5"/>
    <n v="7"/>
    <m/>
    <s v="C"/>
    <s v="S"/>
    <x v="0"/>
    <x v="0"/>
    <x v="0"/>
    <m/>
    <m/>
    <m/>
  </r>
  <r>
    <n v="6"/>
    <x v="0"/>
    <n v="1"/>
    <n v="8"/>
    <n v="8"/>
    <s v="Polygonaceae"/>
    <s v="Coccoloba spicata"/>
    <s v="Boob"/>
    <n v="21.5"/>
    <n v="6.8436625529514998"/>
    <n v="6"/>
    <n v="11"/>
    <m/>
    <s v="C"/>
    <s v="S"/>
    <x v="0"/>
    <x v="1"/>
    <x v="0"/>
    <m/>
    <m/>
    <m/>
  </r>
  <r>
    <n v="9"/>
    <x v="2"/>
    <n v="2"/>
    <n v="9"/>
    <n v="9"/>
    <s v="Polygonaceae"/>
    <s v="Coccoloba spicata"/>
    <s v="Boob"/>
    <n v="32"/>
    <n v="10.185916357881302"/>
    <n v="7"/>
    <n v="12"/>
    <m/>
    <s v="C"/>
    <s v="S"/>
    <x v="0"/>
    <x v="4"/>
    <x v="1"/>
    <n v="16"/>
    <s v="Vol = Exp(-9.63519924+1.83658572*LN(DIAMETRO)+1.02444663*LN(ALTURATOTAL))"/>
    <n v="5.9200902635031444E-2"/>
  </r>
  <r>
    <n v="6"/>
    <x v="1"/>
    <m/>
    <n v="8"/>
    <n v="8"/>
    <s v="Araliaceae"/>
    <s v="Dendropanax arboreus"/>
    <s v="Sak chacaj"/>
    <m/>
    <m/>
    <m/>
    <n v="8"/>
    <e v="#REF!"/>
    <m/>
    <s v="S"/>
    <x v="0"/>
    <x v="0"/>
    <x v="0"/>
    <m/>
    <m/>
    <m/>
  </r>
  <r>
    <n v="3"/>
    <x v="2"/>
    <n v="1"/>
    <n v="10"/>
    <n v="10"/>
    <s v="Polygonaceae"/>
    <s v="Coccoloba spicata"/>
    <s v="Boob"/>
    <n v="42"/>
    <n v="13.369015219719209"/>
    <n v="5.5"/>
    <n v="9"/>
    <m/>
    <s v="C"/>
    <s v="S"/>
    <x v="0"/>
    <x v="1"/>
    <x v="2"/>
    <n v="16"/>
    <s v="Vol = Exp(-9.63519924+1.83658572*LN(DIAMETRO)+1.02444663*LN(ALTURATOTAL))"/>
    <n v="7.2649858185882196E-2"/>
  </r>
  <r>
    <n v="10"/>
    <x v="2"/>
    <n v="3"/>
    <n v="10"/>
    <n v="10"/>
    <s v="Polygonaceae"/>
    <s v="Coccoloba spicata"/>
    <s v="Boob"/>
    <n v="47"/>
    <n v="14.960564650638162"/>
    <n v="4"/>
    <n v="10"/>
    <m/>
    <s v="C"/>
    <s v="S"/>
    <x v="0"/>
    <x v="1"/>
    <x v="2"/>
    <n v="16"/>
    <s v="Vol = Exp(-9.63519924+1.83658572*LN(DIAMETRO)+1.02444663*LN(ALTURATOTAL))"/>
    <n v="9.9500544983716244E-2"/>
  </r>
  <r>
    <n v="6"/>
    <x v="2"/>
    <n v="3"/>
    <n v="10"/>
    <n v="11"/>
    <s v="Polygonaceae"/>
    <s v="Coccoloba spicata"/>
    <s v="Boob"/>
    <n v="35"/>
    <n v="11.140846016432674"/>
    <n v="6"/>
    <n v="13"/>
    <m/>
    <s v="C"/>
    <s v="S"/>
    <x v="0"/>
    <x v="4"/>
    <x v="1"/>
    <n v="16"/>
    <s v="Vol = Exp(-9.63519924+1.83658572*LN(DIAMETRO)+1.02444663*LN(ALTURATOTAL))"/>
    <n v="7.5755926738959659E-2"/>
  </r>
  <r>
    <n v="9"/>
    <x v="2"/>
    <n v="3"/>
    <n v="11"/>
    <n v="11"/>
    <s v="Polygonaceae"/>
    <s v="Coccoloba spicata"/>
    <s v="Boob"/>
    <n v="35.5"/>
    <n v="11.300000959524569"/>
    <n v="5"/>
    <n v="10"/>
    <m/>
    <s v="C"/>
    <s v="S"/>
    <x v="0"/>
    <x v="1"/>
    <x v="1"/>
    <n v="16"/>
    <s v="Vol = Exp(-9.63519924+1.83658572*LN(DIAMETRO)+1.02444663*LN(ALTURATOTAL))"/>
    <n v="5.9429443989314337E-2"/>
  </r>
  <r>
    <n v="10"/>
    <x v="2"/>
    <n v="3"/>
    <n v="11"/>
    <n v="11"/>
    <s v="Polygonaceae"/>
    <s v="Coccoloba spicata"/>
    <s v="Boob"/>
    <n v="36"/>
    <n v="11.459155902616464"/>
    <n v="5"/>
    <n v="12"/>
    <m/>
    <s v="C"/>
    <s v="S"/>
    <x v="0"/>
    <x v="4"/>
    <x v="1"/>
    <n v="16"/>
    <s v="Vol = Exp(-9.63519924+1.83658572*LN(DIAMETRO)+1.02444663*LN(ALTURATOTAL))"/>
    <n v="7.3497796805331805E-2"/>
  </r>
  <r>
    <n v="6"/>
    <x v="2"/>
    <n v="4"/>
    <n v="11"/>
    <n v="12"/>
    <s v="Polygonaceae"/>
    <s v="Coccoloba spicata"/>
    <s v="Boob"/>
    <n v="34.5"/>
    <n v="10.981691073340778"/>
    <n v="3"/>
    <n v="10"/>
    <m/>
    <s v="C"/>
    <s v="S"/>
    <x v="0"/>
    <x v="1"/>
    <x v="1"/>
    <n v="16"/>
    <s v="Vol = Exp(-9.63519924+1.83658572*LN(DIAMETRO)+1.02444663*LN(ALTURATOTAL))"/>
    <n v="5.6391156457334175E-2"/>
  </r>
  <r>
    <n v="9"/>
    <x v="2"/>
    <n v="3"/>
    <n v="12"/>
    <n v="12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3"/>
    <x v="0"/>
    <n v="3"/>
    <n v="12"/>
    <n v="12"/>
    <s v="Polygonaceae"/>
    <s v="Coccoloba spicata"/>
    <s v="Boob"/>
    <n v="17"/>
    <n v="5.4112680651244416"/>
    <n v="5"/>
    <n v="8"/>
    <m/>
    <s v="C"/>
    <s v="S"/>
    <x v="0"/>
    <x v="0"/>
    <x v="0"/>
    <m/>
    <m/>
    <m/>
  </r>
  <r>
    <n v="6"/>
    <x v="1"/>
    <m/>
    <n v="9"/>
    <n v="9"/>
    <s v="Araliaceae"/>
    <s v="Dendropanax arboreus"/>
    <s v="Sak chacaj"/>
    <m/>
    <m/>
    <m/>
    <n v="7"/>
    <e v="#REF!"/>
    <m/>
    <s v="S"/>
    <x v="0"/>
    <x v="0"/>
    <x v="0"/>
    <m/>
    <m/>
    <m/>
  </r>
  <r>
    <n v="9"/>
    <x v="2"/>
    <n v="3"/>
    <n v="13"/>
    <n v="13"/>
    <s v="Polygonaceae"/>
    <s v="Coccoloba spicata"/>
    <s v="Boob"/>
    <n v="37"/>
    <n v="11.777465788800255"/>
    <n v="5.5"/>
    <n v="10"/>
    <m/>
    <s v="C"/>
    <s v="S"/>
    <x v="0"/>
    <x v="1"/>
    <x v="1"/>
    <n v="16"/>
    <s v="Vol = Exp(-9.63519924+1.83658572*LN(DIAMETRO)+1.02444663*LN(ALTURATOTAL))"/>
    <n v="6.4122626594503129E-2"/>
  </r>
  <r>
    <n v="10"/>
    <x v="2"/>
    <n v="4"/>
    <n v="13"/>
    <n v="13"/>
    <s v="Polygonaceae"/>
    <s v="Coccoloba spicata"/>
    <s v="Boob"/>
    <n v="31.5"/>
    <n v="10.026761414789407"/>
    <n v="5"/>
    <n v="11"/>
    <m/>
    <s v="C"/>
    <s v="S"/>
    <x v="0"/>
    <x v="1"/>
    <x v="1"/>
    <n v="16"/>
    <s v="Vol = Exp(-9.63519924+1.83658572*LN(DIAMETRO)+1.02444663*LN(ALTURATOTAL))"/>
    <n v="5.2608361423648733E-2"/>
  </r>
  <r>
    <n v="10"/>
    <x v="0"/>
    <n v="1"/>
    <n v="13"/>
    <n v="13"/>
    <s v="Polygonaceae"/>
    <s v="Coccoloba spicata"/>
    <s v="Boob"/>
    <n v="29.5"/>
    <n v="9.3901416424218258"/>
    <n v="5"/>
    <n v="10"/>
    <m/>
    <s v="C"/>
    <s v="S"/>
    <x v="0"/>
    <x v="1"/>
    <x v="1"/>
    <m/>
    <m/>
    <m/>
  </r>
  <r>
    <n v="11"/>
    <x v="0"/>
    <n v="1"/>
    <n v="13"/>
    <n v="13"/>
    <s v="Polygonaceae"/>
    <s v="Coccoloba spicata"/>
    <s v="Boob"/>
    <n v="18.5"/>
    <n v="5.8887328944001274"/>
    <n v="6"/>
    <n v="8"/>
    <m/>
    <s v="C"/>
    <s v="S"/>
    <x v="0"/>
    <x v="0"/>
    <x v="0"/>
    <m/>
    <m/>
    <m/>
  </r>
  <r>
    <n v="6"/>
    <x v="1"/>
    <m/>
    <n v="10"/>
    <n v="10"/>
    <s v="Rubiaceae"/>
    <s v="Guettarda combsii "/>
    <s v="Tasta'ab"/>
    <m/>
    <m/>
    <m/>
    <n v="2"/>
    <e v="#REF!"/>
    <m/>
    <s v="S"/>
    <x v="0"/>
    <x v="3"/>
    <x v="0"/>
    <m/>
    <m/>
    <m/>
  </r>
  <r>
    <n v="5"/>
    <x v="2"/>
    <n v="1"/>
    <n v="13"/>
    <n v="14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9"/>
    <x v="2"/>
    <n v="3"/>
    <n v="14"/>
    <n v="14"/>
    <s v="Polygonaceae"/>
    <s v="Coccoloba spicata"/>
    <s v="Boob"/>
    <n v="32"/>
    <n v="10.185916357881302"/>
    <n v="6"/>
    <n v="12"/>
    <m/>
    <s v="C"/>
    <s v="S"/>
    <x v="0"/>
    <x v="4"/>
    <x v="1"/>
    <n v="16"/>
    <s v="Vol = Exp(-9.63519924+1.83658572*LN(DIAMETRO)+1.02444663*LN(ALTURATOTAL))"/>
    <n v="5.9200902635031444E-2"/>
  </r>
  <r>
    <n v="11"/>
    <x v="0"/>
    <n v="1"/>
    <n v="14"/>
    <n v="14"/>
    <s v="Polygonaceae"/>
    <s v="Coccoloba spicata"/>
    <s v="Boob"/>
    <n v="24"/>
    <n v="7.6394372684109761"/>
    <n v="6"/>
    <n v="8"/>
    <m/>
    <s v="C"/>
    <s v="S"/>
    <x v="0"/>
    <x v="0"/>
    <x v="1"/>
    <m/>
    <m/>
    <m/>
  </r>
  <r>
    <n v="6"/>
    <x v="1"/>
    <m/>
    <n v="11"/>
    <n v="11"/>
    <s v="Leguminosae"/>
    <s v="Lonchocarpus rugosus"/>
    <s v="Kanasin"/>
    <m/>
    <m/>
    <m/>
    <n v="1"/>
    <e v="#REF!"/>
    <m/>
    <s v="S"/>
    <x v="0"/>
    <x v="3"/>
    <x v="0"/>
    <m/>
    <m/>
    <m/>
  </r>
  <r>
    <n v="4"/>
    <x v="0"/>
    <n v="2"/>
    <n v="14"/>
    <n v="15"/>
    <s v="Polygonaceae"/>
    <s v="Coccoloba spicata"/>
    <s v="Boob"/>
    <n v="22.5"/>
    <n v="7.1619724391352904"/>
    <n v="1.3"/>
    <n v="6"/>
    <m/>
    <s v="C"/>
    <s v="S"/>
    <x v="0"/>
    <x v="2"/>
    <x v="0"/>
    <m/>
    <m/>
    <m/>
  </r>
  <r>
    <n v="11"/>
    <x v="0"/>
    <n v="2"/>
    <n v="15"/>
    <n v="15"/>
    <s v="Polygonaceae"/>
    <s v="Coccoloba spicata"/>
    <s v="Boob"/>
    <n v="18"/>
    <n v="5.7295779513082321"/>
    <n v="3.5"/>
    <n v="7"/>
    <m/>
    <s v="C"/>
    <s v="S"/>
    <x v="0"/>
    <x v="0"/>
    <x v="0"/>
    <m/>
    <m/>
    <m/>
  </r>
  <r>
    <n v="6"/>
    <x v="1"/>
    <m/>
    <n v="12"/>
    <n v="12"/>
    <s v="Polygonaceae"/>
    <s v="Coccoloba spicata"/>
    <s v="Boob"/>
    <m/>
    <m/>
    <m/>
    <n v="2.2000000000000002"/>
    <e v="#REF!"/>
    <m/>
    <s v="S"/>
    <x v="0"/>
    <x v="3"/>
    <x v="0"/>
    <m/>
    <m/>
    <m/>
  </r>
  <r>
    <n v="2"/>
    <x v="2"/>
    <n v="1"/>
    <n v="16"/>
    <n v="16"/>
    <s v="Polygonaceae"/>
    <s v="Coccoloba spicata"/>
    <s v="Boob"/>
    <n v="31.5"/>
    <n v="10.026761414789407"/>
    <n v="6"/>
    <n v="9"/>
    <m/>
    <s v="C"/>
    <s v="S"/>
    <x v="0"/>
    <x v="1"/>
    <x v="1"/>
    <n v="16"/>
    <s v="Vol = Exp(-9.63519924+1.83658572*LN(DIAMETRO)+1.02444663*LN(ALTURATOTAL))"/>
    <n v="4.2832563889274963E-2"/>
  </r>
  <r>
    <n v="11"/>
    <x v="2"/>
    <n v="3"/>
    <n v="15"/>
    <n v="16"/>
    <s v="Polygonaceae"/>
    <s v="Coccoloba spicata"/>
    <s v="Boob"/>
    <n v="31.5"/>
    <n v="10.026761414789407"/>
    <n v="5"/>
    <n v="12"/>
    <m/>
    <s v="C"/>
    <s v="S"/>
    <x v="0"/>
    <x v="4"/>
    <x v="1"/>
    <n v="16"/>
    <s v="Vol = Exp(-9.63519924+1.83658572*LN(DIAMETRO)+1.02444663*LN(ALTURATOTAL))"/>
    <n v="5.751314793857517E-2"/>
  </r>
  <r>
    <n v="6"/>
    <x v="1"/>
    <m/>
    <n v="13"/>
    <n v="13"/>
    <s v="Polygonaceae"/>
    <s v="Coccoloba spicata"/>
    <s v="Boob"/>
    <m/>
    <m/>
    <m/>
    <n v="1.9"/>
    <e v="#REF!"/>
    <m/>
    <s v="S"/>
    <x v="0"/>
    <x v="3"/>
    <x v="0"/>
    <m/>
    <m/>
    <m/>
  </r>
  <r>
    <n v="6"/>
    <x v="2"/>
    <n v="4"/>
    <n v="16"/>
    <n v="17"/>
    <s v="Polygonaceae"/>
    <s v="Coccoloba spicata"/>
    <s v="Boob"/>
    <n v="34"/>
    <n v="10.822536130248883"/>
    <n v="5.5"/>
    <n v="11"/>
    <m/>
    <s v="C"/>
    <s v="S"/>
    <x v="0"/>
    <x v="1"/>
    <x v="1"/>
    <n v="16"/>
    <s v="Vol = Exp(-9.63519924+1.83658572*LN(DIAMETRO)+1.02444663*LN(ALTURATOTAL))"/>
    <n v="6.0530089697250426E-2"/>
  </r>
  <r>
    <n v="11"/>
    <x v="2"/>
    <n v="3"/>
    <n v="16"/>
    <n v="17"/>
    <s v="Polygonaceae"/>
    <s v="Coccoloba spicata"/>
    <s v="Boob"/>
    <n v="35"/>
    <n v="11.140846016432674"/>
    <n v="6"/>
    <n v="13"/>
    <m/>
    <s v="C"/>
    <s v="S"/>
    <x v="0"/>
    <x v="4"/>
    <x v="1"/>
    <n v="16"/>
    <s v="Vol = Exp(-9.63519924+1.83658572*LN(DIAMETRO)+1.02444663*LN(ALTURATOTAL))"/>
    <n v="7.5755926738959659E-2"/>
  </r>
  <r>
    <n v="7"/>
    <x v="2"/>
    <n v="2"/>
    <n v="15"/>
    <n v="18"/>
    <s v="Polygonaceae"/>
    <s v="Coccoloba spicata"/>
    <s v="Boob"/>
    <n v="49"/>
    <n v="15.597184423005743"/>
    <n v="9"/>
    <n v="13"/>
    <m/>
    <s v="C"/>
    <s v="S"/>
    <x v="0"/>
    <x v="4"/>
    <x v="2"/>
    <n v="16"/>
    <s v="Vol = Exp(-9.63519924+1.83658572*LN(DIAMETRO)+1.02444663*LN(ALTURATOTAL))"/>
    <n v="0.14053784150461127"/>
  </r>
  <r>
    <n v="11"/>
    <x v="2"/>
    <n v="3"/>
    <n v="17"/>
    <n v="18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6"/>
    <x v="1"/>
    <m/>
    <n v="14"/>
    <n v="14"/>
    <s v="Polygonaceae"/>
    <s v="Coccoloba spicata"/>
    <s v="Boob"/>
    <m/>
    <m/>
    <m/>
    <n v="2.5"/>
    <e v="#REF!"/>
    <m/>
    <s v="S"/>
    <x v="0"/>
    <x v="3"/>
    <x v="0"/>
    <m/>
    <m/>
    <m/>
  </r>
  <r>
    <n v="2"/>
    <x v="2"/>
    <n v="2"/>
    <n v="20"/>
    <n v="20"/>
    <s v="Polygonaceae"/>
    <s v="Coccoloba spicata"/>
    <s v="Boob"/>
    <n v="34.5"/>
    <n v="10.981691073340778"/>
    <n v="7"/>
    <n v="10"/>
    <m/>
    <s v="C"/>
    <s v="S"/>
    <x v="0"/>
    <x v="1"/>
    <x v="1"/>
    <n v="16"/>
    <s v="Vol = Exp(-9.63519924+1.83658572*LN(DIAMETRO)+1.02444663*LN(ALTURATOTAL))"/>
    <n v="5.6391156457334175E-2"/>
  </r>
  <r>
    <n v="11"/>
    <x v="2"/>
    <n v="4"/>
    <n v="20"/>
    <n v="21"/>
    <s v="Polygonaceae"/>
    <s v="Coccoloba spicata"/>
    <s v="Boob"/>
    <n v="36"/>
    <n v="11.459155902616464"/>
    <n v="6"/>
    <n v="12"/>
    <m/>
    <s v="C"/>
    <s v="S"/>
    <x v="0"/>
    <x v="4"/>
    <x v="1"/>
    <n v="16"/>
    <s v="Vol = Exp(-9.63519924+1.83658572*LN(DIAMETRO)+1.02444663*LN(ALTURATOTAL))"/>
    <n v="7.3497796805331805E-2"/>
  </r>
  <r>
    <n v="8"/>
    <x v="2"/>
    <n v="2"/>
    <n v="20"/>
    <n v="22"/>
    <s v="Polygonaceae"/>
    <s v="Coccoloba spicata"/>
    <s v="Boob"/>
    <n v="34"/>
    <n v="10.822536130248883"/>
    <n v="8"/>
    <n v="11"/>
    <m/>
    <s v="C"/>
    <s v="S"/>
    <x v="0"/>
    <x v="1"/>
    <x v="1"/>
    <n v="16"/>
    <s v="Vol = Exp(-9.63519924+1.83658572*LN(DIAMETRO)+1.02444663*LN(ALTURATOTAL))"/>
    <n v="6.0530089697250426E-2"/>
  </r>
  <r>
    <n v="11"/>
    <x v="2"/>
    <n v="4"/>
    <n v="21"/>
    <n v="22"/>
    <s v="Polygonaceae"/>
    <s v="Coccoloba spicata"/>
    <s v="Boob"/>
    <n v="38.5"/>
    <n v="12.254930618075941"/>
    <n v="1.4"/>
    <n v="12"/>
    <m/>
    <s v="C"/>
    <s v="S"/>
    <x v="0"/>
    <x v="4"/>
    <x v="1"/>
    <n v="16"/>
    <s v="Vol = Exp(-9.63519924+1.83658572*LN(DIAMETRO)+1.02444663*LN(ALTURATOTAL))"/>
    <n v="8.3143041429044176E-2"/>
  </r>
  <r>
    <n v="11"/>
    <x v="0"/>
    <n v="3"/>
    <n v="22"/>
    <n v="22"/>
    <s v="Polygonaceae"/>
    <s v="Coccoloba spicata"/>
    <s v="Boob"/>
    <n v="22"/>
    <n v="7.0028174960433951"/>
    <n v="3.5"/>
    <n v="8"/>
    <m/>
    <s v="C"/>
    <s v="S"/>
    <x v="0"/>
    <x v="0"/>
    <x v="0"/>
    <m/>
    <m/>
    <m/>
  </r>
  <r>
    <n v="5"/>
    <x v="2"/>
    <n v="2"/>
    <n v="21"/>
    <n v="23"/>
    <s v="Polygonaceae"/>
    <s v="Coccoloba spicata"/>
    <s v="Boob"/>
    <n v="33"/>
    <n v="10.504226244065093"/>
    <n v="4"/>
    <n v="10"/>
    <m/>
    <s v="C"/>
    <s v="S"/>
    <x v="0"/>
    <x v="1"/>
    <x v="1"/>
    <n v="16"/>
    <s v="Vol = Exp(-9.63519924+1.83658572*LN(DIAMETRO)+1.02444663*LN(ALTURATOTAL))"/>
    <n v="5.1970324523567132E-2"/>
  </r>
  <r>
    <n v="8"/>
    <x v="2"/>
    <n v="2"/>
    <n v="21"/>
    <n v="23"/>
    <s v="Polygonaceae"/>
    <s v="Coccoloba spicata"/>
    <s v="Boob"/>
    <n v="41.5"/>
    <n v="13.209860276627314"/>
    <n v="9"/>
    <n v="12"/>
    <m/>
    <s v="C"/>
    <s v="S"/>
    <x v="0"/>
    <x v="4"/>
    <x v="2"/>
    <n v="16"/>
    <s v="Vol = Exp(-9.63519924+1.83658572*LN(DIAMETRO)+1.02444663*LN(ALTURATOTAL))"/>
    <n v="9.5427907409601123E-2"/>
  </r>
  <r>
    <n v="6"/>
    <x v="0"/>
    <n v="3"/>
    <n v="20"/>
    <n v="23"/>
    <s v="Polygonaceae"/>
    <s v="Coccoloba spicata"/>
    <s v="Boob"/>
    <n v="16.5"/>
    <n v="5.2521131220325463"/>
    <n v="5"/>
    <n v="8"/>
    <m/>
    <s v="C"/>
    <s v="S"/>
    <x v="0"/>
    <x v="0"/>
    <x v="0"/>
    <m/>
    <m/>
    <m/>
  </r>
  <r>
    <n v="11"/>
    <x v="0"/>
    <n v="3"/>
    <n v="23"/>
    <n v="23"/>
    <s v="Polygonaceae"/>
    <s v="Coccoloba spicata"/>
    <s v="Boob"/>
    <n v="21.5"/>
    <n v="6.8436625529514998"/>
    <n v="3.5"/>
    <n v="8"/>
    <m/>
    <s v="C"/>
    <s v="S"/>
    <x v="0"/>
    <x v="0"/>
    <x v="0"/>
    <m/>
    <m/>
    <m/>
  </r>
  <r>
    <n v="5"/>
    <x v="2"/>
    <n v="2"/>
    <n v="22"/>
    <n v="24"/>
    <s v="Polygonaceae"/>
    <s v="Coccoloba spicata"/>
    <s v="Boob"/>
    <n v="35"/>
    <n v="11.140846016432674"/>
    <n v="6"/>
    <n v="11"/>
    <m/>
    <s v="C"/>
    <s v="S"/>
    <x v="0"/>
    <x v="1"/>
    <x v="1"/>
    <n v="16"/>
    <s v="Vol = Exp(-9.63519924+1.83658572*LN(DIAMETRO)+1.02444663*LN(ALTURATOTAL))"/>
    <n v="6.3839919236367462E-2"/>
  </r>
  <r>
    <n v="9"/>
    <x v="0"/>
    <n v="2"/>
    <n v="24"/>
    <n v="24"/>
    <s v="Polygonaceae"/>
    <s v="Coccoloba spicata"/>
    <s v="Boob"/>
    <n v="21"/>
    <n v="6.6845076098596046"/>
    <n v="3"/>
    <n v="9"/>
    <m/>
    <s v="C"/>
    <s v="S"/>
    <x v="0"/>
    <x v="1"/>
    <x v="0"/>
    <m/>
    <m/>
    <m/>
  </r>
  <r>
    <n v="1"/>
    <x v="2"/>
    <n v="4"/>
    <n v="22"/>
    <n v="25"/>
    <s v="Polygonaceae"/>
    <s v="Coccoloba spicata"/>
    <s v="Boob"/>
    <n v="54.5"/>
    <n v="17.347888797016591"/>
    <n v="8"/>
    <n v="15"/>
    <m/>
    <s v="C"/>
    <s v="S"/>
    <x v="0"/>
    <x v="5"/>
    <x v="2"/>
    <n v="16"/>
    <s v="Vol = Exp(-9.63519924+1.83658572*LN(DIAMETRO)+1.02444663*LN(ALTURATOTAL))"/>
    <n v="0.19783882699633751"/>
  </r>
  <r>
    <n v="9"/>
    <x v="0"/>
    <n v="2"/>
    <n v="25"/>
    <n v="25"/>
    <s v="Polygonaceae"/>
    <s v="Coccoloba spicata"/>
    <s v="Boob"/>
    <n v="25"/>
    <n v="7.9577471545947667"/>
    <n v="5"/>
    <n v="9"/>
    <m/>
    <s v="C"/>
    <s v="S"/>
    <x v="0"/>
    <x v="1"/>
    <x v="1"/>
    <m/>
    <m/>
    <m/>
  </r>
  <r>
    <n v="11"/>
    <x v="0"/>
    <n v="3"/>
    <n v="25"/>
    <n v="25"/>
    <s v="Polygonaceae"/>
    <s v="Coccoloba spicata"/>
    <s v="Boob"/>
    <n v="18"/>
    <n v="5.7295779513082321"/>
    <n v="5.5"/>
    <n v="5.5"/>
    <m/>
    <s v="C"/>
    <s v="S"/>
    <x v="0"/>
    <x v="2"/>
    <x v="0"/>
    <m/>
    <m/>
    <m/>
  </r>
  <r>
    <n v="9"/>
    <x v="2"/>
    <n v="4"/>
    <n v="23"/>
    <n v="26"/>
    <s v="Polygonaceae"/>
    <s v="Coccoloba spicata"/>
    <s v="Boob"/>
    <n v="35.5"/>
    <n v="11.300000959524569"/>
    <n v="2.2000000000000002"/>
    <n v="9"/>
    <m/>
    <s v="C"/>
    <s v="S"/>
    <x v="0"/>
    <x v="1"/>
    <x v="1"/>
    <n v="16"/>
    <s v="Vol = Exp(-9.63519924+1.83658572*LN(DIAMETRO)+1.02444663*LN(ALTURATOTAL))"/>
    <n v="5.3348911172938406E-2"/>
  </r>
  <r>
    <n v="9"/>
    <x v="2"/>
    <n v="4"/>
    <n v="25"/>
    <n v="28"/>
    <s v="Polygonaceae"/>
    <s v="Coccoloba spicata"/>
    <s v="Boob"/>
    <n v="37.200000000000003"/>
    <n v="11.841127766037014"/>
    <n v="4"/>
    <n v="10"/>
    <m/>
    <s v="C"/>
    <s v="S"/>
    <x v="0"/>
    <x v="1"/>
    <x v="1"/>
    <n v="16"/>
    <s v="Vol = Exp(-9.63519924+1.83658572*LN(DIAMETRO)+1.02444663*LN(ALTURATOTAL))"/>
    <n v="6.4760642257022452E-2"/>
  </r>
  <r>
    <n v="4"/>
    <x v="2"/>
    <n v="2"/>
    <n v="28"/>
    <n v="29"/>
    <s v="Polygonaceae"/>
    <s v="Coccoloba spicata"/>
    <s v="Boob"/>
    <n v="48.5"/>
    <n v="15.438029479913848"/>
    <n v="3.5"/>
    <n v="13"/>
    <m/>
    <s v="C"/>
    <s v="S"/>
    <x v="0"/>
    <x v="4"/>
    <x v="2"/>
    <n v="16"/>
    <s v="Vol = Exp(-9.63519924+1.83658572*LN(DIAMETRO)+1.02444663*LN(ALTURATOTAL))"/>
    <n v="0.13791531609601446"/>
  </r>
  <r>
    <n v="5"/>
    <x v="2"/>
    <n v="3"/>
    <n v="28"/>
    <n v="30"/>
    <s v="Polygonaceae"/>
    <s v="Coccoloba spicata"/>
    <s v="Boob"/>
    <n v="31.5"/>
    <n v="10.026761414789407"/>
    <n v="6"/>
    <n v="9"/>
    <m/>
    <s v="C"/>
    <s v="S"/>
    <x v="0"/>
    <x v="1"/>
    <x v="1"/>
    <n v="16"/>
    <s v="Vol = Exp(-9.63519924+1.83658572*LN(DIAMETRO)+1.02444663*LN(ALTURATOTAL))"/>
    <n v="4.2832563889274963E-2"/>
  </r>
  <r>
    <n v="11"/>
    <x v="0"/>
    <n v="3"/>
    <n v="30"/>
    <n v="30"/>
    <s v="Polygonaceae"/>
    <s v="Coccoloba spicata"/>
    <s v="Boob"/>
    <n v="18.5"/>
    <n v="5.8887328944001274"/>
    <n v="3"/>
    <n v="6"/>
    <m/>
    <s v="C"/>
    <s v="S"/>
    <x v="0"/>
    <x v="2"/>
    <x v="0"/>
    <m/>
    <m/>
    <m/>
  </r>
  <r>
    <n v="5"/>
    <x v="2"/>
    <n v="3"/>
    <n v="29"/>
    <n v="31"/>
    <s v="Polygonaceae"/>
    <s v="Coccoloba spicata"/>
    <s v="Boob"/>
    <n v="35"/>
    <n v="11.140846016432674"/>
    <n v="5.5"/>
    <n v="11"/>
    <m/>
    <s v="C"/>
    <s v="S"/>
    <x v="0"/>
    <x v="1"/>
    <x v="1"/>
    <n v="16"/>
    <s v="Vol = Exp(-9.63519924+1.83658572*LN(DIAMETRO)+1.02444663*LN(ALTURATOTAL))"/>
    <n v="6.3839919236367462E-2"/>
  </r>
  <r>
    <n v="2"/>
    <x v="2"/>
    <n v="2"/>
    <n v="31"/>
    <n v="32"/>
    <s v="Polygonaceae"/>
    <s v="Coccoloba spicata"/>
    <s v="Boob"/>
    <n v="48"/>
    <n v="15.278874536821952"/>
    <n v="7"/>
    <n v="11"/>
    <m/>
    <s v="C"/>
    <s v="S"/>
    <x v="0"/>
    <x v="1"/>
    <x v="2"/>
    <n v="16"/>
    <s v="Vol = Exp(-9.63519924+1.83658572*LN(DIAMETRO)+1.02444663*LN(ALTURATOTAL))"/>
    <n v="0.11403092739822697"/>
  </r>
  <r>
    <n v="5"/>
    <x v="2"/>
    <n v="3"/>
    <n v="30"/>
    <n v="32"/>
    <s v="Polygonaceae"/>
    <s v="Coccoloba spicata"/>
    <s v="Boob"/>
    <n v="34"/>
    <n v="10.822536130248883"/>
    <n v="6"/>
    <n v="10"/>
    <m/>
    <s v="C"/>
    <s v="S"/>
    <x v="0"/>
    <x v="1"/>
    <x v="1"/>
    <n v="16"/>
    <s v="Vol = Exp(-9.63519924+1.83658572*LN(DIAMETRO)+1.02444663*LN(ALTURATOTAL))"/>
    <n v="5.489928909056653E-2"/>
  </r>
  <r>
    <n v="4"/>
    <x v="2"/>
    <n v="2"/>
    <n v="32"/>
    <n v="33"/>
    <s v="Polygonaceae"/>
    <s v="Coccoloba spicata"/>
    <s v="Boob"/>
    <n v="33"/>
    <n v="10.504226244065093"/>
    <n v="4"/>
    <n v="9"/>
    <m/>
    <s v="C"/>
    <s v="S"/>
    <x v="0"/>
    <x v="1"/>
    <x v="1"/>
    <n v="16"/>
    <s v="Vol = Exp(-9.63519924+1.83658572*LN(DIAMETRO)+1.02444663*LN(ALTURATOTAL))"/>
    <n v="4.6652972676895367E-2"/>
  </r>
  <r>
    <n v="9"/>
    <x v="0"/>
    <n v="3"/>
    <n v="33"/>
    <n v="33"/>
    <s v="Polygonaceae"/>
    <s v="Coccoloba spicata"/>
    <s v="Boob"/>
    <n v="25.5"/>
    <n v="8.1169020976866619"/>
    <n v="7"/>
    <n v="10"/>
    <m/>
    <s v="C"/>
    <s v="S"/>
    <x v="0"/>
    <x v="1"/>
    <x v="1"/>
    <m/>
    <m/>
    <m/>
  </r>
  <r>
    <n v="7"/>
    <x v="2"/>
    <n v="3"/>
    <n v="31"/>
    <n v="34"/>
    <s v="Polygonaceae"/>
    <s v="Coccoloba spicata"/>
    <s v="Boob"/>
    <n v="38.5"/>
    <n v="12.254930618075941"/>
    <n v="5"/>
    <n v="13"/>
    <m/>
    <s v="C"/>
    <s v="S"/>
    <x v="0"/>
    <x v="4"/>
    <x v="1"/>
    <n v="16"/>
    <s v="Vol = Exp(-9.63519924+1.83658572*LN(DIAMETRO)+1.02444663*LN(ALTURATOTAL))"/>
    <n v="9.0248050629486057E-2"/>
  </r>
  <r>
    <n v="11"/>
    <x v="0"/>
    <n v="3"/>
    <n v="34"/>
    <n v="34"/>
    <s v="Polygonaceae"/>
    <s v="Coccoloba spicata"/>
    <s v="Boob"/>
    <n v="31"/>
    <n v="9.8676064716975116"/>
    <n v="6"/>
    <n v="11"/>
    <m/>
    <s v="C"/>
    <s v="S"/>
    <x v="0"/>
    <x v="1"/>
    <x v="1"/>
    <m/>
    <m/>
    <m/>
  </r>
  <r>
    <n v="8"/>
    <x v="2"/>
    <n v="3"/>
    <n v="30"/>
    <n v="35"/>
    <s v="Polygonaceae"/>
    <s v="Coccoloba spicata"/>
    <s v="Boob"/>
    <n v="42"/>
    <n v="13.369015219719209"/>
    <n v="9"/>
    <n v="13"/>
    <m/>
    <s v="C"/>
    <s v="S"/>
    <x v="0"/>
    <x v="4"/>
    <x v="2"/>
    <n v="16"/>
    <s v="Vol = Exp(-9.63519924+1.83658572*LN(DIAMETRO)+1.02444663*LN(ALTURATOTAL))"/>
    <n v="0.10588629712540945"/>
  </r>
  <r>
    <n v="9"/>
    <x v="0"/>
    <n v="3"/>
    <n v="35"/>
    <n v="35"/>
    <s v="Polygonaceae"/>
    <s v="Coccoloba spicata"/>
    <s v="Boob"/>
    <n v="21.5"/>
    <n v="6.8436625529514998"/>
    <n v="5"/>
    <n v="7"/>
    <m/>
    <s v="C"/>
    <s v="S"/>
    <x v="0"/>
    <x v="0"/>
    <x v="0"/>
    <m/>
    <m/>
    <m/>
  </r>
  <r>
    <n v="4"/>
    <x v="2"/>
    <n v="3"/>
    <n v="37"/>
    <n v="38"/>
    <s v="Polygonaceae"/>
    <s v="Coccoloba spicata"/>
    <s v="Boob"/>
    <n v="32"/>
    <n v="10.185916357881302"/>
    <n v="4"/>
    <n v="10"/>
    <m/>
    <s v="C"/>
    <s v="S"/>
    <x v="0"/>
    <x v="1"/>
    <x v="1"/>
    <n v="16"/>
    <s v="Vol = Exp(-9.63519924+1.83658572*LN(DIAMETRO)+1.02444663*LN(ALTURATOTAL))"/>
    <n v="4.9114685538601273E-2"/>
  </r>
  <r>
    <n v="9"/>
    <x v="0"/>
    <n v="3"/>
    <n v="39"/>
    <n v="39"/>
    <s v="Polygonaceae"/>
    <s v="Coccoloba spicata"/>
    <s v="Boob"/>
    <n v="19.5"/>
    <n v="6.2070427805839179"/>
    <n v="6"/>
    <n v="9"/>
    <m/>
    <s v="C"/>
    <s v="S"/>
    <x v="0"/>
    <x v="1"/>
    <x v="0"/>
    <m/>
    <m/>
    <m/>
  </r>
  <r>
    <n v="9"/>
    <x v="0"/>
    <n v="3"/>
    <n v="40"/>
    <n v="40"/>
    <s v="Polygonaceae"/>
    <s v="Coccoloba spicata"/>
    <s v="Boob"/>
    <n v="16"/>
    <n v="5.0929581789406511"/>
    <n v="4"/>
    <n v="8"/>
    <m/>
    <s v="C"/>
    <s v="S"/>
    <x v="0"/>
    <x v="0"/>
    <x v="0"/>
    <m/>
    <m/>
    <m/>
  </r>
  <r>
    <n v="2"/>
    <x v="2"/>
    <n v="3"/>
    <n v="44"/>
    <n v="46"/>
    <s v="Polygonaceae"/>
    <s v="Coccoloba spicata"/>
    <s v="Boob"/>
    <n v="36"/>
    <n v="11.459155902616464"/>
    <n v="5.5"/>
    <n v="10"/>
    <m/>
    <s v="C"/>
    <s v="S"/>
    <x v="0"/>
    <x v="1"/>
    <x v="1"/>
    <n v="16"/>
    <s v="Vol = Exp(-9.63519924+1.83658572*LN(DIAMETRO)+1.02444663*LN(ALTURATOTAL))"/>
    <n v="6.0975779374989041E-2"/>
  </r>
  <r>
    <n v="9"/>
    <x v="0"/>
    <n v="4"/>
    <n v="48"/>
    <n v="48"/>
    <s v="Polygonaceae"/>
    <s v="Coccoloba spicata"/>
    <s v="Boob"/>
    <n v="24.5"/>
    <n v="7.7985922115028714"/>
    <n v="7"/>
    <n v="9"/>
    <m/>
    <s v="C"/>
    <s v="S"/>
    <x v="0"/>
    <x v="1"/>
    <x v="1"/>
    <m/>
    <m/>
    <m/>
  </r>
  <r>
    <n v="9"/>
    <x v="0"/>
    <n v="4"/>
    <n v="49"/>
    <n v="49"/>
    <s v="Polygonaceae"/>
    <s v="Coccoloba spicata"/>
    <s v="Boob"/>
    <n v="21.5"/>
    <n v="6.8436625529514998"/>
    <n v="6"/>
    <n v="8"/>
    <m/>
    <s v="C"/>
    <s v="S"/>
    <x v="0"/>
    <x v="0"/>
    <x v="0"/>
    <m/>
    <m/>
    <m/>
  </r>
  <r>
    <n v="8"/>
    <x v="2"/>
    <n v="4"/>
    <n v="47"/>
    <n v="52"/>
    <s v="Polygonaceae"/>
    <s v="Coccoloba spicata"/>
    <s v="Boob"/>
    <n v="31.5"/>
    <n v="10.026761414789407"/>
    <n v="6"/>
    <n v="10"/>
    <m/>
    <s v="C"/>
    <s v="S"/>
    <x v="0"/>
    <x v="1"/>
    <x v="1"/>
    <n v="16"/>
    <s v="Vol = Exp(-9.63519924+1.83658572*LN(DIAMETRO)+1.02444663*LN(ALTURATOTAL))"/>
    <n v="4.771447815166701E-2"/>
  </r>
  <r>
    <n v="3"/>
    <x v="2"/>
    <n v="4"/>
    <n v="45"/>
    <n v="54"/>
    <s v="Polygonaceae"/>
    <s v="Coccoloba spicata"/>
    <s v="Boob"/>
    <n v="37.5"/>
    <n v="11.93662073189215"/>
    <n v="6"/>
    <n v="13"/>
    <m/>
    <s v="C"/>
    <s v="S"/>
    <x v="0"/>
    <x v="4"/>
    <x v="1"/>
    <n v="16"/>
    <s v="Vol = Exp(-9.63519924+1.83658572*LN(DIAMETRO)+1.02444663*LN(ALTURATOTAL))"/>
    <n v="8.5989741535008518E-2"/>
  </r>
  <r>
    <n v="8"/>
    <x v="2"/>
    <n v="4"/>
    <n v="51"/>
    <n v="56"/>
    <s v="Polygonaceae"/>
    <s v="Coccoloba spicata"/>
    <s v="Boob"/>
    <n v="35"/>
    <n v="11.140846016432674"/>
    <n v="6"/>
    <n v="9"/>
    <m/>
    <s v="C"/>
    <s v="S"/>
    <x v="0"/>
    <x v="1"/>
    <x v="1"/>
    <n v="16"/>
    <s v="Vol = Exp(-9.63519924+1.83658572*LN(DIAMETRO)+1.02444663*LN(ALTURATOTAL))"/>
    <n v="5.197704975750627E-2"/>
  </r>
  <r>
    <n v="8"/>
    <x v="2"/>
    <n v="4"/>
    <n v="52"/>
    <n v="57"/>
    <s v="Polygonaceae"/>
    <s v="Coccoloba spicata"/>
    <s v="Boob"/>
    <n v="37.5"/>
    <n v="11.93662073189215"/>
    <n v="4"/>
    <n v="13"/>
    <m/>
    <s v="C"/>
    <s v="S"/>
    <x v="0"/>
    <x v="4"/>
    <x v="1"/>
    <n v="16"/>
    <s v="Vol = Exp(-9.63519924+1.83658572*LN(DIAMETRO)+1.02444663*LN(ALTURATOTAL))"/>
    <n v="8.5989741535008518E-2"/>
  </r>
  <r>
    <n v="3"/>
    <x v="2"/>
    <n v="4"/>
    <n v="51"/>
    <n v="60"/>
    <s v="Polygonaceae"/>
    <s v="Coccoloba spicata"/>
    <s v="Boob"/>
    <n v="49"/>
    <n v="15.597184423005743"/>
    <n v="5"/>
    <n v="13"/>
    <m/>
    <s v="C"/>
    <s v="S"/>
    <x v="0"/>
    <x v="4"/>
    <x v="2"/>
    <n v="16"/>
    <s v="Vol = Exp(-9.63519924+1.83658572*LN(DIAMETRO)+1.02444663*LN(ALTURATOTAL))"/>
    <n v="0.14053784150461127"/>
  </r>
  <r>
    <n v="3"/>
    <x v="2"/>
    <n v="4"/>
    <n v="53"/>
    <n v="62"/>
    <s v="Polygonaceae"/>
    <s v="Coccoloba spicata"/>
    <s v="Boob"/>
    <n v="36.5"/>
    <n v="11.618310845708359"/>
    <n v="6"/>
    <n v="11"/>
    <m/>
    <s v="C"/>
    <s v="S"/>
    <x v="0"/>
    <x v="1"/>
    <x v="1"/>
    <n v="16"/>
    <s v="Vol = Exp(-9.63519924+1.83658572*LN(DIAMETRO)+1.02444663*LN(ALTURATOTAL))"/>
    <n v="6.8954684113488304E-2"/>
  </r>
  <r>
    <n v="6"/>
    <x v="1"/>
    <m/>
    <n v="15"/>
    <n v="15"/>
    <s v="Polygonaceae"/>
    <s v="Coccoloba spicata"/>
    <s v="Boob"/>
    <m/>
    <m/>
    <m/>
    <n v="2.5"/>
    <e v="#REF!"/>
    <m/>
    <s v="S"/>
    <x v="0"/>
    <x v="3"/>
    <x v="0"/>
    <m/>
    <m/>
    <m/>
  </r>
  <r>
    <n v="6"/>
    <x v="1"/>
    <m/>
    <n v="16"/>
    <n v="16"/>
    <s v="Polygonaceae"/>
    <s v="Coccoloba spicata"/>
    <s v="Boob"/>
    <m/>
    <m/>
    <m/>
    <n v="7"/>
    <e v="#REF!"/>
    <m/>
    <s v="S"/>
    <x v="0"/>
    <x v="0"/>
    <x v="0"/>
    <m/>
    <m/>
    <m/>
  </r>
  <r>
    <n v="6"/>
    <x v="1"/>
    <m/>
    <n v="17"/>
    <n v="17"/>
    <s v="Myrtaceae"/>
    <s v="Eugenia axillaris "/>
    <s v="Granada cimarrona"/>
    <m/>
    <m/>
    <m/>
    <n v="3"/>
    <e v="#REF!"/>
    <m/>
    <s v="S"/>
    <x v="0"/>
    <x v="3"/>
    <x v="0"/>
    <m/>
    <m/>
    <m/>
  </r>
  <r>
    <n v="6"/>
    <x v="1"/>
    <m/>
    <n v="18"/>
    <n v="18"/>
    <s v="Rubiaceae"/>
    <s v="Psychotria nervosa"/>
    <s v="Café de Monte"/>
    <m/>
    <m/>
    <m/>
    <n v="0.8"/>
    <e v="#REF!"/>
    <m/>
    <s v="S"/>
    <x v="0"/>
    <x v="3"/>
    <x v="0"/>
    <m/>
    <m/>
    <m/>
  </r>
  <r>
    <n v="6"/>
    <x v="1"/>
    <m/>
    <n v="19"/>
    <n v="19"/>
    <s v="Rubiaceae"/>
    <s v="Psychotria nervosa"/>
    <s v="Café de Monte"/>
    <m/>
    <m/>
    <m/>
    <n v="0.7"/>
    <e v="#REF!"/>
    <m/>
    <s v="S"/>
    <x v="0"/>
    <x v="3"/>
    <x v="0"/>
    <m/>
    <m/>
    <m/>
  </r>
  <r>
    <n v="6"/>
    <x v="1"/>
    <m/>
    <n v="20"/>
    <n v="20"/>
    <s v="Rubiaceae"/>
    <s v="Psychotria nervosa"/>
    <s v="Café de Monte"/>
    <m/>
    <m/>
    <m/>
    <n v="0.5"/>
    <e v="#REF!"/>
    <m/>
    <s v="S"/>
    <x v="0"/>
    <x v="3"/>
    <x v="0"/>
    <m/>
    <m/>
    <m/>
  </r>
  <r>
    <n v="6"/>
    <x v="1"/>
    <m/>
    <n v="21"/>
    <n v="21"/>
    <s v="Rubiaceae"/>
    <s v="Psychotria nervosa"/>
    <s v="Café de Monte"/>
    <m/>
    <m/>
    <m/>
    <n v="0.4"/>
    <e v="#REF!"/>
    <m/>
    <s v="S"/>
    <x v="0"/>
    <x v="3"/>
    <x v="0"/>
    <m/>
    <m/>
    <m/>
  </r>
  <r>
    <n v="6"/>
    <x v="1"/>
    <m/>
    <n v="22"/>
    <n v="22"/>
    <s v="Rubiaceae"/>
    <s v="Psychotria nervosa"/>
    <s v="Café de Monte"/>
    <m/>
    <m/>
    <m/>
    <n v="0.3"/>
    <e v="#REF!"/>
    <m/>
    <s v="S"/>
    <x v="0"/>
    <x v="3"/>
    <x v="0"/>
    <m/>
    <m/>
    <m/>
  </r>
  <r>
    <n v="2"/>
    <x v="0"/>
    <n v="4"/>
    <n v="13"/>
    <n v="13"/>
    <s v="Leguminosae"/>
    <s v="Zygia cognata"/>
    <s v="Cacao che"/>
    <n v="16.5"/>
    <n v="5.2521131220325463"/>
    <n v="1.8"/>
    <n v="7"/>
    <m/>
    <s v="C"/>
    <s v="S"/>
    <x v="0"/>
    <x v="0"/>
    <x v="0"/>
    <m/>
    <m/>
    <m/>
  </r>
  <r>
    <n v="6"/>
    <x v="1"/>
    <m/>
    <n v="23"/>
    <n v="23"/>
    <s v="Leguminosae"/>
    <s v="Lonchocarpus rugosus"/>
    <s v="Kanasin"/>
    <m/>
    <m/>
    <m/>
    <n v="0.2"/>
    <e v="#REF!"/>
    <m/>
    <s v="S"/>
    <x v="0"/>
    <x v="3"/>
    <x v="0"/>
    <m/>
    <m/>
    <m/>
  </r>
  <r>
    <n v="6"/>
    <x v="1"/>
    <m/>
    <n v="24"/>
    <n v="2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5"/>
    <n v="25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6"/>
    <n v="26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7"/>
    <n v="27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8"/>
    <n v="28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29"/>
    <n v="29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0"/>
    <n v="30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1"/>
    <n v="31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2"/>
    <n v="32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3"/>
    <n v="33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4"/>
    <n v="3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5"/>
    <n v="35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6"/>
    <n v="36"/>
    <s v="Poaceae"/>
    <s v="Lasiacis divaricata"/>
    <s v="Carricillo"/>
    <m/>
    <m/>
    <m/>
    <n v="0.4"/>
    <e v="#REF!"/>
    <m/>
    <s v="S"/>
    <x v="0"/>
    <x v="3"/>
    <x v="0"/>
    <m/>
    <m/>
    <m/>
  </r>
  <r>
    <n v="3"/>
    <x v="0"/>
    <n v="1"/>
    <n v="2"/>
    <n v="2"/>
    <s v="Sapotaceae"/>
    <s v="Chrysophyllum mexicanum"/>
    <s v="Caimito"/>
    <n v="21"/>
    <n v="6.6845076098596046"/>
    <n v="2.5"/>
    <n v="9"/>
    <m/>
    <s v="C"/>
    <s v="S"/>
    <x v="0"/>
    <x v="1"/>
    <x v="0"/>
    <m/>
    <m/>
    <m/>
  </r>
  <r>
    <n v="8"/>
    <x v="0"/>
    <n v="1"/>
    <n v="9"/>
    <n v="9"/>
    <s v="Sapotaceae"/>
    <s v="Chrysophyllum mexicanum"/>
    <s v="Caimito"/>
    <n v="16"/>
    <n v="5.0929581789406511"/>
    <n v="2.5"/>
    <n v="6"/>
    <m/>
    <s v="C"/>
    <s v="S"/>
    <x v="0"/>
    <x v="2"/>
    <x v="0"/>
    <m/>
    <m/>
    <m/>
  </r>
  <r>
    <n v="6"/>
    <x v="1"/>
    <m/>
    <n v="37"/>
    <n v="37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8"/>
    <n v="38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39"/>
    <n v="39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0"/>
    <n v="40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1"/>
    <n v="41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2"/>
    <n v="42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3"/>
    <n v="43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4"/>
    <n v="4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5"/>
    <n v="45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6"/>
    <n v="46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7"/>
    <n v="47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8"/>
    <n v="48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49"/>
    <n v="49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0"/>
    <n v="50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1"/>
    <n v="51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2"/>
    <n v="52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3"/>
    <n v="53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4"/>
    <n v="54"/>
    <s v="Poaceae"/>
    <s v="Lasiacis divaricata"/>
    <s v="Carricillo"/>
    <m/>
    <m/>
    <m/>
    <n v="0.4"/>
    <e v="#REF!"/>
    <m/>
    <s v="S"/>
    <x v="0"/>
    <x v="3"/>
    <x v="0"/>
    <m/>
    <m/>
    <m/>
  </r>
  <r>
    <n v="6"/>
    <x v="1"/>
    <m/>
    <n v="55"/>
    <n v="55"/>
    <s v="Meliaceae"/>
    <s v="Trichilia glabra"/>
    <s v="Choobem che'"/>
    <m/>
    <m/>
    <m/>
    <n v="1"/>
    <e v="#REF!"/>
    <m/>
    <s v="S"/>
    <x v="0"/>
    <x v="3"/>
    <x v="0"/>
    <m/>
    <m/>
    <m/>
  </r>
  <r>
    <n v="6"/>
    <x v="1"/>
    <m/>
    <n v="56"/>
    <n v="56"/>
    <s v="Sapindaceae"/>
    <s v="Paullinia cururu"/>
    <s v="Bejuco alado"/>
    <m/>
    <m/>
    <m/>
    <n v="0.6"/>
    <e v="#REF!"/>
    <m/>
    <s v="S"/>
    <x v="0"/>
    <x v="3"/>
    <x v="0"/>
    <m/>
    <m/>
    <m/>
  </r>
  <r>
    <n v="7"/>
    <x v="1"/>
    <m/>
    <n v="1"/>
    <n v="1"/>
    <s v="Sapotaceae"/>
    <s v="Pouteria campechiana"/>
    <s v="Kaniste"/>
    <m/>
    <m/>
    <m/>
    <n v="5"/>
    <e v="#REF!"/>
    <m/>
    <s v="SC"/>
    <x v="0"/>
    <x v="2"/>
    <x v="0"/>
    <m/>
    <m/>
    <m/>
  </r>
  <r>
    <n v="7"/>
    <x v="1"/>
    <m/>
    <n v="2"/>
    <n v="2"/>
    <s v="Salicaceae"/>
    <s v="Zuelania guidonia"/>
    <s v="Tamay"/>
    <m/>
    <m/>
    <m/>
    <n v="1.5"/>
    <e v="#REF!"/>
    <m/>
    <s v="S"/>
    <x v="0"/>
    <x v="3"/>
    <x v="0"/>
    <m/>
    <m/>
    <m/>
  </r>
  <r>
    <n v="7"/>
    <x v="1"/>
    <m/>
    <n v="3"/>
    <n v="3"/>
    <s v="Myrtaceae"/>
    <s v="Eugenia axillaris "/>
    <s v="Granada cimarrona"/>
    <m/>
    <m/>
    <m/>
    <n v="1.5"/>
    <e v="#REF!"/>
    <m/>
    <s v="S"/>
    <x v="0"/>
    <x v="3"/>
    <x v="0"/>
    <m/>
    <m/>
    <m/>
  </r>
  <r>
    <n v="7"/>
    <x v="1"/>
    <m/>
    <n v="4"/>
    <n v="4"/>
    <s v="Myrtaceae"/>
    <s v="Myrcianthes fragrans"/>
    <s v="Guayabillo"/>
    <m/>
    <m/>
    <m/>
    <n v="1.2"/>
    <e v="#REF!"/>
    <m/>
    <s v="S"/>
    <x v="0"/>
    <x v="3"/>
    <x v="0"/>
    <m/>
    <m/>
    <m/>
  </r>
  <r>
    <n v="7"/>
    <x v="1"/>
    <m/>
    <n v="5"/>
    <n v="5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6"/>
    <n v="6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7"/>
    <n v="7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8"/>
    <n v="8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9"/>
    <n v="9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0"/>
    <n v="10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1"/>
    <n v="11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2"/>
    <n v="12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3"/>
    <n v="13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4"/>
    <n v="14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5"/>
    <n v="15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6"/>
    <n v="16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7"/>
    <n v="17"/>
    <s v="Lauraceae"/>
    <s v="Nectandra coriacea"/>
    <s v="Aguacatillo"/>
    <m/>
    <m/>
    <m/>
    <n v="0.4"/>
    <e v="#REF!"/>
    <m/>
    <s v="S"/>
    <x v="0"/>
    <x v="3"/>
    <x v="0"/>
    <m/>
    <m/>
    <m/>
  </r>
  <r>
    <n v="7"/>
    <x v="1"/>
    <m/>
    <n v="18"/>
    <n v="18"/>
    <s v="Arecaceae"/>
    <s v="Thrinax radiata"/>
    <s v="Palma chit"/>
    <m/>
    <m/>
    <m/>
    <n v="0.6"/>
    <e v="#REF!"/>
    <m/>
    <s v="S"/>
    <x v="0"/>
    <x v="3"/>
    <x v="0"/>
    <m/>
    <m/>
    <m/>
  </r>
  <r>
    <n v="7"/>
    <x v="1"/>
    <m/>
    <n v="19"/>
    <n v="19"/>
    <s v="Leguminosae"/>
    <s v="Piscidia piscipula"/>
    <s v="Jabín"/>
    <m/>
    <m/>
    <m/>
    <n v="0.15"/>
    <e v="#REF!"/>
    <m/>
    <s v="S"/>
    <x v="0"/>
    <x v="3"/>
    <x v="0"/>
    <m/>
    <m/>
    <m/>
  </r>
  <r>
    <n v="7"/>
    <x v="1"/>
    <m/>
    <n v="20"/>
    <n v="20"/>
    <s v="Anacardiaceae"/>
    <s v="Metopium brownei"/>
    <s v="Chechem"/>
    <m/>
    <m/>
    <m/>
    <n v="0.2"/>
    <e v="#REF!"/>
    <m/>
    <s v="S"/>
    <x v="0"/>
    <x v="3"/>
    <x v="0"/>
    <m/>
    <m/>
    <m/>
  </r>
  <r>
    <n v="11"/>
    <x v="0"/>
    <n v="4"/>
    <n v="37"/>
    <n v="37"/>
    <s v="Celastraceae "/>
    <s v="Semialarium mexicanum"/>
    <s v="Cascarillo grueso"/>
    <n v="26.5"/>
    <n v="8.4352119838704525"/>
    <n v="3"/>
    <n v="7"/>
    <m/>
    <s v="C"/>
    <s v="S"/>
    <x v="0"/>
    <x v="0"/>
    <x v="1"/>
    <m/>
    <m/>
    <m/>
  </r>
  <r>
    <n v="3"/>
    <x v="2"/>
    <n v="1"/>
    <n v="1"/>
    <n v="1"/>
    <s v="Burseraceae"/>
    <s v="Bursera simaruba"/>
    <s v="Chacah"/>
    <n v="38.5"/>
    <n v="12.254930618075941"/>
    <n v="6"/>
    <n v="10"/>
    <m/>
    <s v="C"/>
    <s v="S"/>
    <x v="0"/>
    <x v="1"/>
    <x v="1"/>
    <n v="12"/>
    <s v="Vol = Exp(-9.63573531+1.90246451*LN(DIAMETRO)+0.97875991*LN(ALTURATOTAL))"/>
    <n v="7.3195775547621564E-2"/>
  </r>
  <r>
    <n v="8"/>
    <x v="2"/>
    <n v="1"/>
    <n v="1"/>
    <n v="1"/>
    <s v="Burseraceae"/>
    <s v="Bursera simaruba"/>
    <s v="Chacah"/>
    <n v="33"/>
    <n v="10.504226244065093"/>
    <n v="9"/>
    <n v="11"/>
    <m/>
    <s v="C"/>
    <s v="S"/>
    <x v="0"/>
    <x v="1"/>
    <x v="1"/>
    <n v="12"/>
    <s v="Vol = Exp(-9.63573531+1.90246451*LN(DIAMETRO)+0.97875991*LN(ALTURATOTAL))"/>
    <n v="5.992880615699217E-2"/>
  </r>
  <r>
    <n v="4"/>
    <x v="0"/>
    <n v="1"/>
    <n v="1"/>
    <n v="1"/>
    <s v="Burseraceae"/>
    <s v="Bursera simaruba"/>
    <s v="Chacah"/>
    <n v="29"/>
    <n v="9.2309866993299305"/>
    <n v="6"/>
    <n v="12"/>
    <m/>
    <s v="C"/>
    <s v="S"/>
    <x v="0"/>
    <x v="4"/>
    <x v="1"/>
    <m/>
    <m/>
    <m/>
  </r>
  <r>
    <n v="2"/>
    <x v="2"/>
    <n v="1"/>
    <n v="2"/>
    <n v="2"/>
    <s v="Burseraceae"/>
    <s v="Bursera simaruba"/>
    <s v="Chacah"/>
    <n v="35"/>
    <n v="11.140846016432674"/>
    <n v="6.5"/>
    <n v="12"/>
    <m/>
    <s v="C"/>
    <s v="S"/>
    <x v="0"/>
    <x v="4"/>
    <x v="1"/>
    <n v="12"/>
    <s v="Vol = Exp(-9.63573531+1.90246451*LN(DIAMETRO)+0.97875991*LN(ALTURATOTAL))"/>
    <n v="7.2985625018523723E-2"/>
  </r>
  <r>
    <n v="9"/>
    <x v="2"/>
    <n v="1"/>
    <n v="2"/>
    <n v="2"/>
    <s v="Burseraceae"/>
    <s v="Bursera simaruba"/>
    <s v="Chacah"/>
    <n v="36.5"/>
    <n v="11.618310845708359"/>
    <n v="4"/>
    <n v="11"/>
    <m/>
    <s v="C"/>
    <s v="S"/>
    <x v="0"/>
    <x v="1"/>
    <x v="1"/>
    <n v="12"/>
    <s v="Vol = Exp(-9.63573531+1.90246451*LN(DIAMETRO)+0.97875991*LN(ALTURATOTAL))"/>
    <n v="7.2597802746153378E-2"/>
  </r>
  <r>
    <n v="10"/>
    <x v="2"/>
    <n v="1"/>
    <n v="2"/>
    <n v="2"/>
    <s v="Burseraceae"/>
    <s v="Bursera simaruba"/>
    <s v="Chacah"/>
    <n v="32.5"/>
    <n v="10.345071300973197"/>
    <n v="6"/>
    <n v="10"/>
    <m/>
    <s v="C"/>
    <s v="S"/>
    <x v="0"/>
    <x v="1"/>
    <x v="1"/>
    <n v="12"/>
    <s v="Vol = Exp(-9.63573531+1.90246451*LN(DIAMETRO)+0.97875991*LN(ALTURATOTAL))"/>
    <n v="5.3028297531253217E-2"/>
  </r>
  <r>
    <n v="9"/>
    <x v="0"/>
    <n v="1"/>
    <n v="2"/>
    <n v="2"/>
    <s v="Burseraceae"/>
    <s v="Bursera simaruba"/>
    <s v="Chacah"/>
    <n v="22.5"/>
    <n v="7.1619724391352904"/>
    <n v="7"/>
    <n v="9"/>
    <m/>
    <s v="C"/>
    <s v="S"/>
    <x v="0"/>
    <x v="1"/>
    <x v="0"/>
    <m/>
    <m/>
    <m/>
  </r>
  <r>
    <n v="2"/>
    <x v="2"/>
    <n v="1"/>
    <n v="3"/>
    <n v="3"/>
    <s v="Burseraceae"/>
    <s v="Bursera simaruba"/>
    <s v="Chacah"/>
    <n v="38.5"/>
    <n v="12.254930618075941"/>
    <n v="6"/>
    <n v="12"/>
    <m/>
    <s v="C"/>
    <s v="S"/>
    <x v="0"/>
    <x v="4"/>
    <x v="1"/>
    <n v="12"/>
    <s v="Vol = Exp(-9.63573531+1.90246451*LN(DIAMETRO)+0.97875991*LN(ALTURATOTAL))"/>
    <n v="8.7495445337458511E-2"/>
  </r>
  <r>
    <n v="7"/>
    <x v="2"/>
    <n v="1"/>
    <n v="3"/>
    <n v="3"/>
    <s v="Burseraceae"/>
    <s v="Bursera simaruba"/>
    <s v="Chacah"/>
    <n v="79"/>
    <n v="25.146481008519466"/>
    <n v="6"/>
    <n v="14"/>
    <m/>
    <s v="C"/>
    <s v="S"/>
    <x v="0"/>
    <x v="5"/>
    <x v="3"/>
    <n v="12"/>
    <s v="Vol = Exp(-9.63573531+1.90246451*LN(DIAMETRO)+0.97875991*LN(ALTURATOTAL))"/>
    <n v="0.39938863670000313"/>
  </r>
  <r>
    <n v="1"/>
    <x v="0"/>
    <n v="1"/>
    <n v="3"/>
    <n v="3"/>
    <s v="Burseraceae"/>
    <s v="Bursera simaruba"/>
    <s v="Chacah"/>
    <n v="24.5"/>
    <n v="7.7985922115028714"/>
    <n v="6"/>
    <n v="8"/>
    <m/>
    <s v="C"/>
    <s v="S"/>
    <x v="0"/>
    <x v="0"/>
    <x v="1"/>
    <m/>
    <m/>
    <m/>
  </r>
  <r>
    <n v="2"/>
    <x v="0"/>
    <n v="1"/>
    <n v="3"/>
    <n v="3"/>
    <s v="Burseraceae"/>
    <s v="Bursera simaruba"/>
    <s v="Chacah"/>
    <n v="19"/>
    <n v="6.0478878374920226"/>
    <n v="3"/>
    <n v="6"/>
    <m/>
    <s v="C"/>
    <s v="SD"/>
    <x v="0"/>
    <x v="2"/>
    <x v="0"/>
    <m/>
    <m/>
    <m/>
  </r>
  <r>
    <n v="6"/>
    <x v="0"/>
    <n v="1"/>
    <n v="3"/>
    <n v="3"/>
    <s v="Burseraceae"/>
    <s v="Bursera simaruba"/>
    <s v="Chacah"/>
    <n v="20.5"/>
    <n v="6.5253526667677093"/>
    <n v="6"/>
    <n v="10"/>
    <m/>
    <s v="C"/>
    <s v="S"/>
    <x v="0"/>
    <x v="1"/>
    <x v="0"/>
    <m/>
    <m/>
    <m/>
  </r>
  <r>
    <n v="9"/>
    <x v="0"/>
    <n v="1"/>
    <n v="3"/>
    <n v="3"/>
    <s v="Burseraceae"/>
    <s v="Bursera simaruba"/>
    <s v="Chacah"/>
    <n v="19"/>
    <n v="6.0478878374920226"/>
    <n v="6"/>
    <n v="8"/>
    <m/>
    <s v="C"/>
    <s v="S"/>
    <x v="0"/>
    <x v="0"/>
    <x v="0"/>
    <m/>
    <m/>
    <m/>
  </r>
  <r>
    <n v="2"/>
    <x v="2"/>
    <n v="1"/>
    <n v="4"/>
    <n v="4"/>
    <s v="Burseraceae"/>
    <s v="Bursera simaruba"/>
    <s v="Chacah"/>
    <n v="35"/>
    <n v="11.140846016432674"/>
    <n v="4.5"/>
    <n v="10"/>
    <m/>
    <s v="C"/>
    <s v="S"/>
    <x v="0"/>
    <x v="1"/>
    <x v="1"/>
    <n v="12"/>
    <s v="Vol = Exp(-9.63573531+1.90246451*LN(DIAMETRO)+0.97875991*LN(ALTURATOTAL))"/>
    <n v="6.105734311602639E-2"/>
  </r>
  <r>
    <n v="10"/>
    <x v="2"/>
    <n v="1"/>
    <n v="4"/>
    <n v="4"/>
    <s v="Burseraceae"/>
    <s v="Bursera simaruba"/>
    <s v="Chacah"/>
    <n v="35.5"/>
    <n v="11.300000959524569"/>
    <n v="5"/>
    <n v="10"/>
    <m/>
    <s v="C"/>
    <s v="S"/>
    <x v="0"/>
    <x v="1"/>
    <x v="1"/>
    <n v="12"/>
    <s v="Vol = Exp(-9.63573531+1.90246451*LN(DIAMETRO)+0.97875991*LN(ALTURATOTAL))"/>
    <n v="6.2727455486645323E-2"/>
  </r>
  <r>
    <n v="3"/>
    <x v="0"/>
    <n v="1"/>
    <n v="4"/>
    <n v="4"/>
    <s v="Burseraceae"/>
    <s v="Bursera simaruba"/>
    <s v="Chacah"/>
    <n v="23"/>
    <n v="7.3211273822271856"/>
    <n v="4"/>
    <n v="6"/>
    <m/>
    <s v="C"/>
    <s v="S"/>
    <x v="0"/>
    <x v="2"/>
    <x v="0"/>
    <m/>
    <m/>
    <m/>
  </r>
  <r>
    <n v="11"/>
    <x v="0"/>
    <n v="1"/>
    <n v="4"/>
    <n v="4"/>
    <s v="Burseraceae"/>
    <s v="Bursera simaruba"/>
    <s v="Chacah"/>
    <n v="17.5"/>
    <n v="5.5704230082163368"/>
    <n v="4.5"/>
    <n v="7"/>
    <m/>
    <s v="C"/>
    <s v="S"/>
    <x v="0"/>
    <x v="0"/>
    <x v="0"/>
    <m/>
    <m/>
    <m/>
  </r>
  <r>
    <n v="9"/>
    <x v="0"/>
    <n v="1"/>
    <n v="5"/>
    <n v="5"/>
    <s v="Burseraceae"/>
    <s v="Bursera simaruba"/>
    <s v="Chacah"/>
    <n v="26"/>
    <n v="8.2760570407785572"/>
    <n v="6"/>
    <n v="9"/>
    <m/>
    <s v="C"/>
    <s v="S"/>
    <x v="0"/>
    <x v="1"/>
    <x v="1"/>
    <m/>
    <m/>
    <m/>
  </r>
  <r>
    <n v="10"/>
    <x v="0"/>
    <n v="1"/>
    <n v="5"/>
    <n v="5"/>
    <s v="Burseraceae"/>
    <s v="Bursera simaruba"/>
    <s v="Chacah"/>
    <n v="21"/>
    <n v="6.6845076098596046"/>
    <n v="7"/>
    <n v="10"/>
    <m/>
    <s v="C"/>
    <s v="S"/>
    <x v="0"/>
    <x v="1"/>
    <x v="0"/>
    <m/>
    <m/>
    <m/>
  </r>
  <r>
    <n v="7"/>
    <x v="1"/>
    <m/>
    <n v="21"/>
    <n v="21"/>
    <s v="Bignoniaceae"/>
    <s v="Amphilophium paniculatum "/>
    <s v="Bejuco dos hojas"/>
    <m/>
    <m/>
    <m/>
    <n v="1.5"/>
    <e v="#REF!"/>
    <m/>
    <s v="S"/>
    <x v="0"/>
    <x v="3"/>
    <x v="0"/>
    <m/>
    <m/>
    <m/>
  </r>
  <r>
    <n v="2"/>
    <x v="2"/>
    <n v="1"/>
    <n v="6"/>
    <n v="6"/>
    <s v="Burseraceae"/>
    <s v="Bursera simaruba"/>
    <s v="Chacah"/>
    <n v="43.5"/>
    <n v="13.846480048994895"/>
    <n v="4"/>
    <n v="12"/>
    <m/>
    <s v="C"/>
    <s v="S"/>
    <x v="0"/>
    <x v="4"/>
    <x v="2"/>
    <n v="12"/>
    <s v="Vol = Exp(-9.63573531+1.90246451*LN(DIAMETRO)+0.97875991*LN(ALTURATOTAL))"/>
    <n v="0.11037490364679946"/>
  </r>
  <r>
    <n v="3"/>
    <x v="2"/>
    <n v="1"/>
    <n v="6"/>
    <n v="6"/>
    <s v="Burseraceae"/>
    <s v="Bursera simaruba"/>
    <s v="Chacah"/>
    <n v="38.5"/>
    <n v="12.254930618075941"/>
    <n v="7"/>
    <n v="9"/>
    <m/>
    <s v="C"/>
    <s v="S"/>
    <x v="0"/>
    <x v="1"/>
    <x v="1"/>
    <n v="12"/>
    <s v="Vol = Exp(-9.63573531+1.90246451*LN(DIAMETRO)+0.97875991*LN(ALTURATOTAL))"/>
    <n v="6.6023785230263032E-2"/>
  </r>
  <r>
    <n v="6"/>
    <x v="2"/>
    <n v="2"/>
    <n v="5"/>
    <n v="6"/>
    <s v="Burseraceae"/>
    <s v="Bursera simaruba"/>
    <s v="Chacah"/>
    <n v="35"/>
    <n v="11.140846016432674"/>
    <n v="4"/>
    <n v="10"/>
    <m/>
    <s v="C"/>
    <s v="S"/>
    <x v="0"/>
    <x v="1"/>
    <x v="1"/>
    <n v="12"/>
    <s v="Vol = Exp(-9.63573531+1.90246451*LN(DIAMETRO)+0.97875991*LN(ALTURATOTAL))"/>
    <n v="6.105734311602639E-2"/>
  </r>
  <r>
    <n v="7"/>
    <x v="2"/>
    <n v="1"/>
    <n v="5"/>
    <n v="6"/>
    <s v="Burseraceae"/>
    <s v="Bursera simaruba"/>
    <s v="Chacah"/>
    <n v="81"/>
    <n v="25.783100780887047"/>
    <n v="8"/>
    <n v="12"/>
    <m/>
    <s v="C"/>
    <s v="S"/>
    <x v="0"/>
    <x v="4"/>
    <x v="3"/>
    <n v="12"/>
    <s v="Vol = Exp(-9.63573531+1.90246451*LN(DIAMETRO)+0.97875991*LN(ALTURATOTAL))"/>
    <n v="0.36018671662514573"/>
  </r>
  <r>
    <n v="9"/>
    <x v="2"/>
    <n v="1"/>
    <n v="6"/>
    <n v="6"/>
    <s v="Burseraceae"/>
    <s v="Bursera simaruba"/>
    <s v="Chacah"/>
    <n v="32.5"/>
    <n v="10.345071300973197"/>
    <n v="4"/>
    <n v="10"/>
    <m/>
    <s v="C"/>
    <s v="S"/>
    <x v="0"/>
    <x v="1"/>
    <x v="1"/>
    <n v="12"/>
    <s v="Vol = Exp(-9.63573531+1.90246451*LN(DIAMETRO)+0.97875991*LN(ALTURATOTAL))"/>
    <n v="5.3028297531253217E-2"/>
  </r>
  <r>
    <n v="10"/>
    <x v="2"/>
    <n v="2"/>
    <n v="6"/>
    <n v="6"/>
    <s v="Burseraceae"/>
    <s v="Bursera simaruba"/>
    <s v="Chacah"/>
    <n v="32"/>
    <n v="10.185916357881302"/>
    <n v="5"/>
    <n v="11"/>
    <m/>
    <s v="C"/>
    <s v="S"/>
    <x v="0"/>
    <x v="1"/>
    <x v="1"/>
    <n v="12"/>
    <s v="Vol = Exp(-9.63573531+1.90246451*LN(DIAMETRO)+0.97875991*LN(ALTURATOTAL))"/>
    <n v="5.6521172649776755E-2"/>
  </r>
  <r>
    <n v="5"/>
    <x v="0"/>
    <n v="1"/>
    <n v="5"/>
    <n v="6"/>
    <s v="Burseraceae"/>
    <s v="Bursera simaruba"/>
    <s v="Chacah"/>
    <n v="20"/>
    <n v="6.366197723675814"/>
    <n v="3"/>
    <n v="6"/>
    <m/>
    <s v="C"/>
    <s v="S"/>
    <x v="0"/>
    <x v="2"/>
    <x v="0"/>
    <m/>
    <m/>
    <m/>
  </r>
  <r>
    <n v="6"/>
    <x v="0"/>
    <n v="1"/>
    <n v="6"/>
    <n v="6"/>
    <s v="Burseraceae"/>
    <s v="Bursera simaruba"/>
    <s v="Chacah"/>
    <n v="23"/>
    <n v="7.3211273822271856"/>
    <n v="4"/>
    <n v="8"/>
    <m/>
    <s v="C"/>
    <s v="S"/>
    <x v="0"/>
    <x v="0"/>
    <x v="0"/>
    <m/>
    <m/>
    <m/>
  </r>
  <r>
    <n v="2"/>
    <x v="2"/>
    <n v="1"/>
    <n v="7"/>
    <n v="7"/>
    <s v="Burseraceae"/>
    <s v="Bursera simaruba"/>
    <s v="Chacah"/>
    <n v="32"/>
    <n v="10.185916357881302"/>
    <n v="4.5"/>
    <n v="9"/>
    <m/>
    <s v="C"/>
    <s v="S"/>
    <x v="0"/>
    <x v="1"/>
    <x v="1"/>
    <n v="12"/>
    <s v="Vol = Exp(-9.63573531+1.90246451*LN(DIAMETRO)+0.97875991*LN(ALTURATOTAL))"/>
    <n v="4.6442123120946172E-2"/>
  </r>
  <r>
    <n v="3"/>
    <x v="2"/>
    <n v="1"/>
    <n v="7"/>
    <n v="7"/>
    <s v="Burseraceae"/>
    <s v="Bursera simaruba"/>
    <s v="Chacah"/>
    <n v="42"/>
    <n v="13.369015219719209"/>
    <n v="7"/>
    <n v="10"/>
    <m/>
    <s v="C"/>
    <s v="S"/>
    <x v="0"/>
    <x v="1"/>
    <x v="2"/>
    <n v="12"/>
    <s v="Vol = Exp(-9.63573531+1.90246451*LN(DIAMETRO)+0.97875991*LN(ALTURATOTAL))"/>
    <n v="8.6372882353242891E-2"/>
  </r>
  <r>
    <n v="10"/>
    <x v="0"/>
    <n v="1"/>
    <n v="7"/>
    <n v="7"/>
    <s v="Burseraceae"/>
    <s v="Bursera simaruba"/>
    <s v="Chacah"/>
    <n v="16"/>
    <n v="5.0929581789406511"/>
    <n v="6"/>
    <n v="8"/>
    <m/>
    <s v="C"/>
    <s v="S"/>
    <x v="0"/>
    <x v="0"/>
    <x v="0"/>
    <m/>
    <m/>
    <m/>
  </r>
  <r>
    <n v="1"/>
    <x v="2"/>
    <n v="2"/>
    <n v="7"/>
    <n v="8"/>
    <s v="Burseraceae"/>
    <s v="Bursera simaruba"/>
    <s v="Chacah"/>
    <n v="37"/>
    <n v="11.777465788800255"/>
    <n v="8"/>
    <n v="11"/>
    <m/>
    <s v="C"/>
    <s v="S"/>
    <x v="0"/>
    <x v="1"/>
    <x v="1"/>
    <n v="12"/>
    <s v="Vol = Exp(-9.63573531+1.90246451*LN(DIAMETRO)+0.97875991*LN(ALTURATOTAL))"/>
    <n v="7.4501475185697733E-2"/>
  </r>
  <r>
    <n v="3"/>
    <x v="2"/>
    <n v="1"/>
    <n v="8"/>
    <n v="8"/>
    <s v="Burseraceae"/>
    <s v="Bursera simaruba"/>
    <s v="Chacah"/>
    <n v="41.5"/>
    <n v="13.209860276627314"/>
    <n v="8"/>
    <n v="10"/>
    <m/>
    <s v="C"/>
    <s v="S"/>
    <x v="0"/>
    <x v="1"/>
    <x v="2"/>
    <n v="12"/>
    <s v="Vol = Exp(-9.63573531+1.90246451*LN(DIAMETRO)+0.97875991*LN(ALTURATOTAL))"/>
    <n v="8.442718834039023E-2"/>
  </r>
  <r>
    <n v="10"/>
    <x v="2"/>
    <n v="2"/>
    <n v="8"/>
    <n v="8"/>
    <s v="Burseraceae"/>
    <s v="Bursera simaruba"/>
    <s v="Chacah"/>
    <n v="36"/>
    <n v="11.459155902616464"/>
    <n v="6.5"/>
    <n v="10"/>
    <m/>
    <s v="C"/>
    <s v="S"/>
    <x v="0"/>
    <x v="1"/>
    <x v="1"/>
    <n v="12"/>
    <s v="Vol = Exp(-9.63573531+1.90246451*LN(DIAMETRO)+0.97875991*LN(ALTURATOTAL))"/>
    <n v="6.4418932145957952E-2"/>
  </r>
  <r>
    <n v="7"/>
    <x v="0"/>
    <n v="3"/>
    <n v="8"/>
    <n v="8"/>
    <s v="Burseraceae"/>
    <s v="Bursera simaruba"/>
    <s v="Chacah"/>
    <n v="25"/>
    <n v="7.9577471545947667"/>
    <n v="7"/>
    <n v="11"/>
    <m/>
    <s v="C"/>
    <s v="S"/>
    <x v="0"/>
    <x v="1"/>
    <x v="1"/>
    <m/>
    <m/>
    <m/>
  </r>
  <r>
    <n v="10"/>
    <x v="0"/>
    <n v="1"/>
    <n v="8"/>
    <n v="8"/>
    <s v="Burseraceae"/>
    <s v="Bursera simaruba"/>
    <s v="Chacah"/>
    <n v="17.5"/>
    <n v="5.5704230082163368"/>
    <n v="7"/>
    <n v="8"/>
    <m/>
    <s v="C"/>
    <s v="S"/>
    <x v="0"/>
    <x v="0"/>
    <x v="0"/>
    <m/>
    <m/>
    <m/>
  </r>
  <r>
    <n v="11"/>
    <x v="0"/>
    <n v="1"/>
    <n v="8"/>
    <n v="8"/>
    <s v="Burseraceae"/>
    <s v="Bursera simaruba"/>
    <s v="Chacah"/>
    <n v="19.5"/>
    <n v="6.2070427805839179"/>
    <n v="7"/>
    <n v="8.5"/>
    <m/>
    <s v="C"/>
    <s v="S"/>
    <x v="0"/>
    <x v="0"/>
    <x v="0"/>
    <m/>
    <m/>
    <m/>
  </r>
  <r>
    <n v="1"/>
    <x v="2"/>
    <n v="2"/>
    <n v="8"/>
    <n v="9"/>
    <s v="Burseraceae"/>
    <s v="Bursera simaruba"/>
    <s v="Chacah"/>
    <n v="33"/>
    <n v="10.504226244065093"/>
    <n v="4"/>
    <n v="8"/>
    <m/>
    <s v="C"/>
    <s v="S"/>
    <x v="0"/>
    <x v="0"/>
    <x v="1"/>
    <n v="12"/>
    <s v="Vol = Exp(-9.63573531+1.90246451*LN(DIAMETRO)+0.97875991*LN(ALTURATOTAL))"/>
    <n v="4.3880391105574526E-2"/>
  </r>
  <r>
    <n v="2"/>
    <x v="2"/>
    <n v="1"/>
    <n v="9"/>
    <n v="9"/>
    <s v="Burseraceae"/>
    <s v="Bursera simaruba"/>
    <s v="Chacah"/>
    <n v="37"/>
    <n v="11.777465788800255"/>
    <n v="8"/>
    <n v="12"/>
    <m/>
    <s v="C"/>
    <s v="S"/>
    <x v="0"/>
    <x v="4"/>
    <x v="1"/>
    <n v="12"/>
    <s v="Vol = Exp(-9.63573531+1.90246451*LN(DIAMETRO)+0.97875991*LN(ALTURATOTAL))"/>
    <n v="8.1124269783116265E-2"/>
  </r>
  <r>
    <n v="1"/>
    <x v="0"/>
    <n v="2"/>
    <n v="9"/>
    <n v="9"/>
    <s v="Burseraceae"/>
    <s v="Bursera simaruba"/>
    <s v="Chacah"/>
    <n v="16"/>
    <n v="5.0929581789406511"/>
    <n v="2.5"/>
    <n v="7"/>
    <m/>
    <s v="C"/>
    <s v="S"/>
    <x v="0"/>
    <x v="0"/>
    <x v="0"/>
    <m/>
    <m/>
    <m/>
  </r>
  <r>
    <n v="9"/>
    <x v="0"/>
    <n v="1"/>
    <n v="9"/>
    <n v="9"/>
    <s v="Burseraceae"/>
    <s v="Bursera simaruba"/>
    <s v="Chacah"/>
    <n v="18"/>
    <n v="5.7295779513082321"/>
    <n v="6"/>
    <n v="8"/>
    <m/>
    <s v="C"/>
    <s v="S"/>
    <x v="0"/>
    <x v="0"/>
    <x v="0"/>
    <m/>
    <m/>
    <m/>
  </r>
  <r>
    <n v="11"/>
    <x v="0"/>
    <n v="1"/>
    <n v="9"/>
    <n v="9"/>
    <s v="Burseraceae"/>
    <s v="Bursera simaruba"/>
    <s v="Chacah"/>
    <n v="24"/>
    <n v="7.6394372684109761"/>
    <n v="7"/>
    <n v="8.5"/>
    <m/>
    <s v="C"/>
    <s v="S"/>
    <x v="0"/>
    <x v="0"/>
    <x v="1"/>
    <m/>
    <m/>
    <m/>
  </r>
  <r>
    <n v="5"/>
    <x v="2"/>
    <n v="1"/>
    <n v="10"/>
    <n v="10"/>
    <s v="Burseraceae"/>
    <s v="Bursera simaruba"/>
    <s v="Chacah"/>
    <n v="36.5"/>
    <n v="11.618310845708359"/>
    <n v="5"/>
    <n v="8"/>
    <m/>
    <s v="C"/>
    <s v="S"/>
    <x v="0"/>
    <x v="0"/>
    <x v="1"/>
    <n v="12"/>
    <s v="Vol = Exp(-9.63573531+1.90246451*LN(DIAMETRO)+0.97875991*LN(ALTURATOTAL))"/>
    <n v="5.315674017535691E-2"/>
  </r>
  <r>
    <n v="11"/>
    <x v="0"/>
    <n v="1"/>
    <n v="10"/>
    <n v="10"/>
    <s v="Burseraceae"/>
    <s v="Bursera simaruba"/>
    <s v="Chacah"/>
    <n v="18.5"/>
    <n v="5.8887328944001274"/>
    <n v="7"/>
    <n v="9"/>
    <m/>
    <s v="C"/>
    <s v="S"/>
    <x v="0"/>
    <x v="1"/>
    <x v="0"/>
    <m/>
    <m/>
    <m/>
  </r>
  <r>
    <n v="3"/>
    <x v="2"/>
    <n v="1"/>
    <n v="11"/>
    <n v="11"/>
    <s v="Burseraceae"/>
    <s v="Bursera simaruba"/>
    <s v="Chacah"/>
    <n v="34"/>
    <n v="10.822536130248883"/>
    <n v="7"/>
    <n v="11"/>
    <m/>
    <s v="C"/>
    <s v="S"/>
    <x v="0"/>
    <x v="1"/>
    <x v="1"/>
    <n v="12"/>
    <s v="Vol = Exp(-9.63573531+1.90246451*LN(DIAMETRO)+0.97875991*LN(ALTURATOTAL))"/>
    <n v="6.3430923605390391E-2"/>
  </r>
  <r>
    <n v="11"/>
    <x v="2"/>
    <n v="3"/>
    <n v="10"/>
    <n v="11"/>
    <s v="Burseraceae"/>
    <s v="Bursera simaruba"/>
    <s v="Chacah"/>
    <n v="33.5"/>
    <n v="10.663381187156988"/>
    <n v="4"/>
    <n v="9"/>
    <m/>
    <s v="C"/>
    <s v="S"/>
    <x v="0"/>
    <x v="1"/>
    <x v="1"/>
    <n v="12"/>
    <s v="Vol = Exp(-9.63573531+1.90246451*LN(DIAMETRO)+0.97875991*LN(ALTURATOTAL))"/>
    <n v="5.0671209523614237E-2"/>
  </r>
  <r>
    <n v="1"/>
    <x v="0"/>
    <n v="2"/>
    <n v="11"/>
    <n v="11"/>
    <s v="Burseraceae"/>
    <s v="Bursera simaruba"/>
    <s v="Chacah"/>
    <n v="17"/>
    <n v="5.4112680651244416"/>
    <n v="4"/>
    <n v="7"/>
    <m/>
    <s v="C"/>
    <s v="S"/>
    <x v="0"/>
    <x v="0"/>
    <x v="0"/>
    <m/>
    <m/>
    <m/>
  </r>
  <r>
    <n v="4"/>
    <x v="0"/>
    <n v="2"/>
    <n v="10"/>
    <n v="11"/>
    <s v="Burseraceae"/>
    <s v="Bursera simaruba"/>
    <s v="Chacah"/>
    <n v="27"/>
    <n v="8.5943669269623477"/>
    <n v="9"/>
    <n v="13"/>
    <m/>
    <s v="C"/>
    <s v="S"/>
    <x v="0"/>
    <x v="4"/>
    <x v="1"/>
    <m/>
    <m/>
    <m/>
  </r>
  <r>
    <n v="8"/>
    <x v="0"/>
    <n v="1"/>
    <n v="11"/>
    <n v="11"/>
    <s v="Burseraceae"/>
    <s v="Bursera simaruba"/>
    <s v="Chacah"/>
    <n v="17.5"/>
    <n v="5.5704230082163368"/>
    <n v="3"/>
    <n v="8"/>
    <m/>
    <s v="C"/>
    <s v="S"/>
    <x v="0"/>
    <x v="0"/>
    <x v="0"/>
    <m/>
    <m/>
    <m/>
  </r>
  <r>
    <n v="11"/>
    <x v="0"/>
    <n v="1"/>
    <n v="11"/>
    <n v="11"/>
    <s v="Burseraceae"/>
    <s v="Bursera simaruba"/>
    <s v="Chacah"/>
    <n v="23"/>
    <n v="7.3211273822271856"/>
    <n v="6"/>
    <n v="10"/>
    <m/>
    <s v="C"/>
    <s v="S"/>
    <x v="0"/>
    <x v="1"/>
    <x v="0"/>
    <m/>
    <m/>
    <m/>
  </r>
  <r>
    <n v="2"/>
    <x v="2"/>
    <n v="1"/>
    <n v="12"/>
    <n v="12"/>
    <s v="Burseraceae"/>
    <s v="Bursera simaruba"/>
    <s v="Chacah"/>
    <n v="56"/>
    <n v="17.82535362629228"/>
    <n v="6.5"/>
    <n v="13"/>
    <m/>
    <s v="C"/>
    <s v="S"/>
    <x v="0"/>
    <x v="4"/>
    <x v="4"/>
    <n v="12"/>
    <s v="Vol = Exp(-9.63573531+1.90246451*LN(DIAMETRO)+0.97875991*LN(ALTURATOTAL))"/>
    <n v="0.19301546626322191"/>
  </r>
  <r>
    <n v="5"/>
    <x v="0"/>
    <n v="1"/>
    <n v="11"/>
    <n v="12"/>
    <s v="Burseraceae"/>
    <s v="Bursera simaruba"/>
    <s v="Chacah"/>
    <n v="22.5"/>
    <n v="7.1619724391352904"/>
    <n v="3.5"/>
    <n v="7"/>
    <m/>
    <s v="C"/>
    <s v="S"/>
    <x v="0"/>
    <x v="0"/>
    <x v="0"/>
    <m/>
    <m/>
    <m/>
  </r>
  <r>
    <n v="11"/>
    <x v="0"/>
    <n v="1"/>
    <n v="12"/>
    <n v="12"/>
    <s v="Burseraceae"/>
    <s v="Bursera simaruba"/>
    <s v="Chacah"/>
    <n v="18"/>
    <n v="5.7295779513082321"/>
    <n v="7"/>
    <n v="9"/>
    <m/>
    <s v="C"/>
    <s v="S"/>
    <x v="0"/>
    <x v="1"/>
    <x v="0"/>
    <m/>
    <m/>
    <m/>
  </r>
  <r>
    <n v="6"/>
    <x v="2"/>
    <n v="4"/>
    <n v="12"/>
    <n v="13"/>
    <s v="Burseraceae"/>
    <s v="Bursera simaruba"/>
    <s v="Chacah"/>
    <n v="33"/>
    <n v="10.504226244065093"/>
    <n v="6"/>
    <n v="10"/>
    <m/>
    <s v="C"/>
    <s v="S"/>
    <x v="0"/>
    <x v="1"/>
    <x v="1"/>
    <n v="12"/>
    <s v="Vol = Exp(-9.63573531+1.90246451*LN(DIAMETRO)+0.97875991*LN(ALTURATOTAL))"/>
    <n v="5.4591135202470997E-2"/>
  </r>
  <r>
    <n v="7"/>
    <x v="2"/>
    <n v="2"/>
    <n v="10"/>
    <n v="13"/>
    <s v="Burseraceae"/>
    <s v="Bursera simaruba"/>
    <s v="Chacah"/>
    <n v="34"/>
    <n v="10.822536130248883"/>
    <n v="9"/>
    <n v="11"/>
    <m/>
    <s v="C"/>
    <s v="S"/>
    <x v="0"/>
    <x v="1"/>
    <x v="1"/>
    <n v="12"/>
    <s v="Vol = Exp(-9.63573531+1.90246451*LN(DIAMETRO)+0.97875991*LN(ALTURATOTAL))"/>
    <n v="6.3430923605390391E-2"/>
  </r>
  <r>
    <n v="8"/>
    <x v="2"/>
    <n v="1"/>
    <n v="12"/>
    <n v="13"/>
    <s v="Burseraceae"/>
    <s v="Bursera simaruba"/>
    <s v="Chacah"/>
    <n v="33"/>
    <n v="10.504226244065093"/>
    <n v="6"/>
    <n v="8"/>
    <m/>
    <s v="C"/>
    <s v="S"/>
    <x v="0"/>
    <x v="0"/>
    <x v="1"/>
    <n v="12"/>
    <s v="Vol = Exp(-9.63573531+1.90246451*LN(DIAMETRO)+0.97875991*LN(ALTURATOTAL))"/>
    <n v="4.3880391105574526E-2"/>
  </r>
  <r>
    <n v="2"/>
    <x v="2"/>
    <n v="1"/>
    <n v="14"/>
    <n v="14"/>
    <s v="Burseraceae"/>
    <s v="Bursera simaruba"/>
    <s v="Chacah"/>
    <n v="33"/>
    <n v="10.504226244065093"/>
    <n v="10"/>
    <n v="14"/>
    <m/>
    <s v="C"/>
    <s v="S"/>
    <x v="0"/>
    <x v="5"/>
    <x v="1"/>
    <n v="12"/>
    <s v="Vol = Exp(-9.63573531+1.90246451*LN(DIAMETRO)+0.97875991*LN(ALTURATOTAL))"/>
    <n v="7.5883331327001868E-2"/>
  </r>
  <r>
    <n v="6"/>
    <x v="2"/>
    <n v="4"/>
    <n v="13"/>
    <n v="14"/>
    <s v="Burseraceae"/>
    <s v="Bursera simaruba"/>
    <s v="Chacah"/>
    <n v="35"/>
    <n v="11.140846016432674"/>
    <n v="4"/>
    <n v="9"/>
    <m/>
    <s v="C"/>
    <s v="S"/>
    <x v="0"/>
    <x v="1"/>
    <x v="1"/>
    <n v="12"/>
    <s v="Vol = Exp(-9.63573531+1.90246451*LN(DIAMETRO)+0.97875991*LN(ALTURATOTAL))"/>
    <n v="5.5074720890145645E-2"/>
  </r>
  <r>
    <n v="10"/>
    <x v="2"/>
    <n v="4"/>
    <n v="14"/>
    <n v="14"/>
    <s v="Burseraceae"/>
    <s v="Bursera simaruba"/>
    <s v="Chacah"/>
    <n v="33"/>
    <n v="10.504226244065093"/>
    <n v="6"/>
    <n v="9"/>
    <m/>
    <s v="C"/>
    <s v="S"/>
    <x v="0"/>
    <x v="1"/>
    <x v="1"/>
    <n v="12"/>
    <s v="Vol = Exp(-9.63573531+1.90246451*LN(DIAMETRO)+0.97875991*LN(ALTURATOTAL))"/>
    <n v="4.9242095723669325E-2"/>
  </r>
  <r>
    <n v="10"/>
    <x v="0"/>
    <n v="1"/>
    <n v="14"/>
    <n v="14"/>
    <s v="Burseraceae"/>
    <s v="Bursera simaruba"/>
    <s v="Chacah"/>
    <n v="24.5"/>
    <n v="7.7985922115028714"/>
    <n v="4"/>
    <n v="10"/>
    <m/>
    <s v="C"/>
    <s v="S"/>
    <x v="0"/>
    <x v="1"/>
    <x v="1"/>
    <m/>
    <m/>
    <m/>
  </r>
  <r>
    <n v="2"/>
    <x v="2"/>
    <n v="1"/>
    <n v="15"/>
    <n v="15"/>
    <s v="Burseraceae"/>
    <s v="Bursera simaruba"/>
    <s v="Chacah"/>
    <n v="40"/>
    <n v="12.732395447351628"/>
    <n v="7"/>
    <n v="12"/>
    <m/>
    <s v="C"/>
    <s v="S"/>
    <x v="0"/>
    <x v="4"/>
    <x v="2"/>
    <n v="12"/>
    <s v="Vol = Exp(-9.63573531+1.90246451*LN(DIAMETRO)+0.97875991*LN(ALTURATOTAL))"/>
    <n v="9.4094654617910181E-2"/>
  </r>
  <r>
    <n v="6"/>
    <x v="2"/>
    <n v="4"/>
    <n v="14"/>
    <n v="15"/>
    <s v="Burseraceae"/>
    <s v="Bursera simaruba"/>
    <s v="Chacah"/>
    <n v="34"/>
    <n v="10.822536130248883"/>
    <n v="4.5"/>
    <n v="8"/>
    <m/>
    <s v="C"/>
    <s v="S"/>
    <x v="0"/>
    <x v="0"/>
    <x v="1"/>
    <n v="12"/>
    <s v="Vol = Exp(-9.63573531+1.90246451*LN(DIAMETRO)+0.97875991*LN(ALTURATOTAL))"/>
    <n v="4.6444671844469917E-2"/>
  </r>
  <r>
    <n v="10"/>
    <x v="2"/>
    <n v="4"/>
    <n v="15"/>
    <n v="15"/>
    <s v="Burseraceae"/>
    <s v="Bursera simaruba"/>
    <s v="Chacah"/>
    <n v="37.5"/>
    <n v="11.93662073189215"/>
    <n v="4"/>
    <n v="9"/>
    <m/>
    <s v="C"/>
    <s v="S"/>
    <x v="0"/>
    <x v="1"/>
    <x v="1"/>
    <n v="12"/>
    <s v="Vol = Exp(-9.63573531+1.90246451*LN(DIAMETRO)+0.97875991*LN(ALTURATOTAL))"/>
    <n v="6.2799512726288143E-2"/>
  </r>
  <r>
    <n v="3"/>
    <x v="0"/>
    <n v="4"/>
    <n v="15"/>
    <n v="15"/>
    <s v="Burseraceae"/>
    <s v="Bursera simaruba"/>
    <s v="Chacah"/>
    <n v="25.5"/>
    <n v="8.1169020976866619"/>
    <n v="5.5"/>
    <n v="7"/>
    <m/>
    <s v="C"/>
    <s v="S"/>
    <x v="0"/>
    <x v="0"/>
    <x v="1"/>
    <m/>
    <m/>
    <m/>
  </r>
  <r>
    <n v="8"/>
    <x v="0"/>
    <n v="2"/>
    <n v="15"/>
    <n v="15"/>
    <s v="Burseraceae"/>
    <s v="Bursera simaruba"/>
    <s v="Chacah"/>
    <n v="24"/>
    <n v="7.6394372684109761"/>
    <n v="6"/>
    <n v="9"/>
    <m/>
    <s v="C"/>
    <s v="S"/>
    <x v="0"/>
    <x v="1"/>
    <x v="1"/>
    <m/>
    <m/>
    <m/>
  </r>
  <r>
    <n v="9"/>
    <x v="0"/>
    <n v="2"/>
    <n v="15"/>
    <n v="15"/>
    <s v="Burseraceae"/>
    <s v="Bursera simaruba"/>
    <s v="Chacah"/>
    <n v="23"/>
    <n v="7.3211273822271856"/>
    <n v="7"/>
    <n v="11"/>
    <m/>
    <s v="C"/>
    <s v="S"/>
    <x v="0"/>
    <x v="1"/>
    <x v="0"/>
    <m/>
    <m/>
    <m/>
  </r>
  <r>
    <n v="3"/>
    <x v="2"/>
    <n v="1"/>
    <n v="16"/>
    <n v="16"/>
    <s v="Burseraceae"/>
    <s v="Bursera simaruba"/>
    <s v="Chacah"/>
    <n v="31.5"/>
    <n v="10.026761414789407"/>
    <n v="6"/>
    <n v="12"/>
    <m/>
    <s v="C"/>
    <s v="S"/>
    <x v="0"/>
    <x v="4"/>
    <x v="1"/>
    <n v="12"/>
    <s v="Vol = Exp(-9.63573531+1.90246451*LN(DIAMETRO)+0.97875991*LN(ALTURATOTAL))"/>
    <n v="5.9729011815020175E-2"/>
  </r>
  <r>
    <n v="6"/>
    <x v="2"/>
    <n v="4"/>
    <n v="15"/>
    <n v="16"/>
    <s v="Burseraceae"/>
    <s v="Bursera simaruba"/>
    <s v="Chacah"/>
    <n v="31.5"/>
    <n v="10.026761414789407"/>
    <n v="5"/>
    <n v="10"/>
    <m/>
    <s v="C"/>
    <s v="S"/>
    <x v="0"/>
    <x v="1"/>
    <x v="1"/>
    <n v="12"/>
    <s v="Vol = Exp(-9.63573531+1.90246451*LN(DIAMETRO)+0.97875991*LN(ALTURATOTAL))"/>
    <n v="4.9967302019340111E-2"/>
  </r>
  <r>
    <n v="10"/>
    <x v="0"/>
    <n v="2"/>
    <n v="16"/>
    <n v="16"/>
    <s v="Burseraceae"/>
    <s v="Bursera simaruba"/>
    <s v="Chacah"/>
    <n v="18"/>
    <n v="5.7295779513082321"/>
    <n v="6"/>
    <n v="6.5"/>
    <m/>
    <s v="C"/>
    <s v="S"/>
    <x v="0"/>
    <x v="0"/>
    <x v="0"/>
    <m/>
    <m/>
    <m/>
  </r>
  <r>
    <n v="11"/>
    <x v="0"/>
    <n v="2"/>
    <n v="16"/>
    <n v="16"/>
    <s v="Burseraceae"/>
    <s v="Bursera simaruba"/>
    <s v="Chacah"/>
    <n v="20"/>
    <n v="6.366197723675814"/>
    <n v="6.5"/>
    <n v="8"/>
    <m/>
    <s v="C"/>
    <s v="S"/>
    <x v="0"/>
    <x v="0"/>
    <x v="0"/>
    <m/>
    <m/>
    <m/>
  </r>
  <r>
    <n v="9"/>
    <x v="2"/>
    <n v="4"/>
    <n v="17"/>
    <n v="17"/>
    <s v="Burseraceae"/>
    <s v="Bursera simaruba"/>
    <s v="Chacah"/>
    <n v="31.5"/>
    <n v="10.026761414789407"/>
    <n v="5.5"/>
    <n v="9"/>
    <m/>
    <s v="C"/>
    <s v="S"/>
    <x v="0"/>
    <x v="1"/>
    <x v="1"/>
    <n v="12"/>
    <s v="Vol = Exp(-9.63573531+1.90246451*LN(DIAMETRO)+0.97875991*LN(ALTURATOTAL))"/>
    <n v="4.50713226600657E-2"/>
  </r>
  <r>
    <n v="9"/>
    <x v="0"/>
    <n v="2"/>
    <n v="17"/>
    <n v="17"/>
    <s v="Burseraceae"/>
    <s v="Bursera simaruba"/>
    <s v="Chacah"/>
    <n v="26"/>
    <n v="8.2760570407785572"/>
    <n v="4.5"/>
    <n v="9"/>
    <m/>
    <s v="C"/>
    <s v="S"/>
    <x v="0"/>
    <x v="1"/>
    <x v="1"/>
    <m/>
    <m/>
    <m/>
  </r>
  <r>
    <n v="11"/>
    <x v="0"/>
    <n v="2"/>
    <n v="18"/>
    <n v="18"/>
    <s v="Burseraceae"/>
    <s v="Bursera simaruba"/>
    <s v="Chacah"/>
    <n v="19"/>
    <n v="6.0478878374920226"/>
    <n v="7"/>
    <n v="10"/>
    <m/>
    <s v="C"/>
    <s v="S"/>
    <x v="0"/>
    <x v="1"/>
    <x v="0"/>
    <m/>
    <m/>
    <m/>
  </r>
  <r>
    <n v="6"/>
    <x v="0"/>
    <n v="3"/>
    <n v="16"/>
    <n v="19"/>
    <s v="Burseraceae"/>
    <s v="Bursera simaruba"/>
    <s v="Chacah"/>
    <n v="21"/>
    <n v="6.6845076098596046"/>
    <n v="6"/>
    <n v="9"/>
    <m/>
    <s v="C"/>
    <s v="S"/>
    <x v="0"/>
    <x v="1"/>
    <x v="0"/>
    <m/>
    <m/>
    <m/>
  </r>
  <r>
    <n v="10"/>
    <x v="0"/>
    <n v="2"/>
    <n v="19"/>
    <n v="19"/>
    <s v="Burseraceae"/>
    <s v="Bursera simaruba"/>
    <s v="Chacah"/>
    <n v="19"/>
    <n v="6.0478878374920226"/>
    <n v="5"/>
    <n v="7"/>
    <m/>
    <s v="C"/>
    <s v="S"/>
    <x v="0"/>
    <x v="0"/>
    <x v="0"/>
    <m/>
    <m/>
    <m/>
  </r>
  <r>
    <n v="11"/>
    <x v="0"/>
    <n v="3"/>
    <n v="20"/>
    <n v="20"/>
    <s v="Burseraceae"/>
    <s v="Bursera simaruba"/>
    <s v="Chacah"/>
    <n v="17.5"/>
    <n v="5.5704230082163368"/>
    <n v="4.5"/>
    <n v="8"/>
    <m/>
    <s v="C"/>
    <s v="S"/>
    <x v="0"/>
    <x v="0"/>
    <x v="0"/>
    <m/>
    <m/>
    <m/>
  </r>
  <r>
    <n v="8"/>
    <x v="2"/>
    <n v="2"/>
    <n v="19"/>
    <n v="21"/>
    <s v="Burseraceae"/>
    <s v="Bursera simaruba"/>
    <s v="Chacah"/>
    <n v="38.5"/>
    <n v="12.254930618075941"/>
    <n v="8"/>
    <n v="14"/>
    <m/>
    <s v="C"/>
    <s v="S"/>
    <x v="0"/>
    <x v="5"/>
    <x v="1"/>
    <n v="12"/>
    <s v="Vol = Exp(-9.63573531+1.90246451*LN(DIAMETRO)+0.97875991*LN(ALTURATOTAL))"/>
    <n v="0.10174434488340918"/>
  </r>
  <r>
    <n v="8"/>
    <x v="0"/>
    <n v="3"/>
    <n v="21"/>
    <n v="21"/>
    <s v="Burseraceae"/>
    <s v="Bursera simaruba"/>
    <s v="Chacah"/>
    <n v="27"/>
    <n v="8.5943669269623477"/>
    <n v="7"/>
    <n v="11"/>
    <m/>
    <s v="C"/>
    <s v="S"/>
    <x v="0"/>
    <x v="1"/>
    <x v="1"/>
    <m/>
    <m/>
    <m/>
  </r>
  <r>
    <n v="11"/>
    <x v="0"/>
    <n v="3"/>
    <n v="21"/>
    <n v="21"/>
    <s v="Burseraceae"/>
    <s v="Bursera simaruba"/>
    <s v="Chacah"/>
    <n v="16.5"/>
    <n v="5.2521131220325463"/>
    <n v="6"/>
    <n v="9"/>
    <m/>
    <s v="C"/>
    <s v="S"/>
    <x v="0"/>
    <x v="1"/>
    <x v="0"/>
    <m/>
    <m/>
    <m/>
  </r>
  <r>
    <n v="5"/>
    <x v="0"/>
    <n v="3"/>
    <n v="21"/>
    <n v="22"/>
    <s v="Burseraceae"/>
    <s v="Bursera simaruba"/>
    <s v="Chacah"/>
    <n v="17"/>
    <n v="5.4112680651244416"/>
    <n v="4"/>
    <n v="6"/>
    <m/>
    <s v="C"/>
    <s v="S"/>
    <x v="0"/>
    <x v="2"/>
    <x v="0"/>
    <m/>
    <m/>
    <m/>
  </r>
  <r>
    <n v="10"/>
    <x v="0"/>
    <n v="2"/>
    <n v="22"/>
    <n v="22"/>
    <s v="Burseraceae"/>
    <s v="Bursera simaruba"/>
    <s v="Chacah"/>
    <n v="18"/>
    <n v="5.7295779513082321"/>
    <n v="6"/>
    <n v="9"/>
    <m/>
    <s v="C"/>
    <s v="S"/>
    <x v="0"/>
    <x v="1"/>
    <x v="0"/>
    <m/>
    <m/>
    <m/>
  </r>
  <r>
    <n v="2"/>
    <x v="2"/>
    <n v="2"/>
    <n v="22"/>
    <n v="23"/>
    <s v="Burseraceae"/>
    <s v="Bursera simaruba"/>
    <s v="Chacah"/>
    <n v="34"/>
    <n v="10.822536130248883"/>
    <n v="8"/>
    <n v="12"/>
    <m/>
    <s v="C"/>
    <s v="S"/>
    <x v="0"/>
    <x v="4"/>
    <x v="1"/>
    <n v="12"/>
    <s v="Vol = Exp(-9.63573531+1.90246451*LN(DIAMETRO)+0.97875991*LN(ALTURATOTAL))"/>
    <n v="6.9069603606235472E-2"/>
  </r>
  <r>
    <n v="5"/>
    <x v="0"/>
    <n v="4"/>
    <n v="22"/>
    <n v="23"/>
    <s v="Burseraceae"/>
    <s v="Bursera simaruba"/>
    <s v="Chacah"/>
    <n v="30.5"/>
    <n v="9.7084515286056163"/>
    <n v="6"/>
    <n v="11"/>
    <m/>
    <s v="C"/>
    <s v="S"/>
    <x v="0"/>
    <x v="1"/>
    <x v="1"/>
    <m/>
    <m/>
    <m/>
  </r>
  <r>
    <n v="6"/>
    <x v="0"/>
    <n v="4"/>
    <n v="21"/>
    <n v="24"/>
    <s v="Burseraceae"/>
    <s v="Bursera simaruba"/>
    <s v="Chacah"/>
    <n v="24"/>
    <n v="7.6394372684109761"/>
    <n v="5"/>
    <n v="8"/>
    <m/>
    <s v="C"/>
    <s v="S"/>
    <x v="0"/>
    <x v="0"/>
    <x v="1"/>
    <m/>
    <m/>
    <m/>
  </r>
  <r>
    <n v="11"/>
    <x v="0"/>
    <n v="3"/>
    <n v="24"/>
    <n v="24"/>
    <s v="Burseraceae"/>
    <s v="Bursera simaruba"/>
    <s v="Chacah"/>
    <n v="25"/>
    <n v="7.9577471545947667"/>
    <n v="3"/>
    <n v="7"/>
    <m/>
    <s v="C"/>
    <s v="S"/>
    <x v="0"/>
    <x v="0"/>
    <x v="1"/>
    <m/>
    <m/>
    <m/>
  </r>
  <r>
    <n v="10"/>
    <x v="0"/>
    <n v="2"/>
    <n v="25"/>
    <n v="25"/>
    <s v="Burseraceae"/>
    <s v="Bursera simaruba"/>
    <s v="Chacah"/>
    <n v="30"/>
    <n v="9.5492965855137211"/>
    <n v="3.5"/>
    <n v="8.5"/>
    <m/>
    <s v="C"/>
    <s v="S"/>
    <x v="0"/>
    <x v="0"/>
    <x v="1"/>
    <m/>
    <m/>
    <m/>
  </r>
  <r>
    <n v="2"/>
    <x v="2"/>
    <n v="2"/>
    <n v="25"/>
    <n v="26"/>
    <s v="Burseraceae"/>
    <s v="Bursera simaruba"/>
    <s v="Chacah"/>
    <n v="33"/>
    <n v="10.504226244065093"/>
    <n v="4"/>
    <n v="8"/>
    <m/>
    <s v="C"/>
    <s v="SD"/>
    <x v="0"/>
    <x v="0"/>
    <x v="1"/>
    <n v="12"/>
    <s v="Vol = Exp(-9.63573531+1.90246451*LN(DIAMETRO)+0.97875991*LN(ALTURATOTAL))"/>
    <n v="4.3880391105574526E-2"/>
  </r>
  <r>
    <n v="7"/>
    <x v="2"/>
    <n v="3"/>
    <n v="23"/>
    <n v="26"/>
    <s v="Burseraceae"/>
    <s v="Bursera simaruba"/>
    <s v="Chacah"/>
    <n v="35.5"/>
    <n v="11.300000959524569"/>
    <n v="8"/>
    <n v="12"/>
    <m/>
    <s v="C"/>
    <s v="S"/>
    <x v="0"/>
    <x v="4"/>
    <x v="1"/>
    <n v="12"/>
    <s v="Vol = Exp(-9.63573531+1.90246451*LN(DIAMETRO)+0.97875991*LN(ALTURATOTAL))"/>
    <n v="7.4982013806505501E-2"/>
  </r>
  <r>
    <n v="5"/>
    <x v="0"/>
    <n v="4"/>
    <n v="24"/>
    <n v="26"/>
    <s v="Burseraceae"/>
    <s v="Bursera simaruba"/>
    <s v="Chacah"/>
    <n v="23"/>
    <n v="7.3211273822271856"/>
    <n v="3"/>
    <n v="9"/>
    <m/>
    <s v="C"/>
    <s v="S"/>
    <x v="0"/>
    <x v="1"/>
    <x v="0"/>
    <m/>
    <m/>
    <m/>
  </r>
  <r>
    <n v="10"/>
    <x v="0"/>
    <n v="2"/>
    <n v="26"/>
    <n v="26"/>
    <s v="Burseraceae"/>
    <s v="Bursera simaruba"/>
    <s v="Chacah"/>
    <n v="28"/>
    <n v="8.91267681314614"/>
    <n v="4.5"/>
    <n v="8.5"/>
    <m/>
    <s v="C"/>
    <s v="S"/>
    <x v="0"/>
    <x v="0"/>
    <x v="1"/>
    <m/>
    <m/>
    <m/>
  </r>
  <r>
    <n v="1"/>
    <x v="2"/>
    <n v="4"/>
    <n v="24"/>
    <n v="27"/>
    <s v="Burseraceae"/>
    <s v="Bursera simaruba"/>
    <s v="Chacah"/>
    <n v="33"/>
    <n v="10.504226244065093"/>
    <n v="6"/>
    <n v="10"/>
    <m/>
    <s v="C"/>
    <s v="S"/>
    <x v="0"/>
    <x v="1"/>
    <x v="1"/>
    <n v="12"/>
    <s v="Vol = Exp(-9.63573531+1.90246451*LN(DIAMETRO)+0.97875991*LN(ALTURATOTAL))"/>
    <n v="5.4591135202470997E-2"/>
  </r>
  <r>
    <n v="2"/>
    <x v="2"/>
    <n v="2"/>
    <n v="26"/>
    <n v="27"/>
    <s v="Burseraceae"/>
    <s v="Bursera simaruba"/>
    <s v="Chacah"/>
    <n v="46"/>
    <n v="14.642254764454371"/>
    <n v="6"/>
    <n v="12"/>
    <m/>
    <s v="C"/>
    <s v="S"/>
    <x v="0"/>
    <x v="4"/>
    <x v="2"/>
    <n v="12"/>
    <s v="Vol = Exp(-9.63573531+1.90246451*LN(DIAMETRO)+0.97875991*LN(ALTURATOTAL))"/>
    <n v="0.12275535302141567"/>
  </r>
  <r>
    <n v="7"/>
    <x v="2"/>
    <n v="3"/>
    <n v="24"/>
    <n v="27"/>
    <s v="Burseraceae"/>
    <s v="Bursera simaruba"/>
    <s v="Chacah"/>
    <n v="40"/>
    <n v="12.732395447351628"/>
    <n v="6"/>
    <n v="11"/>
    <m/>
    <s v="C"/>
    <s v="S"/>
    <x v="0"/>
    <x v="1"/>
    <x v="2"/>
    <n v="12"/>
    <s v="Vol = Exp(-9.63573531+1.90246451*LN(DIAMETRO)+0.97875991*LN(ALTURATOTAL))"/>
    <n v="8.6412988306268909E-2"/>
  </r>
  <r>
    <n v="9"/>
    <x v="0"/>
    <n v="2"/>
    <n v="27"/>
    <n v="27"/>
    <s v="Burseraceae"/>
    <s v="Bursera simaruba"/>
    <s v="Chacah"/>
    <n v="19"/>
    <n v="6.0478878374920226"/>
    <n v="6"/>
    <n v="8"/>
    <m/>
    <s v="C"/>
    <s v="S"/>
    <x v="0"/>
    <x v="0"/>
    <x v="0"/>
    <m/>
    <m/>
    <m/>
  </r>
  <r>
    <n v="11"/>
    <x v="0"/>
    <n v="3"/>
    <n v="27"/>
    <n v="27"/>
    <s v="Burseraceae"/>
    <s v="Bursera simaruba"/>
    <s v="Chacah"/>
    <n v="24"/>
    <n v="7.6394372684109761"/>
    <n v="7"/>
    <n v="8.5"/>
    <m/>
    <s v="C"/>
    <s v="S"/>
    <x v="0"/>
    <x v="0"/>
    <x v="1"/>
    <m/>
    <m/>
    <m/>
  </r>
  <r>
    <n v="6"/>
    <x v="0"/>
    <n v="4"/>
    <n v="25"/>
    <n v="28"/>
    <s v="Burseraceae"/>
    <s v="Bursera simaruba"/>
    <s v="Chacah"/>
    <n v="22"/>
    <n v="7.0028174960433951"/>
    <n v="6"/>
    <n v="9"/>
    <m/>
    <s v="C"/>
    <s v="S"/>
    <x v="0"/>
    <x v="1"/>
    <x v="0"/>
    <m/>
    <m/>
    <m/>
  </r>
  <r>
    <n v="9"/>
    <x v="0"/>
    <n v="2"/>
    <n v="28"/>
    <n v="28"/>
    <s v="Burseraceae"/>
    <s v="Bursera simaruba"/>
    <s v="Chacah"/>
    <n v="21.5"/>
    <n v="6.8436625529514998"/>
    <n v="5.5"/>
    <n v="9"/>
    <m/>
    <s v="C"/>
    <s v="S"/>
    <x v="0"/>
    <x v="1"/>
    <x v="0"/>
    <m/>
    <m/>
    <m/>
  </r>
  <r>
    <n v="5"/>
    <x v="0"/>
    <n v="4"/>
    <n v="27"/>
    <n v="29"/>
    <s v="Burseraceae"/>
    <s v="Bursera simaruba"/>
    <s v="Chacah"/>
    <n v="18"/>
    <n v="5.7295779513082321"/>
    <n v="4"/>
    <n v="6"/>
    <m/>
    <s v="C"/>
    <s v="S"/>
    <x v="0"/>
    <x v="2"/>
    <x v="0"/>
    <m/>
    <m/>
    <m/>
  </r>
  <r>
    <n v="9"/>
    <x v="0"/>
    <n v="3"/>
    <n v="29"/>
    <n v="29"/>
    <s v="Burseraceae"/>
    <s v="Bursera simaruba"/>
    <s v="Chacah"/>
    <n v="17"/>
    <n v="5.4112680651244416"/>
    <n v="6"/>
    <n v="8.5"/>
    <m/>
    <s v="C"/>
    <s v="S"/>
    <x v="0"/>
    <x v="0"/>
    <x v="0"/>
    <m/>
    <m/>
    <m/>
  </r>
  <r>
    <n v="2"/>
    <x v="2"/>
    <n v="2"/>
    <n v="29"/>
    <n v="30"/>
    <s v="Burseraceae"/>
    <s v="Bursera simaruba"/>
    <s v="Chacah"/>
    <n v="48.5"/>
    <n v="15.438029479913848"/>
    <n v="8"/>
    <n v="13"/>
    <m/>
    <s v="C"/>
    <s v="S"/>
    <x v="0"/>
    <x v="4"/>
    <x v="2"/>
    <n v="12"/>
    <s v="Vol = Exp(-9.63573531+1.90246451*LN(DIAMETRO)+0.97875991*LN(ALTURATOTAL))"/>
    <n v="0.14682170489643562"/>
  </r>
  <r>
    <n v="1"/>
    <x v="2"/>
    <n v="4"/>
    <n v="28"/>
    <n v="31"/>
    <s v="Burseraceae"/>
    <s v="Bursera simaruba"/>
    <s v="Chacah"/>
    <n v="34"/>
    <n v="10.822536130248883"/>
    <n v="6"/>
    <n v="9"/>
    <m/>
    <s v="C"/>
    <s v="S"/>
    <x v="0"/>
    <x v="1"/>
    <x v="1"/>
    <n v="12"/>
    <s v="Vol = Exp(-9.63573531+1.90246451*LN(DIAMETRO)+0.97875991*LN(ALTURATOTAL))"/>
    <n v="5.2119703566845706E-2"/>
  </r>
  <r>
    <n v="9"/>
    <x v="0"/>
    <n v="3"/>
    <n v="31"/>
    <n v="31"/>
    <s v="Burseraceae"/>
    <s v="Bursera simaruba"/>
    <s v="Chacah"/>
    <n v="16.5"/>
    <n v="5.2521131220325463"/>
    <n v="4"/>
    <n v="8"/>
    <m/>
    <s v="C"/>
    <s v="S"/>
    <x v="0"/>
    <x v="0"/>
    <x v="0"/>
    <m/>
    <m/>
    <m/>
  </r>
  <r>
    <n v="7"/>
    <x v="2"/>
    <n v="3"/>
    <n v="30"/>
    <n v="33"/>
    <s v="Burseraceae"/>
    <s v="Bursera simaruba"/>
    <s v="Chacah"/>
    <n v="45.5"/>
    <n v="14.483099821362476"/>
    <n v="7"/>
    <n v="14"/>
    <m/>
    <s v="C"/>
    <s v="S"/>
    <x v="0"/>
    <x v="5"/>
    <x v="2"/>
    <n v="12"/>
    <s v="Vol = Exp(-9.63573531+1.90246451*LN(DIAMETRO)+0.97875991*LN(ALTURATOTAL))"/>
    <n v="0.13980907076420018"/>
  </r>
  <r>
    <n v="11"/>
    <x v="0"/>
    <n v="3"/>
    <n v="33"/>
    <n v="33"/>
    <s v="Burseraceae"/>
    <s v="Bursera simaruba"/>
    <s v="Chacah"/>
    <n v="20.5"/>
    <n v="6.5253526667677093"/>
    <n v="7"/>
    <n v="8.5"/>
    <m/>
    <s v="C"/>
    <s v="S"/>
    <x v="0"/>
    <x v="0"/>
    <x v="0"/>
    <m/>
    <m/>
    <m/>
  </r>
  <r>
    <n v="12"/>
    <x v="0"/>
    <n v="3"/>
    <n v="21"/>
    <n v="33"/>
    <s v="Burseraceae"/>
    <s v="Bursera simaruba"/>
    <s v="Chacah"/>
    <n v="22"/>
    <n v="7.0028174960433951"/>
    <n v="8"/>
    <n v="9"/>
    <m/>
    <s v="C"/>
    <s v="S"/>
    <x v="0"/>
    <x v="1"/>
    <x v="0"/>
    <m/>
    <m/>
    <m/>
  </r>
  <r>
    <n v="7"/>
    <x v="2"/>
    <n v="3"/>
    <n v="32"/>
    <n v="35"/>
    <s v="Burseraceae"/>
    <s v="Bursera simaruba"/>
    <s v="Chacah"/>
    <n v="33"/>
    <n v="10.504226244065093"/>
    <n v="9"/>
    <n v="12"/>
    <m/>
    <s v="C"/>
    <s v="S"/>
    <x v="0"/>
    <x v="4"/>
    <x v="1"/>
    <n v="12"/>
    <s v="Vol = Exp(-9.63573531+1.90246451*LN(DIAMETRO)+0.97875991*LN(ALTURATOTAL))"/>
    <n v="6.5256166087208245E-2"/>
  </r>
  <r>
    <n v="5"/>
    <x v="2"/>
    <n v="4"/>
    <n v="35"/>
    <n v="37"/>
    <s v="Burseraceae"/>
    <s v="Bursera simaruba"/>
    <s v="Chacah"/>
    <n v="34"/>
    <n v="10.822536130248883"/>
    <n v="7"/>
    <n v="10"/>
    <m/>
    <s v="C"/>
    <s v="S"/>
    <x v="0"/>
    <x v="1"/>
    <x v="1"/>
    <n v="12"/>
    <s v="Vol = Exp(-9.63573531+1.90246451*LN(DIAMETRO)+0.97875991*LN(ALTURATOTAL))"/>
    <n v="5.7781330024967617E-2"/>
  </r>
  <r>
    <n v="9"/>
    <x v="0"/>
    <n v="3"/>
    <n v="37"/>
    <n v="37"/>
    <s v="Burseraceae"/>
    <s v="Bursera simaruba"/>
    <s v="Chacah"/>
    <n v="17.5"/>
    <n v="5.5704230082163368"/>
    <n v="8"/>
    <n v="10"/>
    <m/>
    <s v="C"/>
    <s v="S"/>
    <x v="0"/>
    <x v="1"/>
    <x v="0"/>
    <m/>
    <m/>
    <m/>
  </r>
  <r>
    <n v="10"/>
    <x v="0"/>
    <n v="4"/>
    <n v="38"/>
    <n v="38"/>
    <s v="Burseraceae"/>
    <s v="Bursera simaruba"/>
    <s v="Chacah"/>
    <n v="26"/>
    <n v="8.2760570407785572"/>
    <n v="5.5"/>
    <n v="10"/>
    <m/>
    <s v="C"/>
    <s v="S"/>
    <x v="0"/>
    <x v="1"/>
    <x v="1"/>
    <m/>
    <m/>
    <m/>
  </r>
  <r>
    <n v="12"/>
    <x v="0"/>
    <n v="4"/>
    <n v="28"/>
    <n v="40"/>
    <s v="Burseraceae"/>
    <s v="Bursera simaruba"/>
    <s v="Chacah"/>
    <n v="20.5"/>
    <n v="6.5253526667677093"/>
    <n v="2"/>
    <n v="9"/>
    <m/>
    <s v="C"/>
    <s v="S"/>
    <x v="0"/>
    <x v="1"/>
    <x v="0"/>
    <m/>
    <m/>
    <m/>
  </r>
  <r>
    <n v="2"/>
    <x v="2"/>
    <n v="3"/>
    <n v="39"/>
    <n v="41"/>
    <s v="Burseraceae"/>
    <s v="Bursera simaruba"/>
    <s v="Chacah"/>
    <n v="36.5"/>
    <n v="11.618310845708359"/>
    <n v="4"/>
    <n v="9"/>
    <m/>
    <s v="C"/>
    <s v="S"/>
    <x v="0"/>
    <x v="1"/>
    <x v="1"/>
    <n v="12"/>
    <s v="Vol = Exp(-9.63573531+1.90246451*LN(DIAMETRO)+0.97875991*LN(ALTURATOTAL))"/>
    <n v="5.9651913351807223E-2"/>
  </r>
  <r>
    <n v="2"/>
    <x v="2"/>
    <n v="3"/>
    <n v="40"/>
    <n v="42"/>
    <s v="Burseraceae"/>
    <s v="Bursera simaruba"/>
    <s v="Chacah"/>
    <n v="45"/>
    <n v="14.323944878270581"/>
    <n v="5"/>
    <n v="10"/>
    <m/>
    <s v="C"/>
    <s v="S"/>
    <x v="0"/>
    <x v="1"/>
    <x v="2"/>
    <n v="12"/>
    <s v="Vol = Exp(-9.63573531+1.90246451*LN(DIAMETRO)+0.97875991*LN(ALTURATOTAL))"/>
    <n v="9.8487560842440897E-2"/>
  </r>
  <r>
    <n v="8"/>
    <x v="2"/>
    <n v="3"/>
    <n v="37"/>
    <n v="42"/>
    <s v="Burseraceae"/>
    <s v="Bursera simaruba"/>
    <s v="Chacah"/>
    <n v="40"/>
    <n v="12.732395447351628"/>
    <n v="9"/>
    <n v="12"/>
    <m/>
    <s v="C"/>
    <s v="S"/>
    <x v="0"/>
    <x v="4"/>
    <x v="2"/>
    <n v="12"/>
    <s v="Vol = Exp(-9.63573531+1.90246451*LN(DIAMETRO)+0.97875991*LN(ALTURATOTAL))"/>
    <n v="9.4094654617910181E-2"/>
  </r>
  <r>
    <n v="7"/>
    <x v="2"/>
    <n v="4"/>
    <n v="42"/>
    <n v="45"/>
    <s v="Burseraceae"/>
    <s v="Bursera simaruba"/>
    <s v="Chacah"/>
    <n v="53"/>
    <n v="16.870423967740905"/>
    <n v="5.5"/>
    <n v="12"/>
    <m/>
    <s v="C"/>
    <s v="S"/>
    <x v="0"/>
    <x v="4"/>
    <x v="2"/>
    <n v="12"/>
    <s v="Vol = Exp(-9.63573531+1.90246451*LN(DIAMETRO)+0.97875991*LN(ALTURATOTAL))"/>
    <n v="0.1607223683694381"/>
  </r>
  <r>
    <n v="9"/>
    <x v="0"/>
    <n v="4"/>
    <n v="45"/>
    <n v="45"/>
    <s v="Burseraceae"/>
    <s v="Bursera simaruba"/>
    <s v="Chacah"/>
    <n v="18"/>
    <n v="5.7295779513082321"/>
    <n v="4.5"/>
    <n v="6"/>
    <m/>
    <s v="C"/>
    <s v="S"/>
    <x v="0"/>
    <x v="2"/>
    <x v="0"/>
    <m/>
    <m/>
    <m/>
  </r>
  <r>
    <n v="9"/>
    <x v="0"/>
    <n v="4"/>
    <n v="47"/>
    <n v="47"/>
    <s v="Burseraceae"/>
    <s v="Bursera simaruba"/>
    <s v="Chacah"/>
    <n v="17.5"/>
    <n v="5.5704230082163368"/>
    <n v="2.5"/>
    <n v="7"/>
    <m/>
    <s v="C"/>
    <s v="S"/>
    <x v="0"/>
    <x v="0"/>
    <x v="0"/>
    <m/>
    <m/>
    <m/>
  </r>
  <r>
    <n v="4"/>
    <x v="2"/>
    <n v="4"/>
    <n v="46"/>
    <n v="48"/>
    <s v="Burseraceae"/>
    <s v="Bursera simaruba"/>
    <s v="Chacah"/>
    <n v="42.5"/>
    <n v="13.528170162811104"/>
    <n v="6"/>
    <n v="11"/>
    <m/>
    <s v="C"/>
    <s v="S"/>
    <x v="0"/>
    <x v="1"/>
    <x v="2"/>
    <n v="12"/>
    <s v="Vol = Exp(-9.63573531+1.90246451*LN(DIAMETRO)+0.97875991*LN(ALTURATOTAL))"/>
    <n v="9.6977033610609026E-2"/>
  </r>
  <r>
    <n v="2"/>
    <x v="2"/>
    <n v="3"/>
    <n v="48"/>
    <n v="52"/>
    <s v="Burseraceae"/>
    <s v="Bursera simaruba"/>
    <s v="Chacah"/>
    <n v="32"/>
    <n v="10.185916357881302"/>
    <n v="6"/>
    <n v="9"/>
    <m/>
    <s v="C"/>
    <s v="S"/>
    <x v="0"/>
    <x v="1"/>
    <x v="1"/>
    <n v="12"/>
    <s v="Vol = Exp(-9.63573531+1.90246451*LN(DIAMETRO)+0.97875991*LN(ALTURATOTAL))"/>
    <n v="4.6442123120946172E-2"/>
  </r>
  <r>
    <n v="8"/>
    <x v="2"/>
    <n v="4"/>
    <n v="49"/>
    <n v="54"/>
    <s v="Burseraceae"/>
    <s v="Bursera simaruba"/>
    <s v="Chacah"/>
    <n v="33"/>
    <n v="10.504226244065093"/>
    <n v="8"/>
    <n v="12"/>
    <m/>
    <s v="C"/>
    <s v="S"/>
    <x v="0"/>
    <x v="4"/>
    <x v="1"/>
    <n v="12"/>
    <s v="Vol = Exp(-9.63573531+1.90246451*LN(DIAMETRO)+0.97875991*LN(ALTURATOTAL))"/>
    <n v="6.5256166087208245E-2"/>
  </r>
  <r>
    <n v="4"/>
    <x v="2"/>
    <n v="4"/>
    <n v="54"/>
    <n v="56"/>
    <s v="Burseraceae"/>
    <s v="Bursera simaruba"/>
    <s v="Chacah"/>
    <n v="49"/>
    <n v="15.597184423005743"/>
    <n v="4"/>
    <n v="13"/>
    <m/>
    <s v="C"/>
    <s v="S"/>
    <x v="0"/>
    <x v="4"/>
    <x v="2"/>
    <n v="12"/>
    <s v="Vol = Exp(-9.63573531+1.90246451*LN(DIAMETRO)+0.97875991*LN(ALTURATOTAL))"/>
    <n v="0.14971471547100634"/>
  </r>
  <r>
    <n v="2"/>
    <x v="2"/>
    <n v="4"/>
    <n v="52"/>
    <n v="57"/>
    <s v="Burseraceae"/>
    <s v="Bursera simaruba"/>
    <s v="Chacah"/>
    <n v="36"/>
    <n v="11.459155902616464"/>
    <n v="4"/>
    <n v="10"/>
    <m/>
    <s v="C"/>
    <s v="S"/>
    <x v="0"/>
    <x v="1"/>
    <x v="1"/>
    <n v="12"/>
    <s v="Vol = Exp(-9.63573531+1.90246451*LN(DIAMETRO)+0.97875991*LN(ALTURATOTAL))"/>
    <n v="6.4418932145957952E-2"/>
  </r>
  <r>
    <n v="8"/>
    <x v="2"/>
    <n v="4"/>
    <n v="54"/>
    <n v="59"/>
    <s v="Burseraceae"/>
    <s v="Bursera simaruba"/>
    <s v="Chacah"/>
    <n v="34.5"/>
    <n v="10.981691073340778"/>
    <n v="8"/>
    <n v="12"/>
    <m/>
    <s v="C"/>
    <s v="S"/>
    <x v="0"/>
    <x v="4"/>
    <x v="1"/>
    <n v="12"/>
    <s v="Vol = Exp(-9.63573531+1.90246451*LN(DIAMETRO)+0.97875991*LN(ALTURATOTAL))"/>
    <n v="7.1014809646230373E-2"/>
  </r>
  <r>
    <n v="8"/>
    <x v="2"/>
    <n v="4"/>
    <n v="55"/>
    <n v="60"/>
    <s v="Burseraceae"/>
    <s v="Bursera simaruba"/>
    <s v="Chacah"/>
    <n v="47.5"/>
    <n v="15.119719593730057"/>
    <n v="3"/>
    <n v="10"/>
    <m/>
    <s v="C"/>
    <s v="S"/>
    <x v="0"/>
    <x v="1"/>
    <x v="2"/>
    <n v="12"/>
    <s v="Vol = Exp(-9.63573531+1.90246451*LN(DIAMETRO)+0.97875991*LN(ALTURATOTAL))"/>
    <n v="0.10915743783971928"/>
  </r>
  <r>
    <n v="2"/>
    <x v="2"/>
    <n v="4"/>
    <n v="55"/>
    <n v="61"/>
    <s v="Burseraceae"/>
    <s v="Bursera simaruba"/>
    <s v="Chacah"/>
    <n v="38"/>
    <n v="12.095775674984045"/>
    <n v="4"/>
    <n v="9"/>
    <m/>
    <s v="C"/>
    <s v="S"/>
    <x v="0"/>
    <x v="1"/>
    <x v="1"/>
    <n v="12"/>
    <s v="Vol = Exp(-9.63573531+1.90246451*LN(DIAMETRO)+0.97875991*LN(ALTURATOTAL))"/>
    <n v="6.4402077256596954E-2"/>
  </r>
  <r>
    <n v="8"/>
    <x v="2"/>
    <n v="4"/>
    <n v="58"/>
    <n v="65"/>
    <s v="Burseraceae"/>
    <s v="Bursera simaruba"/>
    <s v="Chacah"/>
    <n v="35.5"/>
    <n v="11.300000959524569"/>
    <n v="7"/>
    <n v="13"/>
    <m/>
    <s v="C"/>
    <s v="S"/>
    <x v="0"/>
    <x v="4"/>
    <x v="1"/>
    <n v="12"/>
    <s v="Vol = Exp(-9.63573531+1.90246451*LN(DIAMETRO)+0.97875991*LN(ALTURATOTAL))"/>
    <n v="8.1092531123149361E-2"/>
  </r>
  <r>
    <n v="2"/>
    <x v="0"/>
    <n v="1"/>
    <n v="1"/>
    <n v="1"/>
    <s v="Anacardiaceae"/>
    <s v="Metopium brownei"/>
    <s v="Chechem"/>
    <n v="21.5"/>
    <n v="6.8436625529514998"/>
    <n v="5"/>
    <n v="8"/>
    <m/>
    <s v="C"/>
    <s v="S"/>
    <x v="0"/>
    <x v="0"/>
    <x v="0"/>
    <m/>
    <m/>
    <m/>
  </r>
  <r>
    <n v="8"/>
    <x v="0"/>
    <n v="1"/>
    <n v="1"/>
    <n v="1"/>
    <s v="Anacardiaceae"/>
    <s v="Metopium brownei"/>
    <s v="Chechem"/>
    <n v="30"/>
    <n v="9.5492965855137211"/>
    <n v="5.5"/>
    <n v="10"/>
    <m/>
    <s v="C"/>
    <s v="S"/>
    <x v="0"/>
    <x v="1"/>
    <x v="1"/>
    <m/>
    <m/>
    <m/>
  </r>
  <r>
    <n v="1"/>
    <x v="2"/>
    <n v="1"/>
    <n v="2"/>
    <n v="2"/>
    <s v="Anacardiaceae"/>
    <s v="Metopium brownei"/>
    <s v="Chechem"/>
    <n v="70"/>
    <n v="22.281692032865347"/>
    <n v="3.5"/>
    <n v="12"/>
    <m/>
    <s v="C"/>
    <s v="S"/>
    <x v="0"/>
    <x v="4"/>
    <x v="4"/>
    <n v="15"/>
    <s v="Vol = Exp(-9.45441486+1.86841300*LN(DIAMETRO)+0.93163520*LN(ALTURATOTAL))"/>
    <n v="0.26177424267000488"/>
  </r>
  <r>
    <n v="3"/>
    <x v="2"/>
    <n v="1"/>
    <n v="2"/>
    <n v="2"/>
    <s v="Anacardiaceae"/>
    <s v="Metopium brownei"/>
    <s v="Chechem"/>
    <n v="44"/>
    <n v="14.00563499208679"/>
    <n v="6"/>
    <n v="10"/>
    <m/>
    <s v="C"/>
    <s v="S"/>
    <x v="0"/>
    <x v="1"/>
    <x v="2"/>
    <n v="15"/>
    <s v="Vol = Exp(-9.45441486+1.86841300*LN(DIAMETRO)+0.93163520*LN(ALTURATOTAL))"/>
    <n v="9.2768825280786782E-2"/>
  </r>
  <r>
    <n v="1"/>
    <x v="2"/>
    <n v="1"/>
    <n v="3"/>
    <n v="3"/>
    <s v="Anacardiaceae"/>
    <s v="Metopium brownei"/>
    <s v="Chechem"/>
    <n v="60"/>
    <n v="19.098593171027442"/>
    <n v="6"/>
    <n v="13"/>
    <m/>
    <s v="CB"/>
    <s v="S"/>
    <x v="0"/>
    <x v="4"/>
    <x v="4"/>
    <n v="15"/>
    <s v="Vol = Exp(-9.45441486+1.86841300*LN(DIAMETRO)+0.93163520*LN(ALTURATOTAL))"/>
    <n v="0.21146001641603238"/>
  </r>
  <r>
    <n v="1"/>
    <x v="2"/>
    <n v="1"/>
    <s v="3A"/>
    <n v="4"/>
    <s v="Anacardiaceae"/>
    <s v="Metopium brownei"/>
    <s v="Chechem"/>
    <n v="71"/>
    <n v="22.600001919049138"/>
    <n v="7.5"/>
    <n v="14"/>
    <m/>
    <s v="C"/>
    <s v="S"/>
    <x v="1"/>
    <x v="5"/>
    <x v="3"/>
    <n v="15"/>
    <s v="Vol = Exp(-9.45441486+1.86841300*LN(DIAMETRO)+0.93163520*LN(ALTURATOTAL))"/>
    <n v="0.31031795060100054"/>
  </r>
  <r>
    <n v="7"/>
    <x v="1"/>
    <m/>
    <n v="22"/>
    <n v="22"/>
    <s v="Rubiaceae"/>
    <s v="Chiococca alba (L.) Hitchc. "/>
    <s v="ka’an chak che"/>
    <m/>
    <m/>
    <m/>
    <n v="0.7"/>
    <e v="#REF!"/>
    <m/>
    <s v="S"/>
    <x v="0"/>
    <x v="3"/>
    <x v="0"/>
    <m/>
    <m/>
    <m/>
  </r>
  <r>
    <n v="3"/>
    <x v="2"/>
    <n v="1"/>
    <n v="5"/>
    <n v="5"/>
    <s v="Anacardiaceae"/>
    <s v="Metopium brownei"/>
    <s v="Chechem"/>
    <n v="35.5"/>
    <n v="11.300000959524569"/>
    <n v="6"/>
    <n v="10"/>
    <m/>
    <s v="C"/>
    <s v="S"/>
    <x v="0"/>
    <x v="1"/>
    <x v="1"/>
    <n v="15"/>
    <s v="Vol = Exp(-9.45441486+1.86841300*LN(DIAMETRO)+0.93163520*LN(ALTURATOTAL))"/>
    <n v="6.2118436965634988E-2"/>
  </r>
  <r>
    <n v="1"/>
    <x v="2"/>
    <n v="2"/>
    <n v="5"/>
    <n v="6"/>
    <s v="Anacardiaceae"/>
    <s v="Metopium brownei"/>
    <s v="Chechem"/>
    <n v="54"/>
    <n v="17.188733853924695"/>
    <n v="6"/>
    <n v="13"/>
    <m/>
    <s v="C"/>
    <s v="S"/>
    <x v="0"/>
    <x v="4"/>
    <x v="2"/>
    <n v="15"/>
    <s v="Vol = Exp(-9.45441486+1.86841300*LN(DIAMETRO)+0.93163520*LN(ALTURATOTAL))"/>
    <n v="0.17367382582472168"/>
  </r>
  <r>
    <n v="7"/>
    <x v="0"/>
    <n v="3"/>
    <n v="6"/>
    <n v="6"/>
    <s v="Anacardiaceae"/>
    <s v="Metopium brownei"/>
    <s v="Chechem"/>
    <n v="24"/>
    <n v="7.6394372684109761"/>
    <n v="8"/>
    <n v="12"/>
    <m/>
    <s v="C"/>
    <s v="S"/>
    <x v="0"/>
    <x v="4"/>
    <x v="1"/>
    <m/>
    <m/>
    <m/>
  </r>
  <r>
    <n v="1"/>
    <x v="2"/>
    <n v="2"/>
    <n v="6"/>
    <n v="7"/>
    <s v="Anacardiaceae"/>
    <s v="Metopium brownei"/>
    <s v="Chechem"/>
    <n v="32"/>
    <n v="10.185916357881302"/>
    <n v="4"/>
    <n v="7.5"/>
    <m/>
    <s v="C"/>
    <s v="S"/>
    <x v="0"/>
    <x v="0"/>
    <x v="1"/>
    <n v="15"/>
    <s v="Vol = Exp(-9.45441486+1.86841300*LN(DIAMETRO)+0.93163520*LN(ALTURATOTAL))"/>
    <n v="3.9137958929067379E-2"/>
  </r>
  <r>
    <n v="6"/>
    <x v="2"/>
    <n v="2"/>
    <n v="6"/>
    <n v="7"/>
    <s v="Anacardiaceae"/>
    <s v="Metopium brownei"/>
    <s v="Chechem"/>
    <n v="32.5"/>
    <n v="10.345071300973197"/>
    <n v="8"/>
    <n v="11"/>
    <m/>
    <s v="C"/>
    <s v="S"/>
    <x v="0"/>
    <x v="1"/>
    <x v="1"/>
    <n v="15"/>
    <s v="Vol = Exp(-9.45441486+1.86841300*LN(DIAMETRO)+0.93163520*LN(ALTURATOTAL))"/>
    <n v="5.7562430110280276E-2"/>
  </r>
  <r>
    <n v="7"/>
    <x v="1"/>
    <m/>
    <n v="23"/>
    <n v="23"/>
    <s v="Moraceae"/>
    <s v="Brosimum alicastrum "/>
    <s v="Ramón"/>
    <m/>
    <m/>
    <m/>
    <n v="0.3"/>
    <e v="#REF!"/>
    <m/>
    <s v="S"/>
    <x v="0"/>
    <x v="3"/>
    <x v="0"/>
    <m/>
    <m/>
    <m/>
  </r>
  <r>
    <n v="1"/>
    <x v="2"/>
    <n v="2"/>
    <n v="9"/>
    <n v="10"/>
    <s v="Anacardiaceae"/>
    <s v="Metopium brownei"/>
    <s v="Chechem"/>
    <n v="33"/>
    <n v="10.504226244065093"/>
    <n v="5.5"/>
    <n v="8"/>
    <m/>
    <s v="C"/>
    <s v="S"/>
    <x v="0"/>
    <x v="0"/>
    <x v="1"/>
    <n v="15"/>
    <s v="Vol = Exp(-9.45441486+1.86841300*LN(DIAMETRO)+0.93163520*LN(ALTURATOTAL))"/>
    <n v="4.4023049005083581E-2"/>
  </r>
  <r>
    <n v="2"/>
    <x v="2"/>
    <n v="1"/>
    <n v="10"/>
    <n v="10"/>
    <s v="Anacardiaceae"/>
    <s v="Metopium brownei"/>
    <s v="Chechem"/>
    <n v="40"/>
    <n v="12.732395447351628"/>
    <n v="5"/>
    <n v="12"/>
    <m/>
    <s v="C"/>
    <s v="S"/>
    <x v="0"/>
    <x v="4"/>
    <x v="2"/>
    <n v="15"/>
    <s v="Vol = Exp(-9.45441486+1.86841300*LN(DIAMETRO)+0.93163520*LN(ALTURATOTAL))"/>
    <n v="9.2009243969291984E-2"/>
  </r>
  <r>
    <n v="6"/>
    <x v="2"/>
    <n v="3"/>
    <n v="9"/>
    <n v="10"/>
    <s v="Anacardiaceae"/>
    <s v="Metopium brownei"/>
    <s v="Chechem"/>
    <n v="33.5"/>
    <n v="10.663381187156988"/>
    <n v="4.5"/>
    <n v="9"/>
    <m/>
    <s v="C"/>
    <s v="S"/>
    <x v="0"/>
    <x v="1"/>
    <x v="1"/>
    <n v="15"/>
    <s v="Vol = Exp(-9.45441486+1.86841300*LN(DIAMETRO)+0.93163520*LN(ALTURATOTAL))"/>
    <n v="5.0528681488540506E-2"/>
  </r>
  <r>
    <n v="8"/>
    <x v="0"/>
    <n v="1"/>
    <n v="10"/>
    <n v="10"/>
    <s v="Anacardiaceae"/>
    <s v="Metopium brownei"/>
    <s v="Chechem"/>
    <n v="20"/>
    <n v="6.366197723675814"/>
    <n v="8"/>
    <n v="11"/>
    <m/>
    <s v="C"/>
    <s v="S"/>
    <x v="0"/>
    <x v="1"/>
    <x v="0"/>
    <m/>
    <m/>
    <m/>
  </r>
  <r>
    <n v="2"/>
    <x v="2"/>
    <n v="1"/>
    <n v="11"/>
    <n v="11"/>
    <s v="Anacardiaceae"/>
    <s v="Metopium brownei"/>
    <s v="Chechem"/>
    <n v="41"/>
    <n v="13.050705333535419"/>
    <n v="8"/>
    <n v="12"/>
    <m/>
    <s v="C"/>
    <s v="S"/>
    <x v="0"/>
    <x v="4"/>
    <x v="2"/>
    <n v="15"/>
    <s v="Vol = Exp(-9.45441486+1.86841300*LN(DIAMETRO)+0.93163520*LN(ALTURATOTAL))"/>
    <n v="9.6353627976860701E-2"/>
  </r>
  <r>
    <n v="3"/>
    <x v="2"/>
    <n v="1"/>
    <n v="12"/>
    <n v="12"/>
    <s v="Anacardiaceae"/>
    <s v="Metopium brownei"/>
    <s v="Chechem"/>
    <n v="42"/>
    <n v="13.369015219719209"/>
    <n v="7"/>
    <n v="11"/>
    <m/>
    <s v="C"/>
    <s v="S"/>
    <x v="0"/>
    <x v="1"/>
    <x v="2"/>
    <n v="15"/>
    <s v="Vol = Exp(-9.45441486+1.86841300*LN(DIAMETRO)+0.93163520*LN(ALTURATOTAL))"/>
    <n v="9.2942996589490443E-2"/>
  </r>
  <r>
    <n v="2"/>
    <x v="2"/>
    <n v="1"/>
    <n v="13"/>
    <n v="13"/>
    <s v="Anacardiaceae"/>
    <s v="Metopium brownei"/>
    <s v="Chechem"/>
    <n v="42.5"/>
    <n v="13.528170162811104"/>
    <n v="4"/>
    <n v="12"/>
    <m/>
    <s v="C"/>
    <s v="S"/>
    <x v="0"/>
    <x v="4"/>
    <x v="2"/>
    <n v="15"/>
    <s v="Vol = Exp(-9.45441486+1.86841300*LN(DIAMETRO)+0.93163520*LN(ALTURATOTAL))"/>
    <n v="0.10304449460951418"/>
  </r>
  <r>
    <n v="3"/>
    <x v="2"/>
    <n v="1"/>
    <n v="14"/>
    <n v="14"/>
    <s v="Anacardiaceae"/>
    <s v="Metopium brownei"/>
    <s v="Chechem"/>
    <n v="37.54"/>
    <n v="11.949353127339503"/>
    <n v="3"/>
    <n v="9"/>
    <m/>
    <s v="C"/>
    <s v="S"/>
    <x v="0"/>
    <x v="1"/>
    <x v="1"/>
    <n v="15"/>
    <s v="Vol = Exp(-9.45441486+1.86841300*LN(DIAMETRO)+0.93163520*LN(ALTURATOTAL))"/>
    <n v="6.2507190906733928E-2"/>
  </r>
  <r>
    <n v="5"/>
    <x v="0"/>
    <n v="2"/>
    <n v="13"/>
    <n v="14"/>
    <s v="Anacardiaceae"/>
    <s v="Metopium brownei"/>
    <s v="Chechem"/>
    <n v="21"/>
    <n v="6.6845076098596046"/>
    <n v="3"/>
    <n v="8"/>
    <m/>
    <s v="C"/>
    <s v="S"/>
    <x v="0"/>
    <x v="0"/>
    <x v="0"/>
    <m/>
    <m/>
    <m/>
  </r>
  <r>
    <n v="1"/>
    <x v="2"/>
    <n v="2"/>
    <n v="12"/>
    <n v="15"/>
    <s v="Anacardiaceae"/>
    <s v="Metopium brownei"/>
    <s v="Chechem"/>
    <n v="32"/>
    <n v="10.185916357881302"/>
    <n v="3"/>
    <n v="9"/>
    <m/>
    <s v="C"/>
    <s v="S"/>
    <x v="0"/>
    <x v="1"/>
    <x v="1"/>
    <n v="15"/>
    <s v="Vol = Exp(-9.45441486+1.86841300*LN(DIAMETRO)+0.93163520*LN(ALTURATOTAL))"/>
    <n v="4.6383787585078627E-2"/>
  </r>
  <r>
    <n v="8"/>
    <x v="2"/>
    <n v="1"/>
    <n v="14"/>
    <n v="15"/>
    <s v="Anacardiaceae"/>
    <s v="Metopium brownei"/>
    <s v="Chechem"/>
    <n v="41"/>
    <n v="13.050705333535419"/>
    <n v="5"/>
    <n v="12"/>
    <m/>
    <s v="C"/>
    <s v="S"/>
    <x v="0"/>
    <x v="4"/>
    <x v="2"/>
    <n v="15"/>
    <s v="Vol = Exp(-9.45441486+1.86841300*LN(DIAMETRO)+0.93163520*LN(ALTURATOTAL))"/>
    <n v="9.6353627976860701E-2"/>
  </r>
  <r>
    <n v="6"/>
    <x v="0"/>
    <n v="3"/>
    <n v="15"/>
    <n v="15"/>
    <s v="Anacardiaceae"/>
    <s v="Metopium brownei"/>
    <s v="Chechem"/>
    <n v="26"/>
    <n v="8.2760570407785572"/>
    <n v="5"/>
    <n v="10"/>
    <m/>
    <s v="CB"/>
    <s v="S"/>
    <x v="0"/>
    <x v="1"/>
    <x v="1"/>
    <m/>
    <m/>
    <m/>
  </r>
  <r>
    <n v="4"/>
    <x v="2"/>
    <n v="2"/>
    <n v="16"/>
    <n v="16"/>
    <s v="Anacardiaceae"/>
    <s v="Metopium brownei"/>
    <s v="Chechem"/>
    <n v="38.5"/>
    <n v="12.254930618075941"/>
    <n v="7"/>
    <n v="12"/>
    <m/>
    <s v="C"/>
    <s v="S"/>
    <x v="0"/>
    <x v="4"/>
    <x v="1"/>
    <n v="15"/>
    <s v="Vol = Exp(-9.45441486+1.86841300*LN(DIAMETRO)+0.93163520*LN(ALTURATOTAL))"/>
    <n v="8.5667715472304437E-2"/>
  </r>
  <r>
    <n v="5"/>
    <x v="2"/>
    <n v="2"/>
    <n v="15"/>
    <n v="16"/>
    <s v="Anacardiaceae"/>
    <s v="Metopium brownei"/>
    <s v="Chechem"/>
    <n v="35"/>
    <n v="11.140846016432674"/>
    <n v="4.5"/>
    <n v="11"/>
    <m/>
    <s v="C"/>
    <s v="S"/>
    <x v="0"/>
    <x v="1"/>
    <x v="1"/>
    <n v="15"/>
    <s v="Vol = Exp(-9.45441486+1.86841300*LN(DIAMETRO)+0.93163520*LN(ALTURATOTAL))"/>
    <n v="6.6110950476338373E-2"/>
  </r>
  <r>
    <n v="1"/>
    <x v="0"/>
    <n v="3"/>
    <n v="16"/>
    <n v="16"/>
    <s v="Anacardiaceae"/>
    <s v="Metopium brownei"/>
    <s v="Chechem"/>
    <n v="22"/>
    <n v="7.0028174960433951"/>
    <n v="6"/>
    <n v="11"/>
    <m/>
    <s v="C"/>
    <s v="S"/>
    <x v="0"/>
    <x v="1"/>
    <x v="0"/>
    <m/>
    <m/>
    <m/>
  </r>
  <r>
    <n v="6"/>
    <x v="0"/>
    <n v="3"/>
    <s v="15A"/>
    <n v="16"/>
    <s v="Anacardiaceae"/>
    <s v="Metopium brownei"/>
    <s v="Chechem"/>
    <n v="24.5"/>
    <n v="7.7985922115028714"/>
    <n v="7"/>
    <n v="10"/>
    <m/>
    <s v="C"/>
    <s v="S"/>
    <x v="1"/>
    <x v="1"/>
    <x v="1"/>
    <m/>
    <m/>
    <m/>
  </r>
  <r>
    <n v="2"/>
    <x v="2"/>
    <n v="1"/>
    <n v="17"/>
    <n v="17"/>
    <s v="Anacardiaceae"/>
    <s v="Metopium brownei"/>
    <s v="Chechem"/>
    <n v="37"/>
    <n v="11.777465788800255"/>
    <n v="5"/>
    <n v="10"/>
    <m/>
    <s v="C"/>
    <s v="S"/>
    <x v="0"/>
    <x v="1"/>
    <x v="1"/>
    <n v="15"/>
    <s v="Vol = Exp(-9.45441486+1.86841300*LN(DIAMETRO)+0.93163520*LN(ALTURATOTAL))"/>
    <n v="6.7112311855052717E-2"/>
  </r>
  <r>
    <n v="5"/>
    <x v="2"/>
    <n v="2"/>
    <n v="16"/>
    <n v="17"/>
    <s v="Anacardiaceae"/>
    <s v="Metopium brownei"/>
    <s v="Chechem"/>
    <n v="34"/>
    <n v="10.822536130248883"/>
    <n v="5.5"/>
    <n v="11"/>
    <m/>
    <s v="C"/>
    <s v="S"/>
    <x v="0"/>
    <x v="1"/>
    <x v="1"/>
    <n v="15"/>
    <s v="Vol = Exp(-9.45441486+1.86841300*LN(DIAMETRO)+0.93163520*LN(ALTURATOTAL))"/>
    <n v="6.2625572914895164E-2"/>
  </r>
  <r>
    <n v="1"/>
    <x v="0"/>
    <n v="3"/>
    <n v="17"/>
    <n v="17"/>
    <s v="Anacardiaceae"/>
    <s v="Metopium brownei"/>
    <s v="Chechem"/>
    <n v="25"/>
    <n v="7.9577471545947667"/>
    <n v="6"/>
    <n v="9"/>
    <m/>
    <s v="C"/>
    <s v="S"/>
    <x v="0"/>
    <x v="1"/>
    <x v="1"/>
    <m/>
    <m/>
    <m/>
  </r>
  <r>
    <n v="6"/>
    <x v="0"/>
    <n v="3"/>
    <s v="15B"/>
    <n v="17"/>
    <s v="Anacardiaceae"/>
    <s v="Metopium brownei"/>
    <s v="Chechem"/>
    <n v="22"/>
    <n v="7.0028174960433951"/>
    <n v="4"/>
    <n v="9"/>
    <m/>
    <s v="C"/>
    <s v="S"/>
    <x v="1"/>
    <x v="1"/>
    <x v="0"/>
    <m/>
    <m/>
    <m/>
  </r>
  <r>
    <n v="2"/>
    <x v="2"/>
    <n v="1"/>
    <n v="18"/>
    <n v="18"/>
    <s v="Anacardiaceae"/>
    <s v="Metopium brownei"/>
    <s v="Chechem"/>
    <n v="36"/>
    <n v="11.459155902616464"/>
    <n v="8"/>
    <n v="12"/>
    <m/>
    <s v="C"/>
    <s v="S"/>
    <x v="0"/>
    <x v="4"/>
    <x v="1"/>
    <n v="15"/>
    <s v="Vol = Exp(-9.45441486+1.86841300*LN(DIAMETRO)+0.93163520*LN(ALTURATOTAL))"/>
    <n v="7.5567938006532748E-2"/>
  </r>
  <r>
    <n v="3"/>
    <x v="2"/>
    <n v="2"/>
    <n v="18"/>
    <n v="18"/>
    <s v="Anacardiaceae"/>
    <s v="Metopium brownei"/>
    <s v="Chechem"/>
    <n v="51"/>
    <n v="16.233804195373324"/>
    <n v="7.5"/>
    <n v="11"/>
    <m/>
    <s v="C"/>
    <s v="S"/>
    <x v="0"/>
    <x v="1"/>
    <x v="2"/>
    <n v="15"/>
    <s v="Vol = Exp(-9.45441486+1.86841300*LN(DIAMETRO)+0.93163520*LN(ALTURATOTAL))"/>
    <n v="0.13358660401688185"/>
  </r>
  <r>
    <n v="5"/>
    <x v="2"/>
    <n v="2"/>
    <n v="17"/>
    <n v="18"/>
    <s v="Anacardiaceae"/>
    <s v="Metopium brownei"/>
    <s v="Chechem"/>
    <n v="44"/>
    <n v="14.00563499208679"/>
    <n v="7"/>
    <n v="10"/>
    <m/>
    <s v="C"/>
    <s v="S"/>
    <x v="0"/>
    <x v="1"/>
    <x v="2"/>
    <n v="15"/>
    <s v="Vol = Exp(-9.45441486+1.86841300*LN(DIAMETRO)+0.93163520*LN(ALTURATOTAL))"/>
    <n v="9.2768825280786782E-2"/>
  </r>
  <r>
    <n v="6"/>
    <x v="0"/>
    <n v="3"/>
    <s v="15C"/>
    <n v="18"/>
    <s v="Anacardiaceae"/>
    <s v="Metopium brownei"/>
    <s v="Chechem"/>
    <n v="19.5"/>
    <n v="6.2070427805839179"/>
    <n v="3.5"/>
    <n v="8"/>
    <m/>
    <s v="C"/>
    <s v="S"/>
    <x v="1"/>
    <x v="0"/>
    <x v="0"/>
    <m/>
    <m/>
    <m/>
  </r>
  <r>
    <n v="1"/>
    <x v="2"/>
    <n v="3"/>
    <n v="16"/>
    <n v="19"/>
    <s v="Anacardiaceae"/>
    <s v="Metopium brownei"/>
    <s v="Chechem"/>
    <n v="34"/>
    <n v="10.822536130248883"/>
    <n v="5"/>
    <n v="10"/>
    <m/>
    <s v="C"/>
    <s v="S"/>
    <x v="0"/>
    <x v="1"/>
    <x v="1"/>
    <n v="15"/>
    <s v="Vol = Exp(-9.45441486+1.86841300*LN(DIAMETRO)+0.93163520*LN(ALTURATOTAL))"/>
    <n v="5.7304513444342842E-2"/>
  </r>
  <r>
    <n v="5"/>
    <x v="2"/>
    <n v="2"/>
    <n v="18"/>
    <n v="19"/>
    <s v="Anacardiaceae"/>
    <s v="Metopium brownei"/>
    <s v="Chechem"/>
    <n v="41.5"/>
    <n v="13.209860276627314"/>
    <n v="3"/>
    <n v="10"/>
    <m/>
    <s v="CB"/>
    <s v="S"/>
    <x v="0"/>
    <x v="1"/>
    <x v="2"/>
    <n v="15"/>
    <s v="Vol = Exp(-9.45441486+1.86841300*LN(DIAMETRO)+0.93163520*LN(ALTURATOTAL))"/>
    <n v="8.3164084326966745E-2"/>
  </r>
  <r>
    <n v="4"/>
    <x v="0"/>
    <n v="3"/>
    <n v="18"/>
    <n v="19"/>
    <s v="Anacardiaceae"/>
    <s v="Metopium brownei"/>
    <s v="Chechem"/>
    <n v="19"/>
    <n v="6.0478878374920226"/>
    <n v="7"/>
    <n v="11"/>
    <m/>
    <s v="C"/>
    <s v="S"/>
    <x v="0"/>
    <x v="1"/>
    <x v="0"/>
    <m/>
    <m/>
    <m/>
  </r>
  <r>
    <n v="12"/>
    <x v="0"/>
    <n v="2"/>
    <n v="14"/>
    <n v="19"/>
    <s v="Anacardiaceae"/>
    <s v="Metopium brownei"/>
    <s v="Chechem"/>
    <n v="16"/>
    <n v="5.0929581789406511"/>
    <n v="5"/>
    <n v="8"/>
    <m/>
    <s v="C"/>
    <s v="S"/>
    <x v="0"/>
    <x v="0"/>
    <x v="0"/>
    <m/>
    <m/>
    <m/>
  </r>
  <r>
    <n v="3"/>
    <x v="2"/>
    <n v="2"/>
    <n v="20"/>
    <n v="20"/>
    <s v="Anacardiaceae"/>
    <s v="Metopium brownei"/>
    <s v="Chechem"/>
    <n v="44"/>
    <n v="14.00563499208679"/>
    <n v="6"/>
    <n v="12"/>
    <m/>
    <s v="C"/>
    <s v="S"/>
    <x v="0"/>
    <x v="4"/>
    <x v="2"/>
    <n v="15"/>
    <s v="Vol = Exp(-9.45441486+1.86841300*LN(DIAMETRO)+0.93163520*LN(ALTURATOTAL))"/>
    <n v="0.1099436353883419"/>
  </r>
  <r>
    <n v="5"/>
    <x v="2"/>
    <n v="2"/>
    <s v="18A"/>
    <n v="20"/>
    <s v="Anacardiaceae"/>
    <s v="Metopium brownei"/>
    <s v="Chechem"/>
    <n v="34.5"/>
    <n v="10.981691073340778"/>
    <n v="6"/>
    <n v="9"/>
    <m/>
    <s v="C"/>
    <s v="S"/>
    <x v="1"/>
    <x v="1"/>
    <x v="1"/>
    <n v="15"/>
    <s v="Vol = Exp(-9.45441486+1.86841300*LN(DIAMETRO)+0.93163520*LN(ALTURATOTAL))"/>
    <n v="5.3383323907952501E-2"/>
  </r>
  <r>
    <n v="8"/>
    <x v="1"/>
    <m/>
    <n v="1"/>
    <n v="1"/>
    <s v="Sapotaceae"/>
    <s v="Manilkara zapota "/>
    <s v="Chicozapote"/>
    <m/>
    <m/>
    <m/>
    <n v="2.5"/>
    <e v="#REF!"/>
    <m/>
    <m/>
    <x v="0"/>
    <x v="3"/>
    <x v="0"/>
    <m/>
    <m/>
    <m/>
  </r>
  <r>
    <n v="2"/>
    <x v="2"/>
    <n v="2"/>
    <n v="21"/>
    <n v="21"/>
    <s v="Anacardiaceae"/>
    <s v="Metopium brownei"/>
    <s v="Chechem"/>
    <n v="46"/>
    <n v="14.642254764454371"/>
    <n v="5"/>
    <n v="11"/>
    <m/>
    <s v="CB"/>
    <s v="S"/>
    <x v="0"/>
    <x v="1"/>
    <x v="2"/>
    <n v="15"/>
    <s v="Vol = Exp(-9.45441486+1.86841300*LN(DIAMETRO)+0.93163520*LN(ALTURATOTAL))"/>
    <n v="0.11016279412741189"/>
  </r>
  <r>
    <n v="5"/>
    <x v="2"/>
    <n v="2"/>
    <n v="19"/>
    <n v="21"/>
    <s v="Anacardiaceae"/>
    <s v="Metopium brownei"/>
    <s v="Chechem"/>
    <n v="42"/>
    <n v="13.369015219719209"/>
    <n v="4.5"/>
    <n v="11"/>
    <m/>
    <s v="C"/>
    <s v="S"/>
    <x v="0"/>
    <x v="1"/>
    <x v="2"/>
    <n v="15"/>
    <s v="Vol = Exp(-9.45441486+1.86841300*LN(DIAMETRO)+0.93163520*LN(ALTURATOTAL))"/>
    <n v="9.2942996589490443E-2"/>
  </r>
  <r>
    <n v="9"/>
    <x v="2"/>
    <n v="4"/>
    <n v="20"/>
    <n v="21"/>
    <s v="Anacardiaceae"/>
    <s v="Metopium brownei"/>
    <s v="Chechem"/>
    <n v="37.5"/>
    <n v="11.93662073189215"/>
    <n v="6"/>
    <n v="10"/>
    <m/>
    <s v="CB"/>
    <s v="S"/>
    <x v="0"/>
    <x v="1"/>
    <x v="1"/>
    <n v="15"/>
    <s v="Vol = Exp(-9.45441486+1.86841300*LN(DIAMETRO)+0.93163520*LN(ALTURATOTAL))"/>
    <n v="6.8816755739047483E-2"/>
  </r>
  <r>
    <n v="2"/>
    <x v="2"/>
    <n v="2"/>
    <s v="21A"/>
    <n v="22"/>
    <s v="Anacardiaceae"/>
    <s v="Metopium brownei"/>
    <s v="Chechem"/>
    <n v="40"/>
    <n v="12.732395447351628"/>
    <n v="6"/>
    <n v="11"/>
    <m/>
    <s v="C"/>
    <s v="S"/>
    <x v="1"/>
    <x v="1"/>
    <x v="2"/>
    <n v="15"/>
    <s v="Vol = Exp(-9.45441486+1.86841300*LN(DIAMETRO)+0.93163520*LN(ALTURATOTAL))"/>
    <n v="8.4845010681965774E-2"/>
  </r>
  <r>
    <n v="3"/>
    <x v="2"/>
    <n v="2"/>
    <n v="22"/>
    <n v="22"/>
    <s v="Anacardiaceae"/>
    <s v="Metopium brownei"/>
    <s v="Chechem"/>
    <n v="42"/>
    <n v="13.369015219719209"/>
    <n v="6"/>
    <n v="12"/>
    <m/>
    <s v="C"/>
    <s v="S"/>
    <x v="0"/>
    <x v="4"/>
    <x v="2"/>
    <n v="15"/>
    <s v="Vol = Exp(-9.45441486+1.86841300*LN(DIAMETRO)+0.93163520*LN(ALTURATOTAL))"/>
    <n v="0.10079101622715905"/>
  </r>
  <r>
    <n v="1"/>
    <x v="0"/>
    <n v="4"/>
    <n v="22"/>
    <n v="22"/>
    <s v="Anacardiaceae"/>
    <s v="Metopium brownei"/>
    <s v="Chechem"/>
    <n v="19.5"/>
    <n v="6.2070427805839179"/>
    <n v="7"/>
    <n v="9"/>
    <m/>
    <s v="C"/>
    <s v="S"/>
    <x v="0"/>
    <x v="1"/>
    <x v="0"/>
    <m/>
    <m/>
    <m/>
  </r>
  <r>
    <n v="3"/>
    <x v="2"/>
    <n v="2"/>
    <n v="24"/>
    <n v="24"/>
    <s v="Anacardiaceae"/>
    <s v="Metopium brownei"/>
    <s v="Chechem"/>
    <n v="31.5"/>
    <n v="10.026761414789407"/>
    <n v="4"/>
    <n v="9"/>
    <m/>
    <s v="C"/>
    <s v="S"/>
    <x v="0"/>
    <x v="1"/>
    <x v="1"/>
    <n v="15"/>
    <s v="Vol = Exp(-9.45441486+1.86841300*LN(DIAMETRO)+0.93163520*LN(ALTURATOTAL))"/>
    <n v="4.5038854825831719E-2"/>
  </r>
  <r>
    <n v="3"/>
    <x v="2"/>
    <n v="2"/>
    <n v="26"/>
    <n v="26"/>
    <s v="Anacardiaceae"/>
    <s v="Metopium brownei"/>
    <s v="Chechem"/>
    <n v="34"/>
    <n v="10.822536130248883"/>
    <n v="7"/>
    <n v="11"/>
    <m/>
    <s v="C"/>
    <s v="S"/>
    <x v="0"/>
    <x v="1"/>
    <x v="1"/>
    <n v="15"/>
    <s v="Vol = Exp(-9.45441486+1.86841300*LN(DIAMETRO)+0.93163520*LN(ALTURATOTAL))"/>
    <n v="6.2625572914895164E-2"/>
  </r>
  <r>
    <n v="4"/>
    <x v="2"/>
    <n v="2"/>
    <n v="25"/>
    <n v="26"/>
    <s v="Anacardiaceae"/>
    <s v="Metopium brownei"/>
    <s v="Chechem"/>
    <n v="44"/>
    <n v="14.00563499208679"/>
    <n v="6"/>
    <n v="10"/>
    <m/>
    <s v="C"/>
    <s v="S"/>
    <x v="0"/>
    <x v="1"/>
    <x v="2"/>
    <n v="15"/>
    <s v="Vol = Exp(-9.45441486+1.86841300*LN(DIAMETRO)+0.93163520*LN(ALTURATOTAL))"/>
    <n v="9.2768825280786782E-2"/>
  </r>
  <r>
    <n v="4"/>
    <x v="2"/>
    <n v="2"/>
    <n v="26"/>
    <n v="27"/>
    <s v="Anacardiaceae"/>
    <s v="Metopium brownei"/>
    <s v="Chechem"/>
    <n v="31.5"/>
    <n v="10.026761414789407"/>
    <n v="5.5"/>
    <n v="11"/>
    <m/>
    <s v="C"/>
    <s v="S"/>
    <x v="0"/>
    <x v="1"/>
    <x v="1"/>
    <n v="15"/>
    <s v="Vol = Exp(-9.45441486+1.86841300*LN(DIAMETRO)+0.93163520*LN(ALTURATOTAL))"/>
    <n v="5.4297459598910108E-2"/>
  </r>
  <r>
    <n v="1"/>
    <x v="0"/>
    <n v="4"/>
    <n v="27"/>
    <n v="27"/>
    <s v="Anacardiaceae"/>
    <s v="Metopium brownei"/>
    <s v="Chechem"/>
    <n v="27"/>
    <n v="8.5943669269623477"/>
    <n v="7"/>
    <n v="10"/>
    <m/>
    <s v="C"/>
    <s v="S"/>
    <x v="0"/>
    <x v="1"/>
    <x v="1"/>
    <m/>
    <m/>
    <m/>
  </r>
  <r>
    <n v="1"/>
    <x v="2"/>
    <n v="4"/>
    <n v="25"/>
    <n v="28"/>
    <s v="Anacardiaceae"/>
    <s v="Metopium brownei"/>
    <s v="Chechem"/>
    <n v="34"/>
    <n v="10.822536130248883"/>
    <n v="9"/>
    <n v="12"/>
    <m/>
    <s v="C"/>
    <s v="S"/>
    <x v="0"/>
    <x v="4"/>
    <x v="1"/>
    <n v="15"/>
    <s v="Vol = Exp(-9.45441486+1.86841300*LN(DIAMETRO)+0.93163520*LN(ALTURATOTAL))"/>
    <n v="6.7913617674492693E-2"/>
  </r>
  <r>
    <n v="2"/>
    <x v="2"/>
    <n v="2"/>
    <n v="27"/>
    <n v="28"/>
    <s v="Anacardiaceae"/>
    <s v="Metopium brownei"/>
    <s v="Chechem"/>
    <n v="38"/>
    <n v="12.095775674984045"/>
    <n v="8"/>
    <n v="10"/>
    <m/>
    <s v="C"/>
    <s v="S"/>
    <x v="0"/>
    <x v="1"/>
    <x v="1"/>
    <n v="15"/>
    <s v="Vol = Exp(-9.45441486+1.86841300*LN(DIAMETRO)+0.93163520*LN(ALTURATOTAL))"/>
    <n v="7.0541050140047107E-2"/>
  </r>
  <r>
    <n v="5"/>
    <x v="2"/>
    <n v="3"/>
    <n v="26"/>
    <n v="28"/>
    <s v="Anacardiaceae"/>
    <s v="Metopium brownei"/>
    <s v="Chechem"/>
    <n v="44"/>
    <n v="14.00563499208679"/>
    <n v="6"/>
    <n v="9"/>
    <m/>
    <s v="C"/>
    <s v="S"/>
    <x v="0"/>
    <x v="1"/>
    <x v="2"/>
    <n v="15"/>
    <s v="Vol = Exp(-9.45441486+1.86841300*LN(DIAMETRO)+0.93163520*LN(ALTURATOTAL))"/>
    <n v="8.4095502185124724E-2"/>
  </r>
  <r>
    <n v="2"/>
    <x v="2"/>
    <n v="2"/>
    <n v="28"/>
    <n v="29"/>
    <s v="Anacardiaceae"/>
    <s v="Metopium brownei"/>
    <s v="Chechem"/>
    <n v="46.5"/>
    <n v="14.801409707546267"/>
    <n v="5"/>
    <n v="10"/>
    <m/>
    <s v="C"/>
    <s v="S"/>
    <x v="0"/>
    <x v="1"/>
    <x v="2"/>
    <n v="15"/>
    <s v="Vol = Exp(-9.45441486+1.86841300*LN(DIAMETRO)+0.93163520*LN(ALTURATOTAL))"/>
    <n v="0.10285951818264641"/>
  </r>
  <r>
    <n v="3"/>
    <x v="2"/>
    <n v="3"/>
    <n v="29"/>
    <n v="29"/>
    <s v="Anacardiaceae"/>
    <s v="Metopium brownei"/>
    <s v="Chechem"/>
    <n v="32.5"/>
    <n v="10.345071300973197"/>
    <n v="4"/>
    <n v="9"/>
    <m/>
    <s v="C"/>
    <s v="S"/>
    <x v="0"/>
    <x v="1"/>
    <x v="1"/>
    <n v="15"/>
    <s v="Vol = Exp(-9.45441486+1.86841300*LN(DIAMETRO)+0.93163520*LN(ALTURATOTAL))"/>
    <n v="4.7747094473845987E-2"/>
  </r>
  <r>
    <n v="9"/>
    <x v="0"/>
    <n v="3"/>
    <n v="32"/>
    <n v="32"/>
    <s v="Anacardiaceae"/>
    <s v="Metopium brownei"/>
    <s v="Chechem"/>
    <n v="17"/>
    <n v="5.4112680651244416"/>
    <n v="7.5"/>
    <n v="10"/>
    <m/>
    <s v="C"/>
    <s v="S"/>
    <x v="0"/>
    <x v="1"/>
    <x v="0"/>
    <m/>
    <m/>
    <m/>
  </r>
  <r>
    <n v="1"/>
    <x v="2"/>
    <n v="4"/>
    <n v="30"/>
    <n v="33"/>
    <s v="Anacardiaceae"/>
    <s v="Metopium brownei"/>
    <s v="Chechem"/>
    <n v="36"/>
    <n v="11.459155902616464"/>
    <n v="4.5"/>
    <n v="9"/>
    <m/>
    <s v="C"/>
    <s v="S"/>
    <x v="0"/>
    <x v="1"/>
    <x v="1"/>
    <n v="15"/>
    <s v="Vol = Exp(-9.45441486+1.86841300*LN(DIAMETRO)+0.93163520*LN(ALTURATOTAL))"/>
    <n v="5.7801651485390147E-2"/>
  </r>
  <r>
    <n v="4"/>
    <x v="2"/>
    <n v="3"/>
    <n v="36"/>
    <n v="37"/>
    <s v="Anacardiaceae"/>
    <s v="Metopium brownei"/>
    <s v="Chechem"/>
    <n v="31.5"/>
    <n v="10.026761414789407"/>
    <n v="4"/>
    <n v="9"/>
    <m/>
    <s v="C"/>
    <s v="S"/>
    <x v="0"/>
    <x v="1"/>
    <x v="1"/>
    <n v="15"/>
    <s v="Vol = Exp(-9.45441486+1.86841300*LN(DIAMETRO)+0.93163520*LN(ALTURATOTAL))"/>
    <n v="4.5038854825831719E-2"/>
  </r>
  <r>
    <n v="7"/>
    <x v="2"/>
    <n v="3"/>
    <n v="35"/>
    <n v="38"/>
    <s v="Anacardiaceae"/>
    <s v="Metopium brownei"/>
    <s v="Chechem"/>
    <n v="33"/>
    <n v="10.504226244065093"/>
    <n v="6"/>
    <n v="11"/>
    <m/>
    <s v="C"/>
    <s v="S"/>
    <x v="0"/>
    <x v="1"/>
    <x v="1"/>
    <n v="15"/>
    <s v="Vol = Exp(-9.45441486+1.86841300*LN(DIAMETRO)+0.93163520*LN(ALTURATOTAL))"/>
    <n v="5.9228097147087003E-2"/>
  </r>
  <r>
    <n v="8"/>
    <x v="2"/>
    <n v="3"/>
    <n v="33"/>
    <n v="38"/>
    <s v="Anacardiaceae"/>
    <s v="Metopium brownei"/>
    <s v="Chechem"/>
    <n v="33"/>
    <n v="10.504226244065093"/>
    <n v="6"/>
    <n v="12"/>
    <m/>
    <s v="C"/>
    <s v="S"/>
    <x v="0"/>
    <x v="4"/>
    <x v="1"/>
    <n v="15"/>
    <s v="Vol = Exp(-9.45441486+1.86841300*LN(DIAMETRO)+0.93163520*LN(ALTURATOTAL))"/>
    <n v="6.4229262232877282E-2"/>
  </r>
  <r>
    <n v="4"/>
    <x v="2"/>
    <n v="3"/>
    <n v="39"/>
    <n v="40"/>
    <s v="Anacardiaceae"/>
    <s v="Metopium brownei"/>
    <s v="Chechem"/>
    <n v="32"/>
    <n v="10.185916357881302"/>
    <n v="4"/>
    <n v="8"/>
    <m/>
    <s v="C"/>
    <s v="S"/>
    <x v="0"/>
    <x v="0"/>
    <x v="1"/>
    <n v="15"/>
    <s v="Vol = Exp(-9.45441486+1.86841300*LN(DIAMETRO)+0.93163520*LN(ALTURATOTAL))"/>
    <n v="4.1563366682151257E-2"/>
  </r>
  <r>
    <n v="4"/>
    <x v="2"/>
    <n v="3"/>
    <n v="40"/>
    <n v="41"/>
    <s v="Anacardiaceae"/>
    <s v="Metopium brownei"/>
    <s v="Chechem"/>
    <n v="65.5"/>
    <n v="20.84929754503829"/>
    <n v="6"/>
    <n v="13"/>
    <m/>
    <s v="CB"/>
    <s v="S"/>
    <x v="0"/>
    <x v="4"/>
    <x v="4"/>
    <n v="15"/>
    <s v="Vol = Exp(-9.45441486+1.86841300*LN(DIAMETRO)+0.93163520*LN(ALTURATOTAL))"/>
    <n v="0.24911289307601189"/>
  </r>
  <r>
    <n v="7"/>
    <x v="2"/>
    <n v="4"/>
    <n v="38"/>
    <n v="41"/>
    <s v="Anacardiaceae"/>
    <s v="Metopium brownei"/>
    <s v="Chechem"/>
    <n v="33"/>
    <n v="10.504226244065093"/>
    <n v="8"/>
    <n v="13"/>
    <m/>
    <s v="C"/>
    <s v="S"/>
    <x v="0"/>
    <x v="4"/>
    <x v="1"/>
    <n v="15"/>
    <s v="Vol = Exp(-9.45441486+1.86841300*LN(DIAMETRO)+0.93163520*LN(ALTURATOTAL))"/>
    <n v="6.9201982346803359E-2"/>
  </r>
  <r>
    <n v="3"/>
    <x v="2"/>
    <n v="3"/>
    <n v="40"/>
    <n v="42"/>
    <s v="Anacardiaceae"/>
    <s v="Metopium brownei"/>
    <s v="Chechem"/>
    <n v="56"/>
    <n v="17.82535362629228"/>
    <n v="5.5"/>
    <n v="11"/>
    <m/>
    <s v="C"/>
    <s v="S"/>
    <x v="0"/>
    <x v="1"/>
    <x v="4"/>
    <n v="15"/>
    <s v="Vol = Exp(-9.45441486+1.86841300*LN(DIAMETRO)+0.93163520*LN(ALTURATOTAL))"/>
    <n v="0.15909401063779105"/>
  </r>
  <r>
    <n v="4"/>
    <x v="2"/>
    <n v="3"/>
    <s v="40A"/>
    <n v="42"/>
    <s v="Anacardiaceae"/>
    <s v="Metopium brownei"/>
    <s v="Chechem"/>
    <n v="56.5"/>
    <n v="17.984508569384175"/>
    <n v="6"/>
    <n v="12"/>
    <m/>
    <s v="C"/>
    <s v="S"/>
    <x v="1"/>
    <x v="4"/>
    <x v="4"/>
    <n v="15"/>
    <s v="Vol = Exp(-9.45441486+1.86841300*LN(DIAMETRO)+0.93163520*LN(ALTURATOTAL))"/>
    <n v="0.1754170665386981"/>
  </r>
  <r>
    <n v="3"/>
    <x v="2"/>
    <n v="3"/>
    <n v="42"/>
    <n v="44"/>
    <s v="Anacardiaceae"/>
    <s v="Metopium brownei"/>
    <s v="Chechem"/>
    <n v="52"/>
    <n v="16.552114081557114"/>
    <n v="3.5"/>
    <n v="12"/>
    <m/>
    <s v="C"/>
    <s v="S"/>
    <x v="0"/>
    <x v="4"/>
    <x v="2"/>
    <n v="15"/>
    <s v="Vol = Exp(-9.45441486+1.86841300*LN(DIAMETRO)+0.93163520*LN(ALTURATOTAL))"/>
    <n v="0.1502189433768448"/>
  </r>
  <r>
    <n v="2"/>
    <x v="2"/>
    <n v="3"/>
    <n v="43"/>
    <n v="45"/>
    <s v="Anacardiaceae"/>
    <s v="Metopium brownei"/>
    <s v="Chechem"/>
    <n v="85"/>
    <n v="27.056340325622209"/>
    <n v="8"/>
    <n v="14"/>
    <m/>
    <s v="C"/>
    <s v="S"/>
    <x v="0"/>
    <x v="5"/>
    <x v="3"/>
    <n v="15"/>
    <s v="Vol = Exp(-9.45441486+1.86841300*LN(DIAMETRO)+0.93163520*LN(ALTURATOTAL))"/>
    <n v="0.43435331116999504"/>
  </r>
  <r>
    <n v="4"/>
    <x v="2"/>
    <n v="4"/>
    <n v="45"/>
    <n v="47"/>
    <s v="Anacardiaceae"/>
    <s v="Metopium brownei"/>
    <s v="Chechem"/>
    <n v="34.5"/>
    <n v="10.981691073340778"/>
    <n v="7.5"/>
    <n v="11"/>
    <m/>
    <s v="C"/>
    <s v="S"/>
    <x v="0"/>
    <x v="1"/>
    <x v="1"/>
    <n v="15"/>
    <s v="Vol = Exp(-9.45441486+1.86841300*LN(DIAMETRO)+0.93163520*LN(ALTURATOTAL))"/>
    <n v="6.4357295147858054E-2"/>
  </r>
  <r>
    <n v="4"/>
    <x v="2"/>
    <n v="4"/>
    <n v="48"/>
    <n v="50"/>
    <s v="Anacardiaceae"/>
    <s v="Metopium brownei"/>
    <s v="Chechem"/>
    <n v="36"/>
    <n v="11.459155902616464"/>
    <n v="5"/>
    <n v="11"/>
    <m/>
    <s v="C"/>
    <s v="S"/>
    <x v="0"/>
    <x v="1"/>
    <x v="1"/>
    <n v="15"/>
    <s v="Vol = Exp(-9.45441486+1.86841300*LN(DIAMETRO)+0.93163520*LN(ALTURATOTAL))"/>
    <n v="6.9683895125996861E-2"/>
  </r>
  <r>
    <n v="4"/>
    <x v="2"/>
    <n v="4"/>
    <n v="51"/>
    <n v="53"/>
    <s v="Anacardiaceae"/>
    <s v="Metopium brownei"/>
    <s v="Chechem"/>
    <n v="33.5"/>
    <n v="10.663381187156988"/>
    <n v="6"/>
    <n v="13"/>
    <m/>
    <s v="C"/>
    <s v="S"/>
    <x v="0"/>
    <x v="4"/>
    <x v="1"/>
    <n v="15"/>
    <s v="Vol = Exp(-9.45441486+1.86841300*LN(DIAMETRO)+0.93163520*LN(ALTURATOTAL))"/>
    <n v="7.1173921083408573E-2"/>
  </r>
  <r>
    <n v="2"/>
    <x v="2"/>
    <n v="4"/>
    <n v="50"/>
    <n v="55"/>
    <s v="Anacardiaceae"/>
    <s v="Metopium brownei"/>
    <s v="Chechem"/>
    <n v="34.5"/>
    <n v="10.981691073340778"/>
    <n v="6"/>
    <n v="12"/>
    <m/>
    <s v="C"/>
    <s v="S"/>
    <x v="0"/>
    <x v="4"/>
    <x v="1"/>
    <n v="15"/>
    <s v="Vol = Exp(-9.45441486+1.86841300*LN(DIAMETRO)+0.93163520*LN(ALTURATOTAL))"/>
    <n v="6.9791564911920512E-2"/>
  </r>
  <r>
    <n v="4"/>
    <x v="2"/>
    <n v="4"/>
    <n v="53"/>
    <n v="55"/>
    <s v="Anacardiaceae"/>
    <s v="Metopium brownei"/>
    <s v="Chechem"/>
    <n v="50.5"/>
    <n v="16.074649252281429"/>
    <n v="8"/>
    <n v="13"/>
    <m/>
    <s v="C"/>
    <s v="S"/>
    <x v="0"/>
    <x v="4"/>
    <x v="2"/>
    <n v="15"/>
    <s v="Vol = Exp(-9.45441486+1.86841300*LN(DIAMETRO)+0.93163520*LN(ALTURATOTAL))"/>
    <n v="0.15323539884347603"/>
  </r>
  <r>
    <n v="3"/>
    <x v="2"/>
    <n v="4"/>
    <n v="48"/>
    <n v="57"/>
    <s v="Anacardiaceae"/>
    <s v="Metopium brownei"/>
    <s v="Chechem"/>
    <n v="46"/>
    <n v="14.642254764454371"/>
    <n v="5.5"/>
    <n v="12"/>
    <m/>
    <s v="C"/>
    <s v="S"/>
    <x v="0"/>
    <x v="4"/>
    <x v="2"/>
    <n v="15"/>
    <s v="Vol = Exp(-9.45441486+1.86841300*LN(DIAMETRO)+0.93163520*LN(ALTURATOTAL))"/>
    <n v="0.11946483735150713"/>
  </r>
  <r>
    <n v="2"/>
    <x v="2"/>
    <n v="4"/>
    <n v="53"/>
    <n v="58"/>
    <s v="Anacardiaceae"/>
    <s v="Metopium brownei"/>
    <s v="Chechem"/>
    <n v="45.5"/>
    <n v="14.483099821362476"/>
    <n v="7"/>
    <n v="13"/>
    <m/>
    <s v="C"/>
    <s v="S"/>
    <x v="0"/>
    <x v="4"/>
    <x v="2"/>
    <n v="15"/>
    <s v="Vol = Exp(-9.45441486+1.86841300*LN(DIAMETRO)+0.93163520*LN(ALTURATOTAL))"/>
    <n v="0.12611228570285718"/>
  </r>
  <r>
    <n v="3"/>
    <x v="2"/>
    <n v="4"/>
    <n v="49"/>
    <n v="58"/>
    <s v="Anacardiaceae"/>
    <s v="Metopium brownei"/>
    <s v="Chechem"/>
    <n v="48.5"/>
    <n v="15.438029479913848"/>
    <n v="6"/>
    <n v="10"/>
    <m/>
    <s v="C"/>
    <s v="S"/>
    <x v="0"/>
    <x v="1"/>
    <x v="2"/>
    <n v="15"/>
    <s v="Vol = Exp(-9.45441486+1.86841300*LN(DIAMETRO)+0.93163520*LN(ALTURATOTAL))"/>
    <n v="0.11127958327863874"/>
  </r>
  <r>
    <n v="2"/>
    <x v="2"/>
    <n v="4"/>
    <n v="54"/>
    <n v="59"/>
    <s v="Anacardiaceae"/>
    <s v="Metopium brownei"/>
    <s v="Chechem"/>
    <n v="40"/>
    <n v="12.732395447351628"/>
    <n v="4"/>
    <n v="8"/>
    <m/>
    <s v="CB"/>
    <s v="S"/>
    <x v="0"/>
    <x v="0"/>
    <x v="2"/>
    <n v="15"/>
    <s v="Vol = Exp(-9.45441486+1.86841300*LN(DIAMETRO)+0.93163520*LN(ALTURATOTAL))"/>
    <n v="6.3063583721306896E-2"/>
  </r>
  <r>
    <n v="2"/>
    <x v="2"/>
    <n v="4"/>
    <s v="54A"/>
    <n v="60"/>
    <s v="Anacardiaceae"/>
    <s v="Metopium brownei"/>
    <s v="Chechem"/>
    <n v="32.5"/>
    <n v="10.345071300973197"/>
    <n v="5"/>
    <n v="8"/>
    <m/>
    <s v="C"/>
    <s v="S"/>
    <x v="1"/>
    <x v="0"/>
    <x v="1"/>
    <n v="15"/>
    <s v="Vol = Exp(-9.45441486+1.86841300*LN(DIAMETRO)+0.93163520*LN(ALTURATOTAL))"/>
    <n v="4.2784992320510501E-2"/>
  </r>
  <r>
    <n v="8"/>
    <x v="1"/>
    <m/>
    <n v="2"/>
    <n v="2"/>
    <s v="Lauraceae"/>
    <s v="Nectandra coriacea"/>
    <s v="Aguacatillo"/>
    <m/>
    <m/>
    <m/>
    <n v="4"/>
    <e v="#REF!"/>
    <m/>
    <m/>
    <x v="0"/>
    <x v="2"/>
    <x v="0"/>
    <m/>
    <m/>
    <m/>
  </r>
  <r>
    <n v="8"/>
    <x v="1"/>
    <m/>
    <n v="3"/>
    <n v="3"/>
    <s v="Putranjivaceae"/>
    <s v="Drypetes lateriflora"/>
    <s v="Ekulub"/>
    <m/>
    <m/>
    <m/>
    <n v="3"/>
    <e v="#REF!"/>
    <m/>
    <m/>
    <x v="0"/>
    <x v="3"/>
    <x v="0"/>
    <m/>
    <m/>
    <m/>
  </r>
  <r>
    <n v="9"/>
    <x v="0"/>
    <n v="1"/>
    <n v="10"/>
    <n v="10"/>
    <s v="Leguminosae"/>
    <s v="Andira inermis "/>
    <s v="Choluul"/>
    <n v="22"/>
    <n v="7.0028174960433951"/>
    <n v="7"/>
    <n v="9"/>
    <m/>
    <s v="C"/>
    <s v="S"/>
    <x v="0"/>
    <x v="1"/>
    <x v="0"/>
    <m/>
    <m/>
    <m/>
  </r>
  <r>
    <n v="8"/>
    <x v="2"/>
    <n v="3"/>
    <n v="38"/>
    <n v="43"/>
    <s v="Leguminosae"/>
    <s v="Andira inermis "/>
    <s v="Choluul"/>
    <n v="32"/>
    <n v="10.185916357881302"/>
    <n v="4.5"/>
    <n v="7"/>
    <m/>
    <s v="C"/>
    <s v="SD"/>
    <x v="0"/>
    <x v="0"/>
    <x v="1"/>
    <n v="17"/>
    <s v="Vol = Exp(-9.52375084+1.81551953*LN(DIAMETRO)+1.03039019*LN(ALTURATOTAL))"/>
    <n v="3.6703896467853298E-2"/>
  </r>
  <r>
    <n v="8"/>
    <x v="2"/>
    <n v="4"/>
    <n v="46"/>
    <n v="51"/>
    <s v="Leguminosae"/>
    <s v="Andira inermis "/>
    <s v="Choluul"/>
    <n v="31.5"/>
    <n v="10.026761414789407"/>
    <n v="5"/>
    <n v="9"/>
    <m/>
    <s v="C"/>
    <s v="S"/>
    <x v="0"/>
    <x v="1"/>
    <x v="1"/>
    <n v="17"/>
    <s v="Vol = Exp(-9.52375084+1.81551953*LN(DIAMETRO)+1.03039019*LN(ALTURATOTAL))"/>
    <n v="4.6212179647431767E-2"/>
  </r>
  <r>
    <n v="8"/>
    <x v="1"/>
    <m/>
    <n v="4"/>
    <n v="4"/>
    <s v="Anacardiaceae"/>
    <s v="Metopium brownei"/>
    <s v="Chechem"/>
    <m/>
    <m/>
    <m/>
    <n v="3"/>
    <e v="#REF!"/>
    <m/>
    <m/>
    <x v="0"/>
    <x v="3"/>
    <x v="0"/>
    <m/>
    <m/>
    <m/>
  </r>
  <r>
    <n v="8"/>
    <x v="1"/>
    <m/>
    <n v="5"/>
    <n v="5"/>
    <s v="Araliaceae"/>
    <s v="Dendropanax arboreus"/>
    <s v="Sak chacaj"/>
    <m/>
    <m/>
    <m/>
    <n v="3"/>
    <e v="#REF!"/>
    <m/>
    <m/>
    <x v="0"/>
    <x v="3"/>
    <x v="0"/>
    <m/>
    <m/>
    <m/>
  </r>
  <r>
    <n v="7"/>
    <x v="0"/>
    <n v="1"/>
    <n v="2"/>
    <n v="2"/>
    <s v="Burseraceae"/>
    <s v="Protium confusum "/>
    <s v="Copal "/>
    <n v="22"/>
    <n v="7.0028174960433951"/>
    <n v="4.5"/>
    <n v="8"/>
    <m/>
    <s v="C"/>
    <s v="S"/>
    <x v="0"/>
    <x v="0"/>
    <x v="0"/>
    <m/>
    <m/>
    <m/>
  </r>
  <r>
    <n v="8"/>
    <x v="1"/>
    <m/>
    <n v="6"/>
    <n v="6"/>
    <s v="Malvaceae"/>
    <s v="Hampea trilobata"/>
    <s v="Ho'ol"/>
    <m/>
    <m/>
    <m/>
    <n v="5"/>
    <e v="#REF!"/>
    <m/>
    <m/>
    <x v="0"/>
    <x v="2"/>
    <x v="0"/>
    <m/>
    <m/>
    <m/>
  </r>
  <r>
    <n v="8"/>
    <x v="1"/>
    <m/>
    <n v="7"/>
    <n v="7"/>
    <s v="Burseraceae"/>
    <s v="Protium confusum "/>
    <s v="Copal "/>
    <m/>
    <m/>
    <m/>
    <n v="1.5"/>
    <e v="#REF!"/>
    <m/>
    <m/>
    <x v="0"/>
    <x v="3"/>
    <x v="0"/>
    <m/>
    <m/>
    <m/>
  </r>
  <r>
    <n v="2"/>
    <x v="2"/>
    <n v="4"/>
    <n v="51"/>
    <n v="56"/>
    <s v="Burseraceae"/>
    <s v="Protium confusum "/>
    <s v="Copal "/>
    <n v="60.5"/>
    <n v="19.257748114119337"/>
    <n v="4"/>
    <n v="14"/>
    <m/>
    <s v="C"/>
    <s v="S"/>
    <x v="0"/>
    <x v="5"/>
    <x v="4"/>
    <n v="17"/>
    <s v="Vol = Exp(-9.52375084+1.81551953*LN(DIAMETRO)+1.03039019*LN(ALTURATOTAL))"/>
    <n v="0.23827200798926257"/>
  </r>
  <r>
    <n v="8"/>
    <x v="1"/>
    <m/>
    <n v="8"/>
    <n v="8"/>
    <s v="Rubiaceae"/>
    <s v="Psychotria nervosa"/>
    <s v="Café de Monte"/>
    <m/>
    <m/>
    <m/>
    <n v="1.6"/>
    <e v="#REF!"/>
    <m/>
    <m/>
    <x v="0"/>
    <x v="3"/>
    <x v="0"/>
    <m/>
    <m/>
    <m/>
  </r>
  <r>
    <n v="8"/>
    <x v="1"/>
    <m/>
    <n v="9"/>
    <n v="9"/>
    <s v="Lauraceae"/>
    <s v="Nectandra coriacea"/>
    <s v="Aguacatillo"/>
    <m/>
    <m/>
    <m/>
    <n v="1"/>
    <e v="#REF!"/>
    <m/>
    <m/>
    <x v="0"/>
    <x v="3"/>
    <x v="0"/>
    <m/>
    <m/>
    <m/>
  </r>
  <r>
    <n v="8"/>
    <x v="1"/>
    <m/>
    <n v="10"/>
    <n v="10"/>
    <s v="Lauraceae"/>
    <s v="Nectandra coriacea"/>
    <s v="Aguacatillo"/>
    <m/>
    <m/>
    <m/>
    <n v="1"/>
    <e v="#REF!"/>
    <m/>
    <m/>
    <x v="0"/>
    <x v="3"/>
    <x v="0"/>
    <m/>
    <m/>
    <m/>
  </r>
  <r>
    <n v="8"/>
    <x v="1"/>
    <m/>
    <n v="11"/>
    <n v="11"/>
    <s v="Lauraceae"/>
    <s v="Nectandra coriacea"/>
    <s v="Aguacatillo"/>
    <m/>
    <m/>
    <m/>
    <n v="0.4"/>
    <e v="#REF!"/>
    <m/>
    <m/>
    <x v="0"/>
    <x v="3"/>
    <x v="0"/>
    <m/>
    <m/>
    <m/>
  </r>
  <r>
    <n v="8"/>
    <x v="1"/>
    <m/>
    <n v="12"/>
    <n v="12"/>
    <s v="Putranjivaceae"/>
    <s v="Drypetes lateriflora"/>
    <s v="Ekulub"/>
    <m/>
    <m/>
    <m/>
    <n v="0.9"/>
    <e v="#REF!"/>
    <m/>
    <m/>
    <x v="0"/>
    <x v="3"/>
    <x v="0"/>
    <m/>
    <m/>
    <m/>
  </r>
  <r>
    <n v="8"/>
    <x v="1"/>
    <m/>
    <n v="13"/>
    <n v="13"/>
    <s v="Rubiaceae"/>
    <s v="Psychotria nervosa"/>
    <s v="Café de Monte"/>
    <m/>
    <m/>
    <m/>
    <n v="1"/>
    <e v="#REF!"/>
    <m/>
    <m/>
    <x v="0"/>
    <x v="3"/>
    <x v="0"/>
    <m/>
    <m/>
    <m/>
  </r>
  <r>
    <n v="8"/>
    <x v="1"/>
    <m/>
    <n v="14"/>
    <n v="14"/>
    <s v="Malvaceae "/>
    <s v="Malvaviscus arboreus"/>
    <s v="Tulipancillo"/>
    <m/>
    <m/>
    <m/>
    <n v="1.2"/>
    <e v="#REF!"/>
    <m/>
    <m/>
    <x v="0"/>
    <x v="3"/>
    <x v="0"/>
    <m/>
    <m/>
    <m/>
  </r>
  <r>
    <n v="8"/>
    <x v="1"/>
    <m/>
    <n v="15"/>
    <n v="15"/>
    <s v="Meliaceae"/>
    <s v="Trichilia glabra"/>
    <s v="Choobem che'"/>
    <m/>
    <m/>
    <m/>
    <n v="1.7"/>
    <e v="#REF!"/>
    <m/>
    <m/>
    <x v="0"/>
    <x v="3"/>
    <x v="0"/>
    <m/>
    <m/>
    <m/>
  </r>
  <r>
    <n v="8"/>
    <x v="1"/>
    <m/>
    <n v="16"/>
    <n v="16"/>
    <s v="Rubiaceae"/>
    <s v="Chiococca alba (L.) Hitchc. "/>
    <s v="ka’an chak che"/>
    <m/>
    <m/>
    <m/>
    <n v="2"/>
    <e v="#REF!"/>
    <m/>
    <m/>
    <x v="0"/>
    <x v="3"/>
    <x v="0"/>
    <m/>
    <m/>
    <m/>
  </r>
  <r>
    <n v="9"/>
    <x v="1"/>
    <m/>
    <n v="1"/>
    <n v="1"/>
    <s v="Smilacaceae"/>
    <s v="Smilax mollis"/>
    <s v="Bejuco diente de perro"/>
    <m/>
    <m/>
    <m/>
    <n v="6"/>
    <e v="#REF!"/>
    <m/>
    <s v="S"/>
    <x v="0"/>
    <x v="2"/>
    <x v="0"/>
    <m/>
    <m/>
    <m/>
  </r>
  <r>
    <n v="9"/>
    <x v="1"/>
    <m/>
    <n v="2"/>
    <n v="2"/>
    <s v="Moraceae"/>
    <s v="Ficus pertusa"/>
    <s v="Amatillo"/>
    <m/>
    <m/>
    <m/>
    <n v="1.5"/>
    <e v="#REF!"/>
    <m/>
    <s v="S"/>
    <x v="0"/>
    <x v="3"/>
    <x v="0"/>
    <m/>
    <m/>
    <m/>
  </r>
  <r>
    <n v="3"/>
    <x v="2"/>
    <n v="1"/>
    <n v="4"/>
    <n v="4"/>
    <s v="Ebenaceae"/>
    <s v="Diospyros yucatanensis"/>
    <s v="Diospyros"/>
    <n v="38"/>
    <n v="12.095775674984045"/>
    <n v="7"/>
    <n v="9"/>
    <m/>
    <s v="C"/>
    <s v="S"/>
    <x v="0"/>
    <x v="1"/>
    <x v="1"/>
    <n v="9"/>
    <s v="Vol = Exp(-9.45811109+1.82568462*LN(DIAMETRO)+1.00281859*LN(ALTURATOTAL))"/>
    <n v="6.6969092074145434E-2"/>
  </r>
  <r>
    <n v="2"/>
    <x v="0"/>
    <n v="1"/>
    <n v="4"/>
    <n v="4"/>
    <s v="Ebenaceae"/>
    <s v="Diospyros yucatanensis"/>
    <s v="Diospyros"/>
    <n v="16"/>
    <n v="5.0929581789406511"/>
    <n v="6"/>
    <n v="11"/>
    <m/>
    <s v="C"/>
    <s v="S"/>
    <x v="0"/>
    <x v="1"/>
    <x v="0"/>
    <m/>
    <m/>
    <m/>
  </r>
  <r>
    <n v="9"/>
    <x v="1"/>
    <m/>
    <n v="3"/>
    <n v="3"/>
    <s v="Annonaceae"/>
    <s v="Mosannona depressa"/>
    <s v="Ek elemuy"/>
    <m/>
    <m/>
    <m/>
    <n v="3"/>
    <e v="#REF!"/>
    <m/>
    <s v="S"/>
    <x v="0"/>
    <x v="3"/>
    <x v="0"/>
    <m/>
    <m/>
    <m/>
  </r>
  <r>
    <n v="2"/>
    <x v="0"/>
    <n v="2"/>
    <n v="9"/>
    <n v="9"/>
    <s v="Ebenaceae"/>
    <s v="Diospyros yucatanensis"/>
    <s v="Diospyros"/>
    <n v="17"/>
    <n v="5.4112680651244416"/>
    <n v="8"/>
    <n v="9"/>
    <m/>
    <s v="C"/>
    <s v="S"/>
    <x v="0"/>
    <x v="1"/>
    <x v="0"/>
    <m/>
    <m/>
    <m/>
  </r>
  <r>
    <n v="9"/>
    <x v="1"/>
    <m/>
    <n v="4"/>
    <n v="4"/>
    <s v="Annonaceae"/>
    <s v="Mosannona depressa"/>
    <s v="Ek elemuy"/>
    <m/>
    <m/>
    <m/>
    <n v="1.9"/>
    <e v="#REF!"/>
    <m/>
    <s v="S"/>
    <x v="0"/>
    <x v="3"/>
    <x v="0"/>
    <m/>
    <m/>
    <m/>
  </r>
  <r>
    <n v="9"/>
    <x v="1"/>
    <m/>
    <n v="5"/>
    <n v="5"/>
    <s v="Annonaceae"/>
    <s v="Mosannona depressa"/>
    <s v="Ek elemuy"/>
    <m/>
    <m/>
    <m/>
    <n v="1.6"/>
    <e v="#REF!"/>
    <m/>
    <s v="S"/>
    <x v="0"/>
    <x v="3"/>
    <x v="0"/>
    <m/>
    <m/>
    <m/>
  </r>
  <r>
    <n v="9"/>
    <x v="1"/>
    <m/>
    <n v="6"/>
    <n v="6"/>
    <s v="Leguminosae"/>
    <s v="Lonchocarpus guatemalensis"/>
    <s v="Xul"/>
    <m/>
    <m/>
    <m/>
    <n v="2.5"/>
    <e v="#REF!"/>
    <m/>
    <s v="S"/>
    <x v="0"/>
    <x v="3"/>
    <x v="0"/>
    <m/>
    <m/>
    <m/>
  </r>
  <r>
    <n v="9"/>
    <x v="1"/>
    <m/>
    <n v="7"/>
    <n v="7"/>
    <s v="Leguminosae"/>
    <s v="Lonchocarpus guatemalensis"/>
    <s v="Xul"/>
    <m/>
    <m/>
    <m/>
    <n v="0.9"/>
    <e v="#REF!"/>
    <m/>
    <s v="S"/>
    <x v="0"/>
    <x v="3"/>
    <x v="0"/>
    <m/>
    <m/>
    <m/>
  </r>
  <r>
    <n v="8"/>
    <x v="0"/>
    <n v="3"/>
    <n v="18"/>
    <n v="18"/>
    <s v="Ebenaceae"/>
    <s v="Diospyros yucatanensis"/>
    <s v="Diospyros"/>
    <n v="19"/>
    <n v="6.0478878374920226"/>
    <n v="9"/>
    <n v="10"/>
    <m/>
    <s v="C"/>
    <s v="S"/>
    <x v="0"/>
    <x v="1"/>
    <x v="0"/>
    <m/>
    <m/>
    <m/>
  </r>
  <r>
    <n v="8"/>
    <x v="0"/>
    <n v="3"/>
    <n v="19"/>
    <n v="19"/>
    <s v="Ebenaceae"/>
    <s v="Diospyros yucatanensis"/>
    <s v="Diospyros"/>
    <n v="29"/>
    <n v="9.2309866993299305"/>
    <n v="9"/>
    <n v="9"/>
    <m/>
    <s v="C"/>
    <s v="SD"/>
    <x v="0"/>
    <x v="1"/>
    <x v="1"/>
    <m/>
    <m/>
    <m/>
  </r>
  <r>
    <n v="8"/>
    <x v="0"/>
    <n v="3"/>
    <n v="20"/>
    <n v="20"/>
    <s v="Ebenaceae"/>
    <s v="Diospyros yucatanensis"/>
    <s v="Diospyros"/>
    <n v="20"/>
    <n v="6.366197723675814"/>
    <n v="9"/>
    <n v="11"/>
    <m/>
    <s v="C"/>
    <s v="S"/>
    <x v="0"/>
    <x v="1"/>
    <x v="0"/>
    <m/>
    <m/>
    <m/>
  </r>
  <r>
    <n v="4"/>
    <x v="0"/>
    <n v="4"/>
    <n v="24"/>
    <n v="25"/>
    <s v="Ebenaceae"/>
    <s v="Diospyros yucatanensis"/>
    <s v="Diospyros"/>
    <n v="24"/>
    <n v="7.6394372684109761"/>
    <n v="6"/>
    <n v="9"/>
    <m/>
    <s v="C"/>
    <s v="S"/>
    <x v="0"/>
    <x v="1"/>
    <x v="1"/>
    <m/>
    <m/>
    <m/>
  </r>
  <r>
    <n v="4"/>
    <x v="0"/>
    <n v="4"/>
    <n v="25"/>
    <n v="26"/>
    <s v="Ebenaceae"/>
    <s v="Diospyros yucatanensis"/>
    <s v="Diospyros"/>
    <n v="16"/>
    <n v="5.0929581789406511"/>
    <n v="7"/>
    <n v="9"/>
    <m/>
    <s v="C"/>
    <s v="S"/>
    <x v="0"/>
    <x v="1"/>
    <x v="0"/>
    <m/>
    <m/>
    <m/>
  </r>
  <r>
    <n v="11"/>
    <x v="0"/>
    <n v="3"/>
    <n v="26"/>
    <n v="26"/>
    <s v="Ebenaceae"/>
    <s v="Diospyros yucatanensis"/>
    <s v="Diospyros"/>
    <n v="16"/>
    <n v="5.0929581789406511"/>
    <n v="4.5"/>
    <n v="8"/>
    <m/>
    <s v="C"/>
    <s v="S"/>
    <x v="0"/>
    <x v="0"/>
    <x v="0"/>
    <m/>
    <m/>
    <m/>
  </r>
  <r>
    <n v="11"/>
    <x v="0"/>
    <n v="3"/>
    <n v="31"/>
    <n v="31"/>
    <s v="Ebenaceae"/>
    <s v="Diospyros yucatanensis"/>
    <s v="Diospyros"/>
    <n v="23"/>
    <n v="7.3211273822271856"/>
    <n v="6"/>
    <n v="10"/>
    <m/>
    <s v="C"/>
    <s v="S"/>
    <x v="0"/>
    <x v="1"/>
    <x v="0"/>
    <m/>
    <m/>
    <m/>
  </r>
  <r>
    <n v="11"/>
    <x v="0"/>
    <n v="3"/>
    <n v="32"/>
    <n v="32"/>
    <s v="Ebenaceae"/>
    <s v="Diospyros yucatanensis"/>
    <s v="Diospyros"/>
    <n v="24"/>
    <n v="7.6394372684109761"/>
    <n v="4"/>
    <n v="10"/>
    <m/>
    <s v="C"/>
    <s v="S"/>
    <x v="0"/>
    <x v="1"/>
    <x v="1"/>
    <m/>
    <m/>
    <m/>
  </r>
  <r>
    <n v="9"/>
    <x v="1"/>
    <m/>
    <n v="8"/>
    <n v="8"/>
    <s v="Leguminosae"/>
    <s v="Lonchocarpus guatemalensis"/>
    <s v="Xul"/>
    <m/>
    <m/>
    <m/>
    <n v="2.2000000000000002"/>
    <e v="#REF!"/>
    <m/>
    <s v="S"/>
    <x v="0"/>
    <x v="3"/>
    <x v="0"/>
    <m/>
    <m/>
    <m/>
  </r>
  <r>
    <n v="9"/>
    <x v="1"/>
    <m/>
    <n v="9"/>
    <n v="9"/>
    <s v="Leguminosae"/>
    <s v="Lonchocarpus guatemalensis"/>
    <s v="Xul"/>
    <m/>
    <m/>
    <m/>
    <n v="2"/>
    <e v="#REF!"/>
    <m/>
    <s v="S"/>
    <x v="0"/>
    <x v="3"/>
    <x v="0"/>
    <m/>
    <m/>
    <m/>
  </r>
  <r>
    <n v="9"/>
    <x v="1"/>
    <m/>
    <n v="10"/>
    <n v="10"/>
    <s v="Leguminosae"/>
    <s v="Zygia cognata"/>
    <s v="Cacao che"/>
    <m/>
    <m/>
    <m/>
    <n v="0.8"/>
    <e v="#REF!"/>
    <m/>
    <s v="S"/>
    <x v="0"/>
    <x v="3"/>
    <x v="0"/>
    <m/>
    <m/>
    <m/>
  </r>
  <r>
    <n v="9"/>
    <x v="1"/>
    <m/>
    <n v="11"/>
    <n v="11"/>
    <s v="Leguminosae"/>
    <s v="Zygia cognata"/>
    <s v="Cacao che"/>
    <m/>
    <m/>
    <m/>
    <n v="1.2"/>
    <e v="#REF!"/>
    <m/>
    <s v="S"/>
    <x v="0"/>
    <x v="3"/>
    <x v="0"/>
    <m/>
    <m/>
    <m/>
  </r>
  <r>
    <n v="9"/>
    <x v="1"/>
    <m/>
    <n v="12"/>
    <n v="12"/>
    <s v="Leguminosae"/>
    <s v="Lonchocarpus guatemalensis"/>
    <s v="Xul"/>
    <m/>
    <m/>
    <m/>
    <n v="0.5"/>
    <e v="#REF!"/>
    <m/>
    <s v="S"/>
    <x v="0"/>
    <x v="3"/>
    <x v="0"/>
    <m/>
    <m/>
    <m/>
  </r>
  <r>
    <n v="8"/>
    <x v="0"/>
    <n v="2"/>
    <n v="13"/>
    <n v="13"/>
    <s v="Annonaceae"/>
    <s v="Mosannona depressa"/>
    <s v="Ek elemuy"/>
    <n v="26"/>
    <n v="8.2760570407785572"/>
    <n v="5"/>
    <n v="9"/>
    <m/>
    <s v="C"/>
    <s v="S"/>
    <x v="0"/>
    <x v="1"/>
    <x v="1"/>
    <m/>
    <m/>
    <m/>
  </r>
  <r>
    <n v="9"/>
    <x v="1"/>
    <m/>
    <n v="13"/>
    <n v="13"/>
    <s v="Sapindaceae"/>
    <s v="Cupania dentata"/>
    <s v="Sak poom"/>
    <m/>
    <m/>
    <m/>
    <n v="4"/>
    <e v="#REF!"/>
    <m/>
    <s v="S"/>
    <x v="0"/>
    <x v="2"/>
    <x v="0"/>
    <m/>
    <m/>
    <m/>
  </r>
  <r>
    <n v="9"/>
    <x v="1"/>
    <m/>
    <n v="14"/>
    <n v="14"/>
    <s v="Malvaceae"/>
    <s v="Hampea trilobata"/>
    <s v="Ho'ol"/>
    <m/>
    <m/>
    <m/>
    <n v="6"/>
    <e v="#REF!"/>
    <m/>
    <s v="S"/>
    <x v="0"/>
    <x v="2"/>
    <x v="0"/>
    <m/>
    <m/>
    <m/>
  </r>
  <r>
    <n v="9"/>
    <x v="1"/>
    <m/>
    <n v="15"/>
    <n v="15"/>
    <s v="Moraceae"/>
    <s v="Ficus cotinifolia"/>
    <s v="Álamo"/>
    <m/>
    <m/>
    <m/>
    <n v="6"/>
    <e v="#REF!"/>
    <m/>
    <s v="S"/>
    <x v="0"/>
    <x v="2"/>
    <x v="0"/>
    <m/>
    <m/>
    <m/>
  </r>
  <r>
    <n v="9"/>
    <x v="1"/>
    <m/>
    <n v="16"/>
    <n v="16"/>
    <s v="Moraceae"/>
    <s v="Ficus cotinifolia"/>
    <s v="Álamo"/>
    <m/>
    <m/>
    <m/>
    <n v="3.5"/>
    <e v="#REF!"/>
    <m/>
    <s v="S"/>
    <x v="0"/>
    <x v="3"/>
    <x v="0"/>
    <m/>
    <m/>
    <m/>
  </r>
  <r>
    <n v="9"/>
    <x v="1"/>
    <m/>
    <n v="17"/>
    <n v="17"/>
    <s v="Rubiaceae"/>
    <s v="Chiococca alba (L.) Hitchc. "/>
    <s v="ka’an chak che"/>
    <m/>
    <m/>
    <m/>
    <n v="4"/>
    <e v="#REF!"/>
    <m/>
    <s v="S"/>
    <x v="0"/>
    <x v="2"/>
    <x v="0"/>
    <m/>
    <m/>
    <m/>
  </r>
  <r>
    <n v="9"/>
    <x v="1"/>
    <m/>
    <n v="18"/>
    <n v="18"/>
    <s v="Rubiaceae"/>
    <s v="Guettarda combsii "/>
    <s v="Tasta'ab"/>
    <m/>
    <m/>
    <m/>
    <n v="5"/>
    <e v="#REF!"/>
    <m/>
    <s v="S"/>
    <x v="0"/>
    <x v="2"/>
    <x v="0"/>
    <m/>
    <m/>
    <m/>
  </r>
  <r>
    <n v="9"/>
    <x v="1"/>
    <m/>
    <n v="19"/>
    <n v="19"/>
    <s v="Sapindaceae"/>
    <s v="Paullinia cururu"/>
    <s v="Bejuco alado"/>
    <m/>
    <m/>
    <m/>
    <n v="8"/>
    <e v="#REF!"/>
    <m/>
    <s v="S"/>
    <x v="0"/>
    <x v="0"/>
    <x v="0"/>
    <m/>
    <m/>
    <m/>
  </r>
  <r>
    <n v="9"/>
    <x v="1"/>
    <m/>
    <n v="20"/>
    <n v="20"/>
    <s v="Leguminosae"/>
    <s v="Lonchocarpus guatemalensis"/>
    <s v="Xul"/>
    <m/>
    <m/>
    <m/>
    <n v="5"/>
    <e v="#REF!"/>
    <m/>
    <s v="S"/>
    <x v="0"/>
    <x v="2"/>
    <x v="0"/>
    <m/>
    <m/>
    <m/>
  </r>
  <r>
    <n v="9"/>
    <x v="1"/>
    <m/>
    <n v="21"/>
    <n v="21"/>
    <s v="Sapindaceae"/>
    <s v="Serjania goniocarpa"/>
    <s v="Bejuco tres lomos"/>
    <m/>
    <m/>
    <m/>
    <n v="0.4"/>
    <e v="#REF!"/>
    <m/>
    <s v="S"/>
    <x v="0"/>
    <x v="3"/>
    <x v="0"/>
    <m/>
    <m/>
    <m/>
  </r>
  <r>
    <n v="4"/>
    <x v="2"/>
    <n v="2"/>
    <n v="31"/>
    <n v="32"/>
    <s v="Malvaceae"/>
    <s v="Luehea speciosa"/>
    <s v="Guasimo blanco"/>
    <n v="32"/>
    <n v="10.185916357881302"/>
    <n v="4"/>
    <n v="10"/>
    <m/>
    <s v="C"/>
    <s v="S"/>
    <x v="0"/>
    <x v="1"/>
    <x v="1"/>
    <n v="17"/>
    <s v="Vol = Exp(-9.52375084+1.81551953*LN(DIAMETRO)+1.03039019*LN(ALTURATOTAL))"/>
    <n v="5.3005584899578816E-2"/>
  </r>
  <r>
    <n v="4"/>
    <x v="2"/>
    <n v="3"/>
    <n v="41"/>
    <n v="43"/>
    <s v="Malvaceae"/>
    <s v="Luehea speciosa"/>
    <s v="Guasimo blanco"/>
    <n v="32"/>
    <n v="10.185916357881302"/>
    <n v="4.5"/>
    <n v="10"/>
    <m/>
    <s v="C"/>
    <s v="S"/>
    <x v="0"/>
    <x v="1"/>
    <x v="1"/>
    <n v="17"/>
    <s v="Vol = Exp(-9.52375084+1.81551953*LN(DIAMETRO)+1.03039019*LN(ALTURATOTAL))"/>
    <n v="5.3005584899578816E-2"/>
  </r>
  <r>
    <n v="9"/>
    <x v="1"/>
    <m/>
    <n v="22"/>
    <n v="22"/>
    <s v="Leguminosae"/>
    <s v="Lonchocarpus guatemalensis"/>
    <s v="Xul"/>
    <m/>
    <m/>
    <m/>
    <n v="4"/>
    <e v="#REF!"/>
    <m/>
    <s v="S"/>
    <x v="0"/>
    <x v="2"/>
    <x v="0"/>
    <m/>
    <m/>
    <m/>
  </r>
  <r>
    <n v="9"/>
    <x v="1"/>
    <m/>
    <n v="23"/>
    <n v="23"/>
    <s v="Leguminosae"/>
    <s v="Lonchocarpus guatemalensis"/>
    <s v="Xul"/>
    <m/>
    <m/>
    <m/>
    <n v="3"/>
    <e v="#REF!"/>
    <m/>
    <s v="S"/>
    <x v="0"/>
    <x v="3"/>
    <x v="0"/>
    <m/>
    <m/>
    <m/>
  </r>
  <r>
    <n v="9"/>
    <x v="1"/>
    <m/>
    <n v="24"/>
    <n v="24"/>
    <s v="Leguminosae"/>
    <s v="Lonchocarpus guatemalensis"/>
    <s v="Xul"/>
    <m/>
    <m/>
    <m/>
    <n v="4"/>
    <e v="#REF!"/>
    <m/>
    <s v="S"/>
    <x v="0"/>
    <x v="2"/>
    <x v="0"/>
    <m/>
    <m/>
    <m/>
  </r>
  <r>
    <n v="9"/>
    <x v="1"/>
    <m/>
    <n v="25"/>
    <n v="25"/>
    <s v="Malvaceae"/>
    <s v="Hampea trilobata"/>
    <s v="Ho'ol"/>
    <m/>
    <m/>
    <m/>
    <n v="4"/>
    <e v="#REF!"/>
    <m/>
    <s v="S"/>
    <x v="0"/>
    <x v="2"/>
    <x v="0"/>
    <m/>
    <m/>
    <m/>
  </r>
  <r>
    <n v="9"/>
    <x v="1"/>
    <m/>
    <n v="26"/>
    <n v="26"/>
    <s v="Malvaceae"/>
    <s v="Hampea trilobata"/>
    <s v="Ho'ol"/>
    <m/>
    <m/>
    <m/>
    <n v="7"/>
    <e v="#REF!"/>
    <m/>
    <s v="S"/>
    <x v="0"/>
    <x v="0"/>
    <x v="0"/>
    <m/>
    <m/>
    <m/>
  </r>
  <r>
    <n v="9"/>
    <x v="1"/>
    <m/>
    <n v="27"/>
    <n v="27"/>
    <s v="Leguminosae"/>
    <s v="Zygia cognata"/>
    <s v="Cacao che"/>
    <m/>
    <m/>
    <m/>
    <n v="1.3"/>
    <e v="#REF!"/>
    <m/>
    <s v="S"/>
    <x v="0"/>
    <x v="3"/>
    <x v="0"/>
    <m/>
    <m/>
    <m/>
  </r>
  <r>
    <n v="9"/>
    <x v="1"/>
    <m/>
    <n v="28"/>
    <n v="28"/>
    <s v="Leguminosae"/>
    <s v="Zygia cognata"/>
    <s v="Cacao che"/>
    <m/>
    <m/>
    <m/>
    <n v="1"/>
    <e v="#REF!"/>
    <m/>
    <s v="S"/>
    <x v="0"/>
    <x v="3"/>
    <x v="0"/>
    <m/>
    <m/>
    <m/>
  </r>
  <r>
    <n v="4"/>
    <x v="0"/>
    <n v="1"/>
    <n v="2"/>
    <n v="2"/>
    <s v="Malvaceae"/>
    <s v="Hampea trilobata"/>
    <s v="Ho'ol"/>
    <n v="18.5"/>
    <n v="5.8887328944001274"/>
    <n v="6"/>
    <n v="7"/>
    <m/>
    <s v="C"/>
    <s v="S"/>
    <x v="0"/>
    <x v="0"/>
    <x v="0"/>
    <m/>
    <m/>
    <m/>
  </r>
  <r>
    <n v="9"/>
    <x v="1"/>
    <m/>
    <n v="29"/>
    <n v="29"/>
    <s v="Rubiaceae"/>
    <s v="Chiococca alba (L.) Hitchc. "/>
    <s v="ka’an chak che"/>
    <m/>
    <m/>
    <m/>
    <n v="7"/>
    <e v="#REF!"/>
    <m/>
    <s v="S"/>
    <x v="0"/>
    <x v="0"/>
    <x v="0"/>
    <m/>
    <m/>
    <m/>
  </r>
  <r>
    <n v="9"/>
    <x v="1"/>
    <m/>
    <n v="30"/>
    <n v="30"/>
    <s v="Leguminosae"/>
    <s v="Zygia cognata"/>
    <s v="Cacao che"/>
    <m/>
    <m/>
    <m/>
    <n v="2"/>
    <e v="#REF!"/>
    <m/>
    <s v="S"/>
    <x v="0"/>
    <x v="3"/>
    <x v="0"/>
    <m/>
    <m/>
    <m/>
  </r>
  <r>
    <n v="3"/>
    <x v="0"/>
    <n v="2"/>
    <n v="6"/>
    <n v="6"/>
    <s v="Malvaceae"/>
    <s v="Hampea trilobata"/>
    <s v="Ho'ol"/>
    <n v="18.5"/>
    <n v="5.8887328944001274"/>
    <n v="3.5"/>
    <n v="8"/>
    <m/>
    <s v="C"/>
    <s v="S"/>
    <x v="0"/>
    <x v="0"/>
    <x v="0"/>
    <m/>
    <m/>
    <m/>
  </r>
  <r>
    <n v="9"/>
    <x v="1"/>
    <m/>
    <n v="31"/>
    <n v="31"/>
    <s v="Annonaceae"/>
    <s v="Mosannona depressa"/>
    <s v="Ek elemuy"/>
    <m/>
    <m/>
    <m/>
    <n v="3"/>
    <e v="#REF!"/>
    <m/>
    <s v="S"/>
    <x v="0"/>
    <x v="3"/>
    <x v="0"/>
    <m/>
    <m/>
    <m/>
  </r>
  <r>
    <n v="1"/>
    <x v="0"/>
    <n v="2"/>
    <n v="7"/>
    <n v="7"/>
    <s v="Malvaceae"/>
    <s v="Hampea trilobata"/>
    <s v="Ho'ol"/>
    <n v="17"/>
    <n v="5.4112680651244416"/>
    <n v="2"/>
    <n v="6"/>
    <m/>
    <s v="C"/>
    <s v="S"/>
    <x v="0"/>
    <x v="2"/>
    <x v="0"/>
    <m/>
    <m/>
    <m/>
  </r>
  <r>
    <n v="6"/>
    <x v="0"/>
    <n v="1"/>
    <n v="7"/>
    <n v="7"/>
    <s v="Malvaceae"/>
    <s v="Hampea trilobata"/>
    <s v="Ho'ol"/>
    <n v="16.5"/>
    <n v="5.2521131220325463"/>
    <n v="4"/>
    <n v="9"/>
    <m/>
    <s v="C"/>
    <s v="S"/>
    <x v="0"/>
    <x v="1"/>
    <x v="0"/>
    <m/>
    <m/>
    <m/>
  </r>
  <r>
    <n v="3"/>
    <x v="0"/>
    <n v="3"/>
    <n v="11"/>
    <n v="11"/>
    <s v="Malvaceae"/>
    <s v="Hampea trilobata"/>
    <s v="Ho'ol"/>
    <n v="19.5"/>
    <n v="6.2070427805839179"/>
    <n v="3.5"/>
    <n v="8"/>
    <m/>
    <s v="C"/>
    <s v="S"/>
    <x v="0"/>
    <x v="0"/>
    <x v="0"/>
    <m/>
    <m/>
    <m/>
  </r>
  <r>
    <n v="6"/>
    <x v="0"/>
    <n v="2"/>
    <n v="12"/>
    <n v="12"/>
    <s v="Malvaceae"/>
    <s v="Hampea trilobata"/>
    <s v="Ho'ol"/>
    <n v="26"/>
    <n v="8.2760570407785572"/>
    <n v="7"/>
    <n v="9"/>
    <m/>
    <s v="C"/>
    <s v="S"/>
    <x v="0"/>
    <x v="1"/>
    <x v="1"/>
    <m/>
    <m/>
    <m/>
  </r>
  <r>
    <n v="9"/>
    <x v="0"/>
    <n v="1"/>
    <n v="12"/>
    <n v="12"/>
    <s v="Malvaceae"/>
    <s v="Hampea trilobata"/>
    <s v="Ho'ol"/>
    <n v="18"/>
    <n v="5.7295779513082321"/>
    <n v="6"/>
    <n v="9"/>
    <m/>
    <s v="C"/>
    <s v="S"/>
    <x v="0"/>
    <x v="1"/>
    <x v="0"/>
    <m/>
    <m/>
    <m/>
  </r>
  <r>
    <n v="10"/>
    <x v="0"/>
    <n v="1"/>
    <n v="12"/>
    <n v="12"/>
    <s v="Malvaceae"/>
    <s v="Hampea trilobata"/>
    <s v="Ho'ol"/>
    <n v="17.5"/>
    <n v="5.5704230082163368"/>
    <n v="8"/>
    <n v="10"/>
    <m/>
    <s v="C"/>
    <s v="S"/>
    <x v="0"/>
    <x v="1"/>
    <x v="0"/>
    <m/>
    <m/>
    <m/>
  </r>
  <r>
    <n v="9"/>
    <x v="1"/>
    <m/>
    <n v="32"/>
    <n v="32"/>
    <s v="Rubiaceae"/>
    <s v="Chiococca alba (L.) Hitchc. "/>
    <s v="ka’an chak che"/>
    <m/>
    <m/>
    <m/>
    <n v="5"/>
    <e v="#REF!"/>
    <m/>
    <s v="S"/>
    <x v="0"/>
    <x v="2"/>
    <x v="0"/>
    <m/>
    <m/>
    <m/>
  </r>
  <r>
    <n v="6"/>
    <x v="0"/>
    <n v="2"/>
    <n v="14"/>
    <n v="14"/>
    <s v="Malvaceae"/>
    <s v="Hampea trilobata"/>
    <s v="Ho'ol"/>
    <n v="16.5"/>
    <n v="5.2521131220325463"/>
    <n v="5"/>
    <n v="8"/>
    <m/>
    <s v="C"/>
    <s v="S"/>
    <x v="0"/>
    <x v="0"/>
    <x v="0"/>
    <m/>
    <m/>
    <m/>
  </r>
  <r>
    <n v="9"/>
    <x v="1"/>
    <m/>
    <n v="33"/>
    <n v="33"/>
    <s v="Moraceae"/>
    <s v="Ficus pertusa"/>
    <s v="Amatillo"/>
    <m/>
    <m/>
    <m/>
    <n v="1.6"/>
    <e v="#REF!"/>
    <m/>
    <s v="S"/>
    <x v="0"/>
    <x v="3"/>
    <x v="0"/>
    <m/>
    <m/>
    <m/>
  </r>
  <r>
    <n v="10"/>
    <x v="0"/>
    <n v="2"/>
    <n v="17"/>
    <n v="17"/>
    <s v="Malvaceae"/>
    <s v="Hampea trilobata"/>
    <s v="Ho'ol"/>
    <n v="21"/>
    <n v="6.6845076098596046"/>
    <n v="6"/>
    <n v="10"/>
    <m/>
    <s v="C"/>
    <s v="S"/>
    <x v="0"/>
    <x v="1"/>
    <x v="0"/>
    <m/>
    <m/>
    <m/>
  </r>
  <r>
    <n v="9"/>
    <x v="0"/>
    <n v="2"/>
    <n v="23"/>
    <n v="23"/>
    <s v="Malvaceae"/>
    <s v="Hampea trilobata"/>
    <s v="Ho'ol"/>
    <n v="17.5"/>
    <n v="5.5704230082163368"/>
    <n v="5"/>
    <n v="9"/>
    <m/>
    <s v="C"/>
    <s v="S"/>
    <x v="0"/>
    <x v="1"/>
    <x v="0"/>
    <m/>
    <m/>
    <m/>
  </r>
  <r>
    <n v="9"/>
    <x v="1"/>
    <m/>
    <n v="34"/>
    <n v="34"/>
    <s v="Moraceae"/>
    <s v="Ficus pertusa"/>
    <s v="Amatillo"/>
    <m/>
    <m/>
    <m/>
    <n v="1"/>
    <e v="#REF!"/>
    <m/>
    <s v="S"/>
    <x v="0"/>
    <x v="3"/>
    <x v="0"/>
    <m/>
    <m/>
    <m/>
  </r>
  <r>
    <n v="9"/>
    <x v="1"/>
    <m/>
    <n v="35"/>
    <n v="35"/>
    <s v="Euphorbiaceae"/>
    <s v="Croton arboreus "/>
    <s v="P'e'es k'uuch"/>
    <m/>
    <m/>
    <m/>
    <n v="1"/>
    <e v="#REF!"/>
    <m/>
    <s v="S"/>
    <x v="0"/>
    <x v="3"/>
    <x v="0"/>
    <m/>
    <m/>
    <m/>
  </r>
  <r>
    <n v="11"/>
    <x v="0"/>
    <n v="3"/>
    <n v="29"/>
    <n v="29"/>
    <s v="Malvaceae"/>
    <s v="Hampea trilobata"/>
    <s v="Ho'ol"/>
    <n v="17.5"/>
    <n v="5.5704230082163368"/>
    <n v="6"/>
    <n v="9"/>
    <m/>
    <s v="C"/>
    <s v="S"/>
    <x v="0"/>
    <x v="1"/>
    <x v="0"/>
    <m/>
    <m/>
    <m/>
  </r>
  <r>
    <n v="9"/>
    <x v="0"/>
    <n v="3"/>
    <n v="36"/>
    <n v="36"/>
    <s v="Malvaceae"/>
    <s v="Hampea trilobata"/>
    <s v="Ho'ol"/>
    <n v="16.5"/>
    <n v="5.2521131220325463"/>
    <n v="5"/>
    <n v="9"/>
    <m/>
    <s v="C"/>
    <s v="S"/>
    <x v="0"/>
    <x v="1"/>
    <x v="0"/>
    <m/>
    <m/>
    <m/>
  </r>
  <r>
    <n v="9"/>
    <x v="0"/>
    <n v="3"/>
    <n v="38"/>
    <n v="38"/>
    <s v="Malvaceae"/>
    <s v="Hampea trilobata"/>
    <s v="Ho'ol"/>
    <n v="17"/>
    <n v="5.4112680651244416"/>
    <n v="5"/>
    <n v="10"/>
    <m/>
    <s v="C"/>
    <s v="S"/>
    <x v="0"/>
    <x v="1"/>
    <x v="0"/>
    <m/>
    <m/>
    <m/>
  </r>
  <r>
    <n v="10"/>
    <x v="0"/>
    <n v="4"/>
    <n v="40"/>
    <n v="40"/>
    <s v="Malvaceae"/>
    <s v="Hampea trilobata"/>
    <s v="Ho'ol"/>
    <n v="17"/>
    <n v="5.4112680651244416"/>
    <n v="6"/>
    <n v="11"/>
    <m/>
    <s v="C"/>
    <s v="S"/>
    <x v="0"/>
    <x v="1"/>
    <x v="0"/>
    <m/>
    <m/>
    <m/>
  </r>
  <r>
    <n v="10"/>
    <x v="0"/>
    <n v="4"/>
    <n v="41"/>
    <n v="41"/>
    <s v="Malvaceae"/>
    <s v="Hampea trilobata"/>
    <s v="Ho'ol"/>
    <n v="17.5"/>
    <n v="5.5704230082163368"/>
    <n v="4"/>
    <n v="10"/>
    <m/>
    <s v="C"/>
    <s v="S"/>
    <x v="0"/>
    <x v="1"/>
    <x v="0"/>
    <m/>
    <m/>
    <m/>
  </r>
  <r>
    <n v="10"/>
    <x v="0"/>
    <n v="4"/>
    <n v="42"/>
    <n v="42"/>
    <s v="Malvaceae"/>
    <s v="Hampea trilobata"/>
    <s v="Ho'ol"/>
    <n v="18"/>
    <n v="5.7295779513082321"/>
    <n v="8"/>
    <n v="10"/>
    <m/>
    <s v="C"/>
    <s v="S"/>
    <x v="0"/>
    <x v="1"/>
    <x v="0"/>
    <m/>
    <m/>
    <m/>
  </r>
  <r>
    <n v="1"/>
    <x v="2"/>
    <n v="1"/>
    <n v="1"/>
    <n v="1"/>
    <s v="Leguminosae"/>
    <s v="Piscidia piscipula"/>
    <s v="Jabín"/>
    <n v="44"/>
    <n v="14.00563499208679"/>
    <n v="6"/>
    <n v="12"/>
    <m/>
    <s v="C"/>
    <s v="S"/>
    <x v="0"/>
    <x v="4"/>
    <x v="2"/>
    <n v="5"/>
    <s v="Vol = Exp(-9.5208709+1.85580925*LN(DIAMETRO)+0.96207943*LN(ALTURATOTAL))"/>
    <n v="0.10732866559467072"/>
  </r>
  <r>
    <n v="11"/>
    <x v="2"/>
    <n v="2"/>
    <n v="8"/>
    <n v="9"/>
    <s v="Leguminosae"/>
    <s v="Piscidia piscipula"/>
    <s v="Jabín"/>
    <n v="33.5"/>
    <n v="10.663381187156988"/>
    <n v="6"/>
    <n v="11"/>
    <m/>
    <s v="C"/>
    <s v="S"/>
    <x v="0"/>
    <x v="1"/>
    <x v="1"/>
    <n v="5"/>
    <s v="Vol = Exp(-9.5208709+1.85580925*LN(DIAMETRO)+0.96207943*LN(ALTURATOTAL))"/>
    <n v="5.9513804408211086E-2"/>
  </r>
  <r>
    <n v="1"/>
    <x v="0"/>
    <n v="3"/>
    <n v="15"/>
    <n v="15"/>
    <s v="Leguminosae"/>
    <s v="Piscidia piscipula"/>
    <s v="Jabín"/>
    <n v="28"/>
    <n v="8.91267681314614"/>
    <n v="2.5"/>
    <n v="4"/>
    <m/>
    <s v="C"/>
    <s v="S"/>
    <x v="0"/>
    <x v="2"/>
    <x v="1"/>
    <m/>
    <m/>
    <m/>
  </r>
  <r>
    <n v="10"/>
    <x v="1"/>
    <m/>
    <n v="1"/>
    <n v="1"/>
    <s v="Lauraceae"/>
    <s v="Nectandra coriacea"/>
    <s v="Aguacatillo"/>
    <m/>
    <m/>
    <m/>
    <n v="6"/>
    <e v="#REF!"/>
    <m/>
    <s v="S"/>
    <x v="0"/>
    <x v="2"/>
    <x v="0"/>
    <m/>
    <m/>
    <m/>
  </r>
  <r>
    <n v="1"/>
    <x v="2"/>
    <n v="3"/>
    <n v="17"/>
    <n v="20"/>
    <s v="Leguminosae"/>
    <s v="Piscidia piscipula"/>
    <s v="Jabín"/>
    <n v="38.5"/>
    <n v="12.254930618075941"/>
    <n v="7"/>
    <n v="13"/>
    <m/>
    <s v="C"/>
    <s v="S"/>
    <x v="0"/>
    <x v="4"/>
    <x v="1"/>
    <n v="5"/>
    <s v="Vol = Exp(-9.5208709+1.85580925*LN(DIAMETRO)+0.96207943*LN(ALTURATOTAL))"/>
    <n v="9.0476886170866258E-2"/>
  </r>
  <r>
    <n v="1"/>
    <x v="2"/>
    <n v="4"/>
    <n v="20"/>
    <n v="23"/>
    <s v="Leguminosae"/>
    <s v="Piscidia piscipula"/>
    <s v="Jabín"/>
    <n v="43.5"/>
    <n v="13.846480048994895"/>
    <n v="8"/>
    <n v="12"/>
    <m/>
    <s v="C"/>
    <s v="S"/>
    <x v="0"/>
    <x v="4"/>
    <x v="2"/>
    <n v="5"/>
    <s v="Vol = Exp(-9.5208709+1.85580925*LN(DIAMETRO)+0.96207943*LN(ALTURATOTAL))"/>
    <n v="0.10507625117394749"/>
  </r>
  <r>
    <n v="1"/>
    <x v="0"/>
    <n v="4"/>
    <n v="23"/>
    <n v="23"/>
    <s v="Leguminosae"/>
    <s v="Piscidia piscipula"/>
    <s v="Jabín"/>
    <n v="18"/>
    <n v="5.7295779513082321"/>
    <n v="6"/>
    <n v="9"/>
    <m/>
    <s v="C"/>
    <s v="S"/>
    <x v="0"/>
    <x v="1"/>
    <x v="0"/>
    <m/>
    <m/>
    <m/>
  </r>
  <r>
    <n v="1"/>
    <x v="0"/>
    <n v="4"/>
    <n v="24"/>
    <n v="24"/>
    <s v="Leguminosae"/>
    <s v="Piscidia piscipula"/>
    <s v="Jabín"/>
    <n v="17"/>
    <n v="5.4112680651244416"/>
    <n v="6"/>
    <n v="9"/>
    <m/>
    <s v="C"/>
    <s v="S"/>
    <x v="0"/>
    <x v="1"/>
    <x v="0"/>
    <m/>
    <m/>
    <m/>
  </r>
  <r>
    <n v="1"/>
    <x v="2"/>
    <n v="4"/>
    <n v="23"/>
    <n v="26"/>
    <s v="Leguminosae"/>
    <s v="Piscidia piscipula"/>
    <s v="Jabín"/>
    <n v="53.5"/>
    <n v="17.0295789108328"/>
    <n v="5"/>
    <n v="13"/>
    <m/>
    <s v="C"/>
    <s v="S"/>
    <x v="0"/>
    <x v="4"/>
    <x v="2"/>
    <n v="5"/>
    <s v="Vol = Exp(-9.5208709+1.85580925*LN(DIAMETRO)+0.96207943*LN(ALTURATOTAL))"/>
    <n v="0.16661722391675937"/>
  </r>
  <r>
    <n v="1"/>
    <x v="0"/>
    <n v="4"/>
    <n v="28"/>
    <n v="28"/>
    <s v="Leguminosae"/>
    <s v="Piscidia piscipula"/>
    <s v="Jabín"/>
    <n v="30"/>
    <n v="9.5492965855137211"/>
    <n v="9"/>
    <n v="14"/>
    <m/>
    <s v="C"/>
    <s v="S"/>
    <x v="0"/>
    <x v="5"/>
    <x v="1"/>
    <m/>
    <m/>
    <m/>
  </r>
  <r>
    <n v="1"/>
    <x v="2"/>
    <n v="4"/>
    <n v="26"/>
    <n v="29"/>
    <s v="Leguminosae"/>
    <s v="Piscidia piscipula"/>
    <s v="Jabín"/>
    <n v="50.5"/>
    <n v="16.074649252281429"/>
    <n v="9"/>
    <n v="14"/>
    <m/>
    <s v="C"/>
    <s v="S"/>
    <x v="0"/>
    <x v="5"/>
    <x v="2"/>
    <n v="5"/>
    <s v="Vol = Exp(-9.5208709+1.85580925*LN(DIAMETRO)+0.96207943*LN(ALTURATOTAL))"/>
    <n v="0.16075817789671062"/>
  </r>
  <r>
    <n v="1"/>
    <x v="2"/>
    <n v="4"/>
    <n v="29"/>
    <n v="32"/>
    <s v="Leguminosae"/>
    <s v="Piscidia piscipula"/>
    <s v="Jabín"/>
    <n v="41"/>
    <n v="13.050705333535419"/>
    <n v="6"/>
    <n v="12"/>
    <m/>
    <s v="C"/>
    <s v="S"/>
    <x v="0"/>
    <x v="4"/>
    <x v="2"/>
    <n v="5"/>
    <s v="Vol = Exp(-9.5208709+1.85580925*LN(DIAMETRO)+0.96207943*LN(ALTURATOTAL))"/>
    <n v="9.4145648311599883E-2"/>
  </r>
  <r>
    <n v="11"/>
    <x v="0"/>
    <n v="4"/>
    <n v="40"/>
    <n v="40"/>
    <s v="Leguminosae"/>
    <s v="Piscidia piscipula"/>
    <s v="Jabín"/>
    <n v="20"/>
    <n v="6.366197723675814"/>
    <n v="5.5"/>
    <n v="8"/>
    <m/>
    <s v="C"/>
    <s v="S"/>
    <x v="0"/>
    <x v="0"/>
    <x v="0"/>
    <m/>
    <m/>
    <m/>
  </r>
  <r>
    <n v="3"/>
    <x v="2"/>
    <n v="1"/>
    <n v="15"/>
    <n v="15"/>
    <s v="Anacardiaceae"/>
    <s v="Spondias mombin "/>
    <s v="Jobo"/>
    <n v="46"/>
    <n v="14.642254764454371"/>
    <n v="6"/>
    <n v="11"/>
    <m/>
    <s v="C"/>
    <s v="S"/>
    <x v="0"/>
    <x v="1"/>
    <x v="2"/>
    <n v="14"/>
    <s v="Vol = Exp(-9.52375084+1.81551953*LN(DIAMETRO)+1.03039019*LN(ALTURATOTAL))"/>
    <n v="0.11300883133652777"/>
  </r>
  <r>
    <n v="1"/>
    <x v="2"/>
    <n v="3"/>
    <n v="15"/>
    <n v="18"/>
    <s v="Anacardiaceae"/>
    <s v="Spondias mombin "/>
    <s v="Jobo"/>
    <n v="35"/>
    <n v="11.140846016432674"/>
    <n v="5"/>
    <n v="11"/>
    <m/>
    <s v="C"/>
    <s v="S"/>
    <x v="0"/>
    <x v="1"/>
    <x v="1"/>
    <n v="14"/>
    <s v="Vol = Exp(-9.52375084+1.81551953*LN(DIAMETRO)+1.03039019*LN(ALTURATOTAL))"/>
    <n v="6.8806387484092887E-2"/>
  </r>
  <r>
    <n v="8"/>
    <x v="2"/>
    <n v="2"/>
    <n v="24"/>
    <n v="26"/>
    <s v="Anacardiaceae"/>
    <s v="Spondias mombin "/>
    <s v="Jobo"/>
    <n v="37"/>
    <n v="11.777465788800255"/>
    <n v="5"/>
    <n v="10"/>
    <m/>
    <s v="C"/>
    <s v="S"/>
    <x v="0"/>
    <x v="1"/>
    <x v="1"/>
    <n v="14"/>
    <s v="Vol = Exp(-9.52375084+1.81551953*LN(DIAMETRO)+1.03039019*LN(ALTURATOTAL))"/>
    <n v="6.8991137736137118E-2"/>
  </r>
  <r>
    <n v="3"/>
    <x v="2"/>
    <n v="2"/>
    <n v="27"/>
    <n v="27"/>
    <s v="Anacardiaceae"/>
    <s v="Spondias mombin "/>
    <s v="Jobo"/>
    <n v="32"/>
    <n v="10.185916357881302"/>
    <n v="7"/>
    <n v="9"/>
    <m/>
    <s v="C"/>
    <s v="S"/>
    <x v="0"/>
    <x v="1"/>
    <x v="1"/>
    <n v="14"/>
    <s v="Vol = Exp(-9.52375084+1.81551953*LN(DIAMETRO)+1.03039019*LN(ALTURATOTAL))"/>
    <n v="4.7552522724025326E-2"/>
  </r>
  <r>
    <n v="3"/>
    <x v="2"/>
    <n v="2"/>
    <n v="28"/>
    <n v="28"/>
    <s v="Anacardiaceae"/>
    <s v="Spondias mombin "/>
    <s v="Jobo"/>
    <n v="34"/>
    <n v="10.822536130248883"/>
    <n v="7"/>
    <n v="9"/>
    <m/>
    <s v="C"/>
    <s v="S"/>
    <x v="0"/>
    <x v="1"/>
    <x v="1"/>
    <n v="14"/>
    <s v="Vol = Exp(-9.52375084+1.81551953*LN(DIAMETRO)+1.03039019*LN(ALTURATOTAL))"/>
    <n v="5.3085298559275906E-2"/>
  </r>
  <r>
    <n v="10"/>
    <x v="1"/>
    <m/>
    <n v="2"/>
    <n v="2"/>
    <s v="Leguminosae"/>
    <s v="Lonchocarpus rugosus"/>
    <s v="Kanasin"/>
    <m/>
    <m/>
    <m/>
    <n v="3"/>
    <e v="#REF!"/>
    <m/>
    <s v="S"/>
    <x v="0"/>
    <x v="3"/>
    <x v="0"/>
    <m/>
    <m/>
    <m/>
  </r>
  <r>
    <n v="10"/>
    <x v="1"/>
    <m/>
    <n v="3"/>
    <n v="3"/>
    <s v="Ebenaceae"/>
    <s v="Diospyros yucatanensis"/>
    <s v="Diospyros"/>
    <m/>
    <m/>
    <m/>
    <n v="3"/>
    <e v="#REF!"/>
    <m/>
    <s v="S"/>
    <x v="0"/>
    <x v="3"/>
    <x v="0"/>
    <m/>
    <m/>
    <m/>
  </r>
  <r>
    <n v="10"/>
    <x v="1"/>
    <m/>
    <n v="4"/>
    <n v="4"/>
    <s v="Araliaceae"/>
    <s v="Dendropanax arboreus"/>
    <s v="Sak chacaj"/>
    <m/>
    <m/>
    <m/>
    <n v="1.8"/>
    <e v="#REF!"/>
    <m/>
    <s v="S"/>
    <x v="0"/>
    <x v="3"/>
    <x v="0"/>
    <m/>
    <m/>
    <m/>
  </r>
  <r>
    <n v="10"/>
    <x v="1"/>
    <m/>
    <n v="5"/>
    <n v="5"/>
    <s v="Burseraceae"/>
    <s v="Protium confusum "/>
    <s v="Copal "/>
    <m/>
    <m/>
    <m/>
    <n v="2"/>
    <e v="#REF!"/>
    <m/>
    <s v="S"/>
    <x v="0"/>
    <x v="3"/>
    <x v="0"/>
    <m/>
    <m/>
    <m/>
  </r>
  <r>
    <n v="10"/>
    <x v="1"/>
    <m/>
    <n v="6"/>
    <n v="6"/>
    <s v="Araliaceae"/>
    <s v="Dendropanax arboreus"/>
    <s v="Sak chacaj"/>
    <m/>
    <m/>
    <m/>
    <n v="3"/>
    <e v="#REF!"/>
    <m/>
    <s v="S"/>
    <x v="0"/>
    <x v="3"/>
    <x v="0"/>
    <m/>
    <m/>
    <m/>
  </r>
  <r>
    <n v="10"/>
    <x v="1"/>
    <m/>
    <n v="7"/>
    <n v="7"/>
    <s v="Leguminosae"/>
    <s v="Dalbergia glabra"/>
    <s v="Ahmuk "/>
    <m/>
    <m/>
    <m/>
    <n v="10"/>
    <e v="#REF!"/>
    <m/>
    <s v="S"/>
    <x v="0"/>
    <x v="1"/>
    <x v="0"/>
    <m/>
    <m/>
    <m/>
  </r>
  <r>
    <n v="10"/>
    <x v="1"/>
    <m/>
    <n v="8"/>
    <n v="8"/>
    <s v="Leguminosae"/>
    <s v="Dalbergia glabra"/>
    <s v="Ahmuk "/>
    <m/>
    <m/>
    <m/>
    <n v="10"/>
    <e v="#REF!"/>
    <m/>
    <s v="S"/>
    <x v="0"/>
    <x v="1"/>
    <x v="0"/>
    <m/>
    <m/>
    <m/>
  </r>
  <r>
    <n v="2"/>
    <x v="0"/>
    <n v="1"/>
    <n v="5"/>
    <n v="5"/>
    <s v="Leguminosae"/>
    <s v="Lonchocarpus rugosus"/>
    <s v="Kanasin"/>
    <n v="25"/>
    <n v="7.9577471545947667"/>
    <n v="5"/>
    <n v="11"/>
    <m/>
    <s v="C"/>
    <s v="S"/>
    <x v="0"/>
    <x v="1"/>
    <x v="1"/>
    <m/>
    <m/>
    <m/>
  </r>
  <r>
    <n v="2"/>
    <x v="0"/>
    <n v="1"/>
    <n v="6"/>
    <n v="6"/>
    <s v="Leguminosae"/>
    <s v="Lonchocarpus rugosus"/>
    <s v="Kanasin"/>
    <n v="26"/>
    <n v="8.2760570407785572"/>
    <n v="5"/>
    <n v="11"/>
    <m/>
    <s v="C"/>
    <s v="S"/>
    <x v="0"/>
    <x v="1"/>
    <x v="1"/>
    <m/>
    <m/>
    <m/>
  </r>
  <r>
    <n v="5"/>
    <x v="0"/>
    <n v="1"/>
    <n v="6"/>
    <n v="7"/>
    <s v="Leguminosae"/>
    <s v="Lonchocarpus rugosus"/>
    <s v="Kanasin"/>
    <n v="30"/>
    <n v="9.5492965855137211"/>
    <n v="6"/>
    <n v="12"/>
    <m/>
    <s v="C"/>
    <s v="S"/>
    <x v="0"/>
    <x v="4"/>
    <x v="1"/>
    <m/>
    <m/>
    <m/>
  </r>
  <r>
    <n v="10"/>
    <x v="1"/>
    <m/>
    <n v="9"/>
    <n v="9"/>
    <s v="Lauraceae"/>
    <s v="Nectandra coriacea"/>
    <s v="Aguacatillo"/>
    <m/>
    <m/>
    <m/>
    <n v="0.8"/>
    <e v="#REF!"/>
    <m/>
    <s v="S"/>
    <x v="0"/>
    <x v="3"/>
    <x v="0"/>
    <m/>
    <m/>
    <m/>
  </r>
  <r>
    <n v="5"/>
    <x v="2"/>
    <n v="1"/>
    <n v="8"/>
    <n v="8"/>
    <s v="Leguminosae"/>
    <s v="Lonchocarpus rugosus"/>
    <s v="Kanasin"/>
    <n v="34.5"/>
    <n v="10.981691073340778"/>
    <n v="3.5"/>
    <n v="9"/>
    <m/>
    <s v="C"/>
    <s v="S"/>
    <x v="0"/>
    <x v="1"/>
    <x v="1"/>
    <n v="5"/>
    <s v="Vol = Exp(-9.5208709+1.85580925*LN(DIAMETRO)+0.96207943*LN(ALTURATOTAL))"/>
    <n v="5.1817799215331653E-2"/>
  </r>
  <r>
    <n v="3"/>
    <x v="0"/>
    <n v="2"/>
    <n v="8"/>
    <n v="8"/>
    <s v="Leguminosae"/>
    <s v="Lonchocarpus rugosus"/>
    <s v="Kanasin"/>
    <n v="27"/>
    <n v="8.5943669269623477"/>
    <n v="5"/>
    <n v="13"/>
    <m/>
    <s v="C"/>
    <s v="S"/>
    <x v="0"/>
    <x v="4"/>
    <x v="1"/>
    <m/>
    <m/>
    <m/>
  </r>
  <r>
    <n v="10"/>
    <x v="1"/>
    <m/>
    <n v="10"/>
    <n v="10"/>
    <s v="Lauraceae"/>
    <s v="Nectandra coriacea"/>
    <s v="Aguacatillo"/>
    <m/>
    <m/>
    <m/>
    <n v="0.3"/>
    <e v="#REF!"/>
    <m/>
    <s v="S"/>
    <x v="0"/>
    <x v="3"/>
    <x v="0"/>
    <m/>
    <m/>
    <m/>
  </r>
  <r>
    <n v="5"/>
    <x v="2"/>
    <n v="1"/>
    <n v="9"/>
    <n v="9"/>
    <s v="Leguminosae"/>
    <s v="Lonchocarpus rugosus"/>
    <s v="Kanasin"/>
    <n v="34.5"/>
    <n v="10.981691073340778"/>
    <n v="7"/>
    <n v="10"/>
    <m/>
    <s v="C"/>
    <s v="S"/>
    <x v="0"/>
    <x v="1"/>
    <x v="1"/>
    <n v="5"/>
    <s v="Vol = Exp(-9.5208709+1.85580925*LN(DIAMETRO)+0.96207943*LN(ALTURATOTAL))"/>
    <n v="5.7345758878432622E-2"/>
  </r>
  <r>
    <n v="6"/>
    <x v="0"/>
    <n v="2"/>
    <n v="9"/>
    <n v="9"/>
    <s v="Leguminosae"/>
    <s v="Lonchocarpus rugosus"/>
    <s v="Kanasin"/>
    <n v="23"/>
    <n v="7.3211273822271856"/>
    <n v="7"/>
    <n v="9"/>
    <m/>
    <s v="C"/>
    <s v="S"/>
    <x v="0"/>
    <x v="1"/>
    <x v="0"/>
    <m/>
    <m/>
    <m/>
  </r>
  <r>
    <n v="6"/>
    <x v="0"/>
    <n v="2"/>
    <n v="11"/>
    <n v="11"/>
    <s v="Leguminosae"/>
    <s v="Lonchocarpus rugosus"/>
    <s v="Kanasin"/>
    <n v="17"/>
    <n v="5.4112680651244416"/>
    <n v="7"/>
    <n v="9"/>
    <m/>
    <s v="C"/>
    <s v="S"/>
    <x v="0"/>
    <x v="1"/>
    <x v="0"/>
    <m/>
    <m/>
    <m/>
  </r>
  <r>
    <n v="10"/>
    <x v="1"/>
    <m/>
    <n v="11"/>
    <n v="11"/>
    <s v="Lauraceae"/>
    <s v="Nectandra coriacea"/>
    <s v="Aguacatillo"/>
    <m/>
    <m/>
    <m/>
    <n v="0.1"/>
    <e v="#REF!"/>
    <m/>
    <s v="S"/>
    <x v="0"/>
    <x v="3"/>
    <x v="0"/>
    <m/>
    <m/>
    <m/>
  </r>
  <r>
    <n v="1"/>
    <x v="0"/>
    <n v="3"/>
    <n v="13"/>
    <n v="13"/>
    <s v="Leguminosae"/>
    <s v="Lonchocarpus rugosus"/>
    <s v="Kanasin"/>
    <n v="22"/>
    <n v="7.0028174960433951"/>
    <n v="9"/>
    <n v="12"/>
    <m/>
    <s v="C"/>
    <s v="S"/>
    <x v="0"/>
    <x v="4"/>
    <x v="0"/>
    <m/>
    <m/>
    <m/>
  </r>
  <r>
    <n v="6"/>
    <x v="0"/>
    <n v="2"/>
    <n v="13"/>
    <n v="13"/>
    <s v="Leguminosae"/>
    <s v="Lonchocarpus rugosus"/>
    <s v="Kanasin"/>
    <n v="21"/>
    <n v="6.6845076098596046"/>
    <n v="7"/>
    <n v="10"/>
    <m/>
    <s v="C"/>
    <s v="S"/>
    <x v="0"/>
    <x v="1"/>
    <x v="0"/>
    <m/>
    <m/>
    <m/>
  </r>
  <r>
    <n v="5"/>
    <x v="2"/>
    <n v="1"/>
    <n v="14"/>
    <n v="15"/>
    <s v="Leguminosae"/>
    <s v="Lonchocarpus rugosus"/>
    <s v="Kanasin"/>
    <n v="33.5"/>
    <n v="10.663381187156988"/>
    <n v="7"/>
    <n v="11"/>
    <m/>
    <s v="C"/>
    <s v="S"/>
    <x v="0"/>
    <x v="1"/>
    <x v="1"/>
    <n v="5"/>
    <s v="Vol = Exp(-9.5208709+1.85580925*LN(DIAMETRO)+0.96207943*LN(ALTURATOTAL))"/>
    <n v="5.9513804408211086E-2"/>
  </r>
  <r>
    <n v="10"/>
    <x v="1"/>
    <m/>
    <n v="12"/>
    <n v="12"/>
    <s v="Lauraceae"/>
    <s v="Nectandra coriacea"/>
    <s v="Aguacatillo"/>
    <m/>
    <m/>
    <m/>
    <n v="0.1"/>
    <e v="#REF!"/>
    <m/>
    <s v="S"/>
    <x v="0"/>
    <x v="3"/>
    <x v="0"/>
    <m/>
    <m/>
    <m/>
  </r>
  <r>
    <n v="3"/>
    <x v="2"/>
    <n v="2"/>
    <n v="17"/>
    <n v="17"/>
    <s v="Leguminosae"/>
    <s v="Lonchocarpus rugosus"/>
    <s v="Kanasin"/>
    <n v="55.5"/>
    <n v="17.666198683200381"/>
    <n v="8"/>
    <n v="14"/>
    <m/>
    <s v="C"/>
    <s v="S"/>
    <x v="0"/>
    <x v="5"/>
    <x v="4"/>
    <n v="5"/>
    <s v="Vol = Exp(-9.5208709+1.85580925*LN(DIAMETRO)+0.96207943*LN(ALTURATOTAL))"/>
    <n v="0.19154209485507201"/>
  </r>
  <r>
    <n v="10"/>
    <x v="1"/>
    <m/>
    <n v="13"/>
    <n v="13"/>
    <s v="Lauraceae"/>
    <s v="Nectandra coriacea"/>
    <s v="Aguacatillo"/>
    <m/>
    <m/>
    <m/>
    <n v="0.2"/>
    <e v="#REF!"/>
    <m/>
    <s v="S"/>
    <x v="0"/>
    <x v="3"/>
    <x v="0"/>
    <m/>
    <m/>
    <m/>
  </r>
  <r>
    <n v="4"/>
    <x v="0"/>
    <n v="3"/>
    <n v="17"/>
    <n v="18"/>
    <s v="Leguminosae"/>
    <s v="Lonchocarpus rugosus"/>
    <s v="Kanasin"/>
    <n v="19"/>
    <n v="6.0478878374920226"/>
    <n v="10"/>
    <n v="12"/>
    <m/>
    <s v="C"/>
    <s v="S"/>
    <x v="0"/>
    <x v="4"/>
    <x v="0"/>
    <m/>
    <m/>
    <m/>
  </r>
  <r>
    <n v="11"/>
    <x v="0"/>
    <n v="2"/>
    <n v="19"/>
    <n v="19"/>
    <s v="Leguminosae"/>
    <s v="Lonchocarpus rugosus"/>
    <s v="Kanasin"/>
    <n v="21"/>
    <n v="6.6845076098596046"/>
    <n v="7"/>
    <n v="9"/>
    <m/>
    <s v="C"/>
    <s v="S"/>
    <x v="0"/>
    <x v="1"/>
    <x v="0"/>
    <m/>
    <m/>
    <m/>
  </r>
  <r>
    <n v="4"/>
    <x v="0"/>
    <n v="3"/>
    <n v="19"/>
    <n v="20"/>
    <s v="Leguminosae"/>
    <s v="Lonchocarpus rugosus"/>
    <s v="Kanasin"/>
    <n v="19.5"/>
    <n v="6.2070427805839179"/>
    <n v="6"/>
    <n v="10"/>
    <m/>
    <s v="C"/>
    <s v="S"/>
    <x v="0"/>
    <x v="1"/>
    <x v="0"/>
    <m/>
    <m/>
    <m/>
  </r>
  <r>
    <n v="4"/>
    <x v="0"/>
    <n v="3"/>
    <n v="20"/>
    <n v="21"/>
    <s v="Leguminosae"/>
    <s v="Lonchocarpus rugosus"/>
    <s v="Kanasin"/>
    <n v="19"/>
    <n v="6.0478878374920226"/>
    <n v="7"/>
    <n v="9"/>
    <m/>
    <s v="C"/>
    <s v="S"/>
    <x v="0"/>
    <x v="1"/>
    <x v="0"/>
    <m/>
    <m/>
    <m/>
  </r>
  <r>
    <n v="5"/>
    <x v="0"/>
    <n v="3"/>
    <n v="20"/>
    <n v="21"/>
    <s v="Leguminosae"/>
    <s v="Lonchocarpus rugosus"/>
    <s v="Kanasin"/>
    <n v="16.5"/>
    <n v="5.2521131220325463"/>
    <n v="6"/>
    <n v="8"/>
    <m/>
    <s v="C"/>
    <s v="S"/>
    <x v="0"/>
    <x v="0"/>
    <x v="0"/>
    <m/>
    <m/>
    <m/>
  </r>
  <r>
    <n v="10"/>
    <x v="1"/>
    <m/>
    <n v="14"/>
    <n v="14"/>
    <s v="Lauraceae"/>
    <s v="Nectandra coriacea"/>
    <s v="Aguacatillo"/>
    <m/>
    <m/>
    <m/>
    <n v="0.12"/>
    <e v="#REF!"/>
    <m/>
    <s v="S"/>
    <x v="0"/>
    <x v="3"/>
    <x v="0"/>
    <m/>
    <m/>
    <m/>
  </r>
  <r>
    <n v="10"/>
    <x v="1"/>
    <m/>
    <n v="15"/>
    <n v="15"/>
    <s v="Annonaceae"/>
    <s v="Mosannona depressa"/>
    <s v="Ek elemuy"/>
    <m/>
    <m/>
    <m/>
    <n v="0.6"/>
    <e v="#REF!"/>
    <m/>
    <s v="S"/>
    <x v="0"/>
    <x v="3"/>
    <x v="0"/>
    <m/>
    <m/>
    <m/>
  </r>
  <r>
    <n v="8"/>
    <x v="2"/>
    <n v="2"/>
    <n v="22"/>
    <n v="24"/>
    <s v="Leguminosae"/>
    <s v="Lonchocarpus rugosus"/>
    <s v="Kanasin"/>
    <n v="39"/>
    <n v="12.414085561167836"/>
    <n v="10"/>
    <n v="14"/>
    <m/>
    <s v="C"/>
    <s v="S"/>
    <x v="0"/>
    <x v="5"/>
    <x v="1"/>
    <n v="5"/>
    <s v="Vol = Exp(-9.5208709+1.85580925*LN(DIAMETRO)+0.96207943*LN(ALTURATOTAL))"/>
    <n v="9.951798984833457E-2"/>
  </r>
  <r>
    <n v="10"/>
    <x v="0"/>
    <n v="2"/>
    <n v="24"/>
    <n v="24"/>
    <s v="Leguminosae"/>
    <s v="Lonchocarpus rugosus"/>
    <s v="Kanasin"/>
    <n v="17"/>
    <n v="5.4112680651244416"/>
    <n v="6"/>
    <n v="8"/>
    <m/>
    <s v="C"/>
    <s v="S"/>
    <x v="0"/>
    <x v="0"/>
    <x v="0"/>
    <m/>
    <m/>
    <m/>
  </r>
  <r>
    <n v="10"/>
    <x v="0"/>
    <n v="3"/>
    <n v="28"/>
    <n v="28"/>
    <s v="Leguminosae"/>
    <s v="Lonchocarpus rugosus"/>
    <s v="Kanasin"/>
    <n v="20.5"/>
    <n v="6.5253526667677093"/>
    <n v="7"/>
    <n v="9"/>
    <m/>
    <s v="C"/>
    <s v="S"/>
    <x v="0"/>
    <x v="1"/>
    <x v="0"/>
    <m/>
    <m/>
    <m/>
  </r>
  <r>
    <n v="10"/>
    <x v="0"/>
    <n v="3"/>
    <n v="30"/>
    <n v="30"/>
    <s v="Leguminosae"/>
    <s v="Lonchocarpus rugosus"/>
    <s v="Kanasin"/>
    <n v="27.5"/>
    <n v="8.753521870054243"/>
    <n v="5"/>
    <n v="10"/>
    <m/>
    <s v="C"/>
    <s v="S"/>
    <x v="0"/>
    <x v="1"/>
    <x v="1"/>
    <m/>
    <m/>
    <m/>
  </r>
  <r>
    <n v="10"/>
    <x v="0"/>
    <n v="3"/>
    <n v="31"/>
    <n v="31"/>
    <s v="Leguminosae"/>
    <s v="Lonchocarpus rugosus"/>
    <s v="Kanasin"/>
    <n v="20"/>
    <n v="6.366197723675814"/>
    <n v="6"/>
    <n v="10"/>
    <m/>
    <s v="C"/>
    <s v="S"/>
    <x v="0"/>
    <x v="1"/>
    <x v="0"/>
    <m/>
    <m/>
    <m/>
  </r>
  <r>
    <n v="10"/>
    <x v="0"/>
    <n v="3"/>
    <n v="34"/>
    <n v="34"/>
    <s v="Leguminosae"/>
    <s v="Lonchocarpus rugosus"/>
    <s v="Kanasin"/>
    <n v="22.5"/>
    <n v="7.1619724391352904"/>
    <n v="7"/>
    <n v="11"/>
    <m/>
    <s v="C"/>
    <s v="S"/>
    <x v="0"/>
    <x v="1"/>
    <x v="0"/>
    <m/>
    <m/>
    <m/>
  </r>
  <r>
    <n v="3"/>
    <x v="2"/>
    <n v="3"/>
    <n v="33"/>
    <n v="35"/>
    <s v="Leguminosae"/>
    <s v="Lonchocarpus rugosus"/>
    <s v="Kanasin"/>
    <n v="40.5"/>
    <n v="12.891550390443523"/>
    <n v="8"/>
    <n v="13"/>
    <m/>
    <s v="C"/>
    <s v="S"/>
    <x v="0"/>
    <x v="4"/>
    <x v="2"/>
    <n v="5"/>
    <s v="Vol = Exp(-9.5208709+1.85580925*LN(DIAMETRO)+0.96207943*LN(ALTURATOTAL))"/>
    <n v="9.9392784896936592E-2"/>
  </r>
  <r>
    <n v="10"/>
    <x v="0"/>
    <n v="3"/>
    <n v="35"/>
    <n v="35"/>
    <s v="Leguminosae"/>
    <s v="Lonchocarpus rugosus"/>
    <s v="Kanasin"/>
    <n v="24.5"/>
    <n v="7.7985922115028714"/>
    <n v="7"/>
    <n v="10"/>
    <m/>
    <s v="C"/>
    <s v="S"/>
    <x v="0"/>
    <x v="1"/>
    <x v="1"/>
    <m/>
    <m/>
    <m/>
  </r>
  <r>
    <n v="4"/>
    <x v="2"/>
    <n v="4"/>
    <n v="49"/>
    <n v="51"/>
    <s v="Leguminosae"/>
    <s v="Lonchocarpus rugosus"/>
    <s v="Kanasin"/>
    <n v="44.5"/>
    <n v="14.164789935178685"/>
    <n v="7"/>
    <n v="14"/>
    <m/>
    <s v="C"/>
    <s v="S"/>
    <x v="0"/>
    <x v="5"/>
    <x v="2"/>
    <n v="5"/>
    <s v="Vol = Exp(-9.5208709+1.85580925*LN(DIAMETRO)+0.96207943*LN(ALTURATOTAL))"/>
    <n v="0.12712499118476892"/>
  </r>
  <r>
    <n v="8"/>
    <x v="2"/>
    <n v="4"/>
    <n v="59"/>
    <n v="66"/>
    <s v="Leguminosae"/>
    <s v="Lonchocarpus rugosus"/>
    <s v="Kanasin"/>
    <n v="32"/>
    <n v="10.185916357881302"/>
    <n v="9"/>
    <n v="13"/>
    <m/>
    <s v="C"/>
    <s v="S"/>
    <x v="0"/>
    <x v="4"/>
    <x v="1"/>
    <n v="5"/>
    <s v="Vol = Exp(-9.5208709+1.85580925*LN(DIAMETRO)+0.96207943*LN(ALTURATOTAL))"/>
    <n v="6.4194262038205441E-2"/>
  </r>
  <r>
    <n v="9"/>
    <x v="2"/>
    <n v="1"/>
    <n v="1"/>
    <n v="1"/>
    <s v="Sapotaceae"/>
    <s v="Pouteria campechiana"/>
    <s v="Kaniste"/>
    <n v="33"/>
    <n v="10.504226244065093"/>
    <n v="7"/>
    <n v="11"/>
    <m/>
    <s v="C"/>
    <s v="S"/>
    <x v="0"/>
    <x v="1"/>
    <x v="1"/>
    <n v="11"/>
    <s v="Vol = Exp(-9.88332368+1.9131735*LN(DIAMETRO)+1.07391062*LN(ALTURATOTAL))"/>
    <n v="6.0274885532040856E-2"/>
  </r>
  <r>
    <n v="10"/>
    <x v="1"/>
    <m/>
    <n v="16"/>
    <n v="16"/>
    <s v="Vitaceae "/>
    <s v="Cissus verticillata"/>
    <s v="Bejuco Cissus"/>
    <m/>
    <m/>
    <m/>
    <n v="1.8"/>
    <e v="#REF!"/>
    <m/>
    <s v="S"/>
    <x v="0"/>
    <x v="3"/>
    <x v="0"/>
    <m/>
    <m/>
    <m/>
  </r>
  <r>
    <n v="3"/>
    <x v="2"/>
    <n v="1"/>
    <n v="3"/>
    <n v="3"/>
    <s v="Sapotaceae"/>
    <s v="Pouteria campechiana"/>
    <s v="Kaniste"/>
    <n v="36"/>
    <n v="11.459155902616464"/>
    <n v="3.5"/>
    <n v="8"/>
    <m/>
    <s v="C"/>
    <s v="S"/>
    <x v="0"/>
    <x v="0"/>
    <x v="1"/>
    <n v="11"/>
    <s v="Vol = Exp(-9.88332368+1.9131735*LN(DIAMETRO)+1.07391062*LN(ALTURATOTAL))"/>
    <n v="5.0571720759831372E-2"/>
  </r>
  <r>
    <n v="7"/>
    <x v="2"/>
    <n v="4"/>
    <n v="45"/>
    <n v="48"/>
    <s v="Sapotaceae"/>
    <s v="Pouteria campechiana"/>
    <s v="Kaniste"/>
    <n v="40"/>
    <n v="12.732395447351628"/>
    <n v="3"/>
    <n v="9"/>
    <m/>
    <s v="C"/>
    <s v="S"/>
    <x v="0"/>
    <x v="1"/>
    <x v="2"/>
    <n v="11"/>
    <s v="Vol = Exp(-9.88332368+1.9131735*LN(DIAMETRO)+1.07391062*LN(ALTURATOTAL))"/>
    <n v="7.0207415625856279E-2"/>
  </r>
  <r>
    <n v="2"/>
    <x v="2"/>
    <n v="3"/>
    <n v="47"/>
    <n v="51"/>
    <s v="Sapotaceae"/>
    <s v="Pouteria campechiana"/>
    <s v="Kaniste"/>
    <n v="72"/>
    <n v="22.918311805232928"/>
    <n v="5"/>
    <n v="12"/>
    <m/>
    <s v="C"/>
    <s v="S"/>
    <x v="0"/>
    <x v="4"/>
    <x v="3"/>
    <n v="11"/>
    <s v="Vol = Exp(-9.88332368+1.9131735*LN(DIAMETRO)+1.07391062*LN(ALTURATOTAL))"/>
    <n v="0.2943991927644426"/>
  </r>
  <r>
    <n v="5"/>
    <x v="0"/>
    <n v="1"/>
    <n v="4"/>
    <n v="5"/>
    <s v="Leguminosae"/>
    <s v="Swartzia cubensis"/>
    <s v="Katalox"/>
    <n v="18"/>
    <n v="5.7295779513082321"/>
    <n v="6"/>
    <n v="9"/>
    <m/>
    <s v="C"/>
    <s v="S"/>
    <x v="0"/>
    <x v="1"/>
    <x v="0"/>
    <m/>
    <m/>
    <m/>
  </r>
  <r>
    <n v="10"/>
    <x v="1"/>
    <m/>
    <n v="17"/>
    <n v="17"/>
    <s v="Smilacaceae"/>
    <s v="Smilax mollis"/>
    <s v="Bejuco diente de perro"/>
    <m/>
    <m/>
    <m/>
    <n v="0.6"/>
    <e v="#REF!"/>
    <m/>
    <s v="S"/>
    <x v="0"/>
    <x v="3"/>
    <x v="0"/>
    <m/>
    <m/>
    <m/>
  </r>
  <r>
    <n v="4"/>
    <x v="0"/>
    <n v="2"/>
    <n v="8"/>
    <n v="9"/>
    <s v="Leguminosae"/>
    <s v="Swartzia cubensis"/>
    <s v="Katalox"/>
    <n v="18.5"/>
    <n v="5.8887328944001274"/>
    <n v="5"/>
    <n v="8"/>
    <m/>
    <s v="C"/>
    <s v="S"/>
    <x v="0"/>
    <x v="0"/>
    <x v="0"/>
    <m/>
    <m/>
    <m/>
  </r>
  <r>
    <n v="5"/>
    <x v="0"/>
    <n v="1"/>
    <n v="9"/>
    <n v="10"/>
    <s v="Leguminosae"/>
    <s v="Swartzia cubensis"/>
    <s v="Katalox"/>
    <n v="16"/>
    <n v="5.0929581789406511"/>
    <n v="6"/>
    <n v="8"/>
    <m/>
    <s v="C"/>
    <s v="S"/>
    <x v="0"/>
    <x v="0"/>
    <x v="0"/>
    <m/>
    <m/>
    <m/>
  </r>
  <r>
    <n v="4"/>
    <x v="0"/>
    <n v="2"/>
    <n v="11"/>
    <n v="12"/>
    <s v="Leguminosae"/>
    <s v="Swartzia cubensis"/>
    <s v="Katalox"/>
    <n v="27.5"/>
    <n v="8.753521870054243"/>
    <n v="8"/>
    <n v="12"/>
    <m/>
    <s v="C"/>
    <s v="S"/>
    <x v="0"/>
    <x v="4"/>
    <x v="1"/>
    <m/>
    <m/>
    <m/>
  </r>
  <r>
    <n v="4"/>
    <x v="0"/>
    <n v="2"/>
    <n v="12"/>
    <n v="13"/>
    <s v="Leguminosae"/>
    <s v="Swartzia cubensis"/>
    <s v="Katalox"/>
    <n v="18.5"/>
    <n v="5.8887328944001274"/>
    <n v="8"/>
    <n v="10"/>
    <m/>
    <s v="C"/>
    <s v="S"/>
    <x v="0"/>
    <x v="1"/>
    <x v="0"/>
    <m/>
    <m/>
    <m/>
  </r>
  <r>
    <n v="4"/>
    <x v="0"/>
    <n v="2"/>
    <n v="13"/>
    <n v="14"/>
    <s v="Leguminosae"/>
    <s v="Swartzia cubensis"/>
    <s v="Katalox"/>
    <n v="17"/>
    <n v="5.4112680651244416"/>
    <n v="1.3"/>
    <n v="6"/>
    <m/>
    <s v="C"/>
    <s v="S"/>
    <x v="0"/>
    <x v="2"/>
    <x v="0"/>
    <m/>
    <m/>
    <m/>
  </r>
  <r>
    <n v="5"/>
    <x v="0"/>
    <n v="2"/>
    <n v="14"/>
    <n v="15"/>
    <s v="Leguminosae"/>
    <s v="Swartzia cubensis"/>
    <s v="Katalox"/>
    <n v="27"/>
    <n v="8.5943669269623477"/>
    <n v="9"/>
    <n v="12"/>
    <m/>
    <s v="C"/>
    <s v="S"/>
    <x v="0"/>
    <x v="4"/>
    <x v="1"/>
    <m/>
    <m/>
    <m/>
  </r>
  <r>
    <n v="5"/>
    <x v="0"/>
    <n v="2"/>
    <n v="15"/>
    <n v="16"/>
    <s v="Leguminosae"/>
    <s v="Swartzia cubensis"/>
    <s v="Katalox"/>
    <n v="16.5"/>
    <n v="5.2521131220325463"/>
    <n v="6"/>
    <n v="8"/>
    <m/>
    <s v="C"/>
    <s v="S"/>
    <x v="0"/>
    <x v="0"/>
    <x v="0"/>
    <m/>
    <m/>
    <m/>
  </r>
  <r>
    <n v="4"/>
    <x v="0"/>
    <n v="2"/>
    <n v="16"/>
    <n v="17"/>
    <s v="Leguminosae"/>
    <s v="Swartzia cubensis"/>
    <s v="Katalox"/>
    <n v="17"/>
    <n v="5.4112680651244416"/>
    <n v="3"/>
    <n v="9"/>
    <m/>
    <s v="C"/>
    <s v="S"/>
    <x v="0"/>
    <x v="1"/>
    <x v="0"/>
    <m/>
    <m/>
    <m/>
  </r>
  <r>
    <n v="11"/>
    <x v="2"/>
    <n v="4"/>
    <n v="18"/>
    <n v="19"/>
    <s v="Leguminosae"/>
    <s v="Swartzia cubensis"/>
    <s v="Katalox"/>
    <n v="36.5"/>
    <n v="11.618310845708359"/>
    <n v="9"/>
    <n v="12"/>
    <m/>
    <s v="C"/>
    <s v="S"/>
    <x v="0"/>
    <x v="4"/>
    <x v="1"/>
    <n v="4"/>
    <s v="Vol = Exp(-9.67348922+1.86887607*LN(DIAMETRO)+1.01858126*LN(ALTURATOTAL))."/>
    <n v="7.7394669998741117E-2"/>
  </r>
  <r>
    <n v="5"/>
    <x v="2"/>
    <n v="2"/>
    <n v="23"/>
    <n v="25"/>
    <s v="Leguminosae"/>
    <s v="Swartzia cubensis"/>
    <s v="Katalox"/>
    <n v="32.5"/>
    <n v="10.345071300973197"/>
    <n v="5.5"/>
    <n v="10"/>
    <m/>
    <s v="C"/>
    <s v="S"/>
    <x v="0"/>
    <x v="1"/>
    <x v="1"/>
    <n v="4"/>
    <s v="Vol = Exp(-9.67348922+1.86887607*LN(DIAMETRO)+1.01858126*LN(ALTURATOTAL))."/>
    <n v="5.1742737848470985E-2"/>
  </r>
  <r>
    <n v="5"/>
    <x v="2"/>
    <n v="3"/>
    <n v="25"/>
    <n v="27"/>
    <s v="Leguminosae"/>
    <s v="Swartzia cubensis"/>
    <s v="Katalox"/>
    <n v="36"/>
    <n v="11.459155902616464"/>
    <n v="7"/>
    <n v="12"/>
    <m/>
    <s v="C"/>
    <s v="S"/>
    <x v="0"/>
    <x v="4"/>
    <x v="1"/>
    <n v="4"/>
    <s v="Vol = Exp(-9.67348922+1.86887607*LN(DIAMETRO)+1.01858126*LN(ALTURATOTAL))."/>
    <n v="7.5425084510373483E-2"/>
  </r>
  <r>
    <n v="5"/>
    <x v="0"/>
    <n v="4"/>
    <n v="26"/>
    <n v="28"/>
    <s v="Leguminosae"/>
    <s v="Swartzia cubensis"/>
    <s v="Katalox"/>
    <n v="23.5"/>
    <n v="7.4802823253190809"/>
    <n v="10"/>
    <n v="12"/>
    <m/>
    <s v="C"/>
    <s v="S"/>
    <x v="0"/>
    <x v="4"/>
    <x v="0"/>
    <m/>
    <m/>
    <m/>
  </r>
  <r>
    <n v="4"/>
    <x v="2"/>
    <n v="2"/>
    <n v="30"/>
    <n v="31"/>
    <s v="Leguminosae"/>
    <s v="Swartzia cubensis"/>
    <s v="Katalox"/>
    <n v="40"/>
    <n v="12.732395447351628"/>
    <n v="5"/>
    <n v="13"/>
    <m/>
    <s v="C"/>
    <s v="S"/>
    <x v="0"/>
    <x v="4"/>
    <x v="2"/>
    <n v="4"/>
    <s v="Vol = Exp(-9.67348922+1.86887607*LN(DIAMETRO)+1.01858126*LN(ALTURATOTAL))."/>
    <n v="9.9641192058036815E-2"/>
  </r>
  <r>
    <n v="5"/>
    <x v="0"/>
    <n v="4"/>
    <n v="32"/>
    <n v="34"/>
    <s v="Leguminosae"/>
    <s v="Swartzia cubensis"/>
    <s v="Katalox"/>
    <n v="23.5"/>
    <n v="7.4802823253190809"/>
    <n v="5"/>
    <n v="12"/>
    <m/>
    <s v="C"/>
    <s v="S"/>
    <x v="0"/>
    <x v="4"/>
    <x v="0"/>
    <m/>
    <m/>
    <m/>
  </r>
  <r>
    <n v="4"/>
    <x v="2"/>
    <n v="3"/>
    <n v="34"/>
    <n v="35"/>
    <s v="Leguminosae"/>
    <s v="Swartzia cubensis"/>
    <s v="Katalox"/>
    <n v="32"/>
    <n v="10.185916357881302"/>
    <n v="6"/>
    <n v="7"/>
    <m/>
    <s v="C"/>
    <s v="S"/>
    <x v="0"/>
    <x v="0"/>
    <x v="1"/>
    <n v="4"/>
    <s v="Vol = Exp(-9.67348922+1.86887607*LN(DIAMETRO)+1.01858126*LN(ALTURATOTAL))."/>
    <n v="3.4953068925715002E-2"/>
  </r>
  <r>
    <n v="4"/>
    <x v="2"/>
    <n v="3"/>
    <n v="35"/>
    <n v="36"/>
    <s v="Leguminosae"/>
    <s v="Swartzia cubensis"/>
    <s v="Katalox"/>
    <n v="40"/>
    <n v="12.732395447351628"/>
    <n v="8.5"/>
    <n v="12"/>
    <m/>
    <s v="C"/>
    <s v="S"/>
    <x v="0"/>
    <x v="4"/>
    <x v="2"/>
    <n v="4"/>
    <s v="Vol = Exp(-9.67348922+1.86887607*LN(DIAMETRO)+1.01858126*LN(ALTURATOTAL))."/>
    <n v="9.1839790546696887E-2"/>
  </r>
  <r>
    <n v="11"/>
    <x v="0"/>
    <n v="4"/>
    <n v="36"/>
    <n v="36"/>
    <s v="Leguminosae"/>
    <s v="Swartzia cubensis"/>
    <s v="Katalox"/>
    <n v="16.5"/>
    <n v="5.2521131220325463"/>
    <n v="7"/>
    <n v="9"/>
    <m/>
    <s v="C"/>
    <s v="S"/>
    <x v="0"/>
    <x v="1"/>
    <x v="0"/>
    <m/>
    <m/>
    <m/>
  </r>
  <r>
    <n v="8"/>
    <x v="2"/>
    <n v="3"/>
    <n v="39"/>
    <n v="44"/>
    <s v="Leguminosae"/>
    <s v="Swartzia cubensis"/>
    <s v="Katalox"/>
    <n v="37.5"/>
    <n v="11.93662073189215"/>
    <n v="7"/>
    <n v="14"/>
    <m/>
    <s v="C"/>
    <s v="SC"/>
    <x v="0"/>
    <x v="5"/>
    <x v="1"/>
    <n v="4"/>
    <s v="Vol = Exp(-9.67348922+1.86887607*LN(DIAMETRO)+1.01858126*LN(ALTURATOTAL))."/>
    <n v="9.5244393166173807E-2"/>
  </r>
  <r>
    <n v="8"/>
    <x v="2"/>
    <n v="3"/>
    <n v="41"/>
    <n v="46"/>
    <s v="Leguminosae"/>
    <s v="Swartzia cubensis"/>
    <s v="Katalox"/>
    <n v="41"/>
    <n v="13.050705333535419"/>
    <n v="8"/>
    <n v="13"/>
    <m/>
    <s v="C"/>
    <s v="S"/>
    <x v="0"/>
    <x v="4"/>
    <x v="2"/>
    <n v="4"/>
    <s v="Vol = Exp(-9.67348922+1.86887607*LN(DIAMETRO)+1.01858126*LN(ALTURATOTAL))."/>
    <n v="0.1043471255335823"/>
  </r>
  <r>
    <n v="1"/>
    <x v="0"/>
    <n v="2"/>
    <n v="10"/>
    <n v="10"/>
    <s v="Leguminosae"/>
    <s v="Caesalpinia gaumeri"/>
    <s v="Kitamche"/>
    <n v="25"/>
    <n v="7.9577471545947667"/>
    <n v="6"/>
    <n v="9"/>
    <m/>
    <s v="C"/>
    <s v="S"/>
    <x v="0"/>
    <x v="1"/>
    <x v="1"/>
    <m/>
    <m/>
    <m/>
  </r>
  <r>
    <n v="1"/>
    <x v="2"/>
    <n v="2"/>
    <n v="10"/>
    <n v="11"/>
    <s v="Leguminosae"/>
    <s v="Caesalpinia gaumeri"/>
    <s v="Kitamche"/>
    <n v="43"/>
    <n v="13.687325105903"/>
    <n v="1.6"/>
    <n v="6"/>
    <m/>
    <s v="C"/>
    <s v="SD"/>
    <x v="0"/>
    <x v="2"/>
    <x v="2"/>
    <n v="5"/>
    <s v="Vol = Exp(-9.5208709+1.85580925*LN(DIAMETRO)+0.96207943*LN(ALTURATOTAL))"/>
    <n v="5.2792490896479499E-2"/>
  </r>
  <r>
    <n v="1"/>
    <x v="0"/>
    <n v="3"/>
    <n v="20"/>
    <n v="20"/>
    <s v="Leguminosae"/>
    <s v="Caesalpinia gaumeri"/>
    <s v="Kitamche"/>
    <n v="18"/>
    <n v="5.7295779513082321"/>
    <n v="5"/>
    <n v="12"/>
    <m/>
    <s v="C"/>
    <s v="S"/>
    <x v="0"/>
    <x v="4"/>
    <x v="0"/>
    <m/>
    <m/>
    <m/>
  </r>
  <r>
    <n v="9"/>
    <x v="0"/>
    <n v="4"/>
    <n v="41"/>
    <n v="41"/>
    <s v="Leguminosae"/>
    <s v="Caesalpinia gaumeri"/>
    <s v="Kitamche"/>
    <n v="17"/>
    <n v="5.4112680651244416"/>
    <n v="5"/>
    <n v="9"/>
    <m/>
    <s v="C"/>
    <s v="S"/>
    <x v="0"/>
    <x v="1"/>
    <x v="0"/>
    <m/>
    <m/>
    <m/>
  </r>
  <r>
    <n v="9"/>
    <x v="0"/>
    <n v="4"/>
    <n v="46"/>
    <n v="46"/>
    <s v="Leguminosae"/>
    <s v="Caesalpinia gaumeri"/>
    <s v="Kitamche"/>
    <n v="17.5"/>
    <n v="5.5704230082163368"/>
    <n v="8"/>
    <n v="10"/>
    <m/>
    <s v="C"/>
    <s v="S"/>
    <x v="0"/>
    <x v="1"/>
    <x v="0"/>
    <m/>
    <m/>
    <m/>
  </r>
  <r>
    <n v="6"/>
    <x v="2"/>
    <n v="4"/>
    <n v="17"/>
    <n v="18"/>
    <s v="Boraginaceae"/>
    <s v="Bourreria pulchra "/>
    <s v="Bakal che'"/>
    <n v="33.5"/>
    <n v="10.663381187156988"/>
    <n v="3.5"/>
    <n v="10"/>
    <m/>
    <s v="C"/>
    <s v="S"/>
    <x v="0"/>
    <x v="1"/>
    <x v="1"/>
    <n v="14"/>
    <s v="Vol = Exp(-9.52375084+1.81551953*LN(DIAMETRO)+1.03039019*LN(ALTURATOTAL))"/>
    <n v="5.760246666265334E-2"/>
  </r>
  <r>
    <n v="1"/>
    <x v="0"/>
    <n v="4"/>
    <n v="25"/>
    <n v="25"/>
    <s v="Leguminosae"/>
    <s v="Bauhinia divaricata"/>
    <s v="Maay wakax"/>
    <n v="17"/>
    <n v="5.4112680651244416"/>
    <n v="3"/>
    <n v="9"/>
    <m/>
    <s v="C"/>
    <s v="S"/>
    <x v="0"/>
    <x v="1"/>
    <x v="0"/>
    <m/>
    <m/>
    <m/>
  </r>
  <r>
    <n v="8"/>
    <x v="2"/>
    <n v="1"/>
    <n v="8"/>
    <n v="9"/>
    <s v="Arecaceae"/>
    <s v="Thrinax radiata"/>
    <s v="Palma chit"/>
    <n v="40"/>
    <n v="12.732395447351628"/>
    <n v="1.9"/>
    <n v="5"/>
    <m/>
    <s v="R"/>
    <s v="S"/>
    <x v="0"/>
    <x v="2"/>
    <x v="2"/>
    <m/>
    <m/>
    <m/>
  </r>
  <r>
    <n v="10"/>
    <x v="1"/>
    <m/>
    <n v="18"/>
    <n v="18"/>
    <s v="Vitaceae "/>
    <s v="Cissus verticillata"/>
    <s v="Bejuco Cissus"/>
    <m/>
    <m/>
    <m/>
    <n v="0.1"/>
    <e v="#REF!"/>
    <m/>
    <s v="S"/>
    <x v="0"/>
    <x v="3"/>
    <x v="0"/>
    <m/>
    <m/>
    <m/>
  </r>
  <r>
    <n v="10"/>
    <x v="1"/>
    <m/>
    <n v="19"/>
    <n v="19"/>
    <s v="Vitaceae "/>
    <s v="Cissus verticillata"/>
    <s v="Bejuco Cissus"/>
    <m/>
    <m/>
    <m/>
    <n v="0.6"/>
    <e v="#REF!"/>
    <m/>
    <s v="S"/>
    <x v="0"/>
    <x v="3"/>
    <x v="0"/>
    <m/>
    <m/>
    <m/>
  </r>
  <r>
    <n v="8"/>
    <x v="2"/>
    <n v="1"/>
    <n v="3"/>
    <n v="3"/>
    <s v="Simaroubaceae"/>
    <s v="Simarouba amara"/>
    <s v="Pasak"/>
    <n v="49"/>
    <n v="15.597184423005743"/>
    <n v="8"/>
    <n v="10"/>
    <m/>
    <s v="C"/>
    <s v="S"/>
    <x v="0"/>
    <x v="1"/>
    <x v="2"/>
    <n v="13"/>
    <s v="Vol = Exp(-9.84052491+1.92716537*LN(DIAMETRO)+1.00282618*LN(ALTURATOTAL))."/>
    <n v="0.1067426174866082"/>
  </r>
  <r>
    <n v="4"/>
    <x v="2"/>
    <n v="2"/>
    <n v="27"/>
    <n v="28"/>
    <s v="Simaroubaceae"/>
    <s v="Simarouba amara"/>
    <s v="Pasak"/>
    <n v="32.5"/>
    <n v="10.345071300973197"/>
    <n v="3"/>
    <n v="8"/>
    <m/>
    <s v="C"/>
    <s v="SD"/>
    <x v="0"/>
    <x v="0"/>
    <x v="1"/>
    <n v="13"/>
    <s v="Vol = Exp(-9.84052491+1.92716537*LN(DIAMETRO)+1.00282618*LN(ALTURATOTAL))."/>
    <n v="3.8682617447481221E-2"/>
  </r>
  <r>
    <n v="11"/>
    <x v="0"/>
    <n v="3"/>
    <n v="28"/>
    <n v="28"/>
    <s v="Simaroubaceae"/>
    <s v="Simarouba amara"/>
    <s v="Pasak"/>
    <n v="27"/>
    <n v="8.5943669269623477"/>
    <n v="7"/>
    <n v="12"/>
    <m/>
    <s v="C"/>
    <s v="S"/>
    <x v="0"/>
    <x v="4"/>
    <x v="1"/>
    <m/>
    <m/>
    <m/>
  </r>
  <r>
    <n v="2"/>
    <x v="2"/>
    <n v="2"/>
    <n v="30"/>
    <n v="31"/>
    <s v="Simaroubaceae"/>
    <s v="Simarouba amara"/>
    <s v="Pasak"/>
    <n v="52.5"/>
    <n v="16.71126902464901"/>
    <n v="7"/>
    <n v="13"/>
    <m/>
    <s v="C"/>
    <s v="S"/>
    <x v="0"/>
    <x v="4"/>
    <x v="2"/>
    <n v="13"/>
    <s v="Vol = Exp(-9.84052491+1.92716537*LN(DIAMETRO)+1.00282618*LN(ALTURATOTAL))."/>
    <n v="0.15861611605268491"/>
  </r>
  <r>
    <n v="7"/>
    <x v="2"/>
    <n v="4"/>
    <n v="36"/>
    <n v="39"/>
    <s v="Simaroubaceae"/>
    <s v="Simarouba amara"/>
    <s v="Pasak"/>
    <n v="32"/>
    <n v="10.185916357881302"/>
    <n v="5"/>
    <n v="10"/>
    <m/>
    <s v="C"/>
    <s v="S"/>
    <x v="0"/>
    <x v="1"/>
    <x v="1"/>
    <n v="13"/>
    <s v="Vol = Exp(-9.84052491+1.92716537*LN(DIAMETRO)+1.00282618*LN(ALTURATOTAL))."/>
    <n v="4.6959494047362563E-2"/>
  </r>
  <r>
    <n v="7"/>
    <x v="2"/>
    <n v="4"/>
    <n v="37"/>
    <n v="40"/>
    <s v="Simaroubaceae"/>
    <s v="Simarouba amara"/>
    <s v="Pasak"/>
    <n v="33"/>
    <n v="10.504226244065093"/>
    <n v="8"/>
    <n v="12"/>
    <m/>
    <s v="C"/>
    <s v="S"/>
    <x v="0"/>
    <x v="4"/>
    <x v="1"/>
    <n v="13"/>
    <s v="Vol = Exp(-9.84052491+1.92716537*LN(DIAMETRO)+1.00282618*LN(ALTURATOTAL))."/>
    <n v="5.9825040252638385E-2"/>
  </r>
  <r>
    <n v="3"/>
    <x v="2"/>
    <n v="4"/>
    <n v="50"/>
    <n v="59"/>
    <s v="Simaroubaceae"/>
    <s v="Simarouba amara"/>
    <s v="Pasak"/>
    <n v="43"/>
    <n v="13.687325105903"/>
    <n v="6"/>
    <n v="12"/>
    <m/>
    <s v="C"/>
    <s v="S"/>
    <x v="0"/>
    <x v="4"/>
    <x v="2"/>
    <n v="13"/>
    <s v="Vol = Exp(-9.84052491+1.92716537*LN(DIAMETRO)+1.00282618*LN(ALTURATOTAL))."/>
    <n v="9.9636706000216499E-2"/>
  </r>
  <r>
    <n v="10"/>
    <x v="1"/>
    <m/>
    <n v="20"/>
    <n v="20"/>
    <s v="Vitaceae "/>
    <s v="Cissus verticillata"/>
    <s v="Bejuco Cissus"/>
    <m/>
    <m/>
    <m/>
    <n v="0.4"/>
    <e v="#REF!"/>
    <m/>
    <s v="S"/>
    <x v="0"/>
    <x v="3"/>
    <x v="0"/>
    <m/>
    <m/>
    <m/>
  </r>
  <r>
    <n v="10"/>
    <x v="1"/>
    <m/>
    <n v="21"/>
    <n v="21"/>
    <s v="Vitaceae "/>
    <s v="Cissus verticillata"/>
    <s v="Bejuco Cissus"/>
    <m/>
    <m/>
    <m/>
    <n v="3"/>
    <e v="#REF!"/>
    <m/>
    <s v="S"/>
    <x v="0"/>
    <x v="3"/>
    <x v="0"/>
    <m/>
    <m/>
    <m/>
  </r>
  <r>
    <n v="10"/>
    <x v="1"/>
    <m/>
    <n v="22"/>
    <n v="22"/>
    <s v="Leguminosae"/>
    <s v="Lonchocarpus rugosus"/>
    <s v="Kanasin"/>
    <m/>
    <m/>
    <m/>
    <n v="0.25"/>
    <e v="#REF!"/>
    <m/>
    <s v="S"/>
    <x v="0"/>
    <x v="3"/>
    <x v="0"/>
    <m/>
    <m/>
    <m/>
  </r>
  <r>
    <n v="4"/>
    <x v="0"/>
    <n v="1"/>
    <s v="5A"/>
    <n v="6"/>
    <s v="Araliaceae"/>
    <s v="Dendropanax arboreus"/>
    <s v="Sak chacaj"/>
    <n v="17.5"/>
    <n v="5.5704230082163368"/>
    <n v="5"/>
    <n v="8"/>
    <m/>
    <s v="C"/>
    <s v="S"/>
    <x v="1"/>
    <x v="0"/>
    <x v="0"/>
    <m/>
    <m/>
    <m/>
  </r>
  <r>
    <n v="10"/>
    <x v="0"/>
    <n v="1"/>
    <n v="6"/>
    <n v="6"/>
    <s v="Araliaceae"/>
    <s v="Dendropanax arboreus"/>
    <s v="Sak chacaj"/>
    <n v="28"/>
    <n v="8.91267681314614"/>
    <n v="5.5"/>
    <n v="8"/>
    <m/>
    <s v="C"/>
    <s v="S"/>
    <x v="0"/>
    <x v="0"/>
    <x v="1"/>
    <m/>
    <m/>
    <m/>
  </r>
  <r>
    <n v="10"/>
    <x v="1"/>
    <m/>
    <n v="23"/>
    <n v="23"/>
    <s v="Polygonaceae"/>
    <s v="Coccoloba acapulcensis"/>
    <s v="Toyub"/>
    <m/>
    <m/>
    <m/>
    <n v="0.8"/>
    <e v="#REF!"/>
    <m/>
    <s v="S"/>
    <x v="0"/>
    <x v="3"/>
    <x v="0"/>
    <m/>
    <m/>
    <m/>
  </r>
  <r>
    <n v="10"/>
    <x v="1"/>
    <m/>
    <n v="24"/>
    <n v="24"/>
    <s v="Vitaceae "/>
    <s v="Cissus verticillata"/>
    <s v="Bejuco Cissus"/>
    <m/>
    <m/>
    <m/>
    <n v="0.2"/>
    <e v="#REF!"/>
    <m/>
    <s v="S"/>
    <x v="0"/>
    <x v="3"/>
    <x v="0"/>
    <m/>
    <m/>
    <m/>
  </r>
  <r>
    <n v="4"/>
    <x v="2"/>
    <n v="1"/>
    <n v="7"/>
    <n v="7"/>
    <s v="Araliaceae"/>
    <s v="Dendropanax arboreus"/>
    <s v="Sak chacaj"/>
    <n v="36"/>
    <n v="11.459155902616464"/>
    <n v="7"/>
    <n v="11"/>
    <m/>
    <s v="C"/>
    <s v="S"/>
    <x v="0"/>
    <x v="1"/>
    <x v="1"/>
    <n v="17"/>
    <s v="Vol = Exp(-9.52375084+1.81551953*LN(DIAMETRO)+1.03039019*LN(ALTURATOTAL))"/>
    <n v="7.2417020336136742E-2"/>
  </r>
  <r>
    <n v="10"/>
    <x v="1"/>
    <m/>
    <n v="25"/>
    <n v="25"/>
    <s v="Lauraceae"/>
    <s v="Nectandra coriacea"/>
    <s v="Aguacatillo"/>
    <m/>
    <m/>
    <m/>
    <n v="0.2"/>
    <e v="#REF!"/>
    <m/>
    <s v="S"/>
    <x v="0"/>
    <x v="3"/>
    <x v="0"/>
    <m/>
    <m/>
    <m/>
  </r>
  <r>
    <n v="2"/>
    <x v="2"/>
    <n v="1"/>
    <n v="8"/>
    <n v="8"/>
    <s v="Araliaceae"/>
    <s v="Dendropanax arboreus"/>
    <s v="Sak chacaj"/>
    <n v="56"/>
    <n v="17.82535362629228"/>
    <n v="7"/>
    <n v="12"/>
    <m/>
    <s v="C"/>
    <s v="S"/>
    <x v="0"/>
    <x v="4"/>
    <x v="4"/>
    <n v="17"/>
    <s v="Vol = Exp(-9.52375084+1.81551953*LN(DIAMETRO)+1.03039019*LN(ALTURATOTAL))"/>
    <n v="0.17666459993056352"/>
  </r>
  <r>
    <n v="8"/>
    <x v="2"/>
    <n v="1"/>
    <n v="7"/>
    <n v="8"/>
    <s v="Araliaceae"/>
    <s v="Dendropanax arboreus"/>
    <s v="Sak chacaj"/>
    <n v="38"/>
    <n v="12.095775674984045"/>
    <n v="8"/>
    <n v="14"/>
    <m/>
    <s v="C"/>
    <s v="S"/>
    <x v="0"/>
    <x v="5"/>
    <x v="1"/>
    <n v="17"/>
    <s v="Vol = Exp(-9.52375084+1.81551953*LN(DIAMETRO)+1.03039019*LN(ALTURATOTAL))"/>
    <n v="0.10242107202935821"/>
  </r>
  <r>
    <n v="5"/>
    <x v="0"/>
    <n v="1"/>
    <n v="7"/>
    <n v="8"/>
    <s v="Araliaceae"/>
    <s v="Dendropanax arboreus"/>
    <s v="Sak chacaj"/>
    <n v="21"/>
    <n v="6.6845076098596046"/>
    <n v="6"/>
    <n v="8"/>
    <m/>
    <s v="C"/>
    <s v="S"/>
    <x v="0"/>
    <x v="0"/>
    <x v="0"/>
    <m/>
    <m/>
    <m/>
  </r>
  <r>
    <n v="10"/>
    <x v="1"/>
    <m/>
    <n v="26"/>
    <n v="26"/>
    <s v="Lauraceae"/>
    <s v="Nectandra coriacea"/>
    <s v="Aguacatillo"/>
    <m/>
    <m/>
    <m/>
    <n v="0.1"/>
    <e v="#REF!"/>
    <m/>
    <s v="S"/>
    <x v="0"/>
    <x v="3"/>
    <x v="0"/>
    <m/>
    <m/>
    <m/>
  </r>
  <r>
    <n v="5"/>
    <x v="0"/>
    <n v="1"/>
    <n v="8"/>
    <n v="9"/>
    <s v="Araliaceae"/>
    <s v="Dendropanax arboreus"/>
    <s v="Sak chacaj"/>
    <n v="24"/>
    <n v="7.6394372684109761"/>
    <n v="5"/>
    <n v="8"/>
    <m/>
    <s v="C"/>
    <s v="S"/>
    <x v="0"/>
    <x v="0"/>
    <x v="1"/>
    <m/>
    <m/>
    <m/>
  </r>
  <r>
    <n v="11"/>
    <x v="1"/>
    <m/>
    <n v="1"/>
    <n v="1"/>
    <s v="Arecaceae"/>
    <s v="Sabal yapa "/>
    <s v="Xa'an"/>
    <m/>
    <m/>
    <m/>
    <n v="3.5"/>
    <e v="#REF!"/>
    <m/>
    <s v="S"/>
    <x v="0"/>
    <x v="3"/>
    <x v="0"/>
    <m/>
    <m/>
    <m/>
  </r>
  <r>
    <n v="8"/>
    <x v="2"/>
    <n v="1"/>
    <n v="10"/>
    <n v="11"/>
    <s v="Araliaceae"/>
    <s v="Dendropanax arboreus"/>
    <s v="Sak chacaj"/>
    <n v="46"/>
    <n v="14.642254764454371"/>
    <n v="5"/>
    <n v="13"/>
    <m/>
    <s v="C"/>
    <s v="S"/>
    <x v="0"/>
    <x v="4"/>
    <x v="2"/>
    <n v="17"/>
    <s v="Vol = Exp(-9.52375084+1.81551953*LN(DIAMETRO)+1.03039019*LN(ALTURATOTAL))"/>
    <n v="0.1342356528954648"/>
  </r>
  <r>
    <n v="10"/>
    <x v="0"/>
    <n v="1"/>
    <n v="11"/>
    <n v="11"/>
    <s v="Araliaceae"/>
    <s v="Dendropanax arboreus"/>
    <s v="Sak chacaj"/>
    <n v="18.5"/>
    <n v="5.8887328944001274"/>
    <n v="6"/>
    <n v="9"/>
    <m/>
    <s v="C"/>
    <s v="S"/>
    <x v="0"/>
    <x v="1"/>
    <x v="0"/>
    <m/>
    <m/>
    <m/>
  </r>
  <r>
    <n v="8"/>
    <x v="2"/>
    <n v="1"/>
    <n v="11"/>
    <n v="12"/>
    <s v="Araliaceae"/>
    <s v="Dendropanax arboreus"/>
    <s v="Sak chacaj"/>
    <n v="42"/>
    <n v="13.369015219719209"/>
    <n v="6"/>
    <n v="10"/>
    <m/>
    <s v="C"/>
    <s v="S"/>
    <x v="0"/>
    <x v="1"/>
    <x v="2"/>
    <n v="17"/>
    <s v="Vol = Exp(-9.52375084+1.81551953*LN(DIAMETRO)+1.03039019*LN(ALTURATOTAL))"/>
    <n v="8.6842684246796406E-2"/>
  </r>
  <r>
    <n v="1"/>
    <x v="0"/>
    <n v="2"/>
    <n v="12"/>
    <n v="12"/>
    <s v="Araliaceae"/>
    <s v="Dendropanax arboreus"/>
    <s v="Sak chacaj"/>
    <n v="20"/>
    <n v="6.366197723675814"/>
    <n v="6"/>
    <n v="9"/>
    <m/>
    <s v="C"/>
    <s v="S"/>
    <x v="0"/>
    <x v="1"/>
    <x v="0"/>
    <m/>
    <m/>
    <m/>
  </r>
  <r>
    <n v="5"/>
    <x v="0"/>
    <n v="2"/>
    <n v="12"/>
    <n v="13"/>
    <s v="Araliaceae"/>
    <s v="Dendropanax arboreus"/>
    <s v="Sak chacaj"/>
    <n v="17"/>
    <n v="5.4112680651244416"/>
    <n v="3"/>
    <n v="8"/>
    <m/>
    <s v="C"/>
    <s v="S"/>
    <x v="0"/>
    <x v="0"/>
    <x v="0"/>
    <m/>
    <m/>
    <m/>
  </r>
  <r>
    <n v="11"/>
    <x v="1"/>
    <m/>
    <n v="2"/>
    <n v="2"/>
    <s v="Malvaceae"/>
    <s v="Hampea trilobata"/>
    <s v="Ho'ol"/>
    <m/>
    <m/>
    <m/>
    <n v="3.5"/>
    <e v="#REF!"/>
    <m/>
    <s v="S"/>
    <x v="0"/>
    <x v="3"/>
    <x v="0"/>
    <m/>
    <m/>
    <m/>
  </r>
  <r>
    <n v="8"/>
    <x v="2"/>
    <n v="1"/>
    <n v="13"/>
    <n v="14"/>
    <s v="Araliaceae"/>
    <s v="Dendropanax arboreus"/>
    <s v="Sak chacaj"/>
    <n v="49.5"/>
    <n v="15.756339366097638"/>
    <n v="6"/>
    <n v="14"/>
    <m/>
    <s v="C"/>
    <s v="S"/>
    <x v="0"/>
    <x v="5"/>
    <x v="2"/>
    <n v="17"/>
    <s v="Vol = Exp(-9.52375084+1.81551953*LN(DIAMETRO)+1.03039019*LN(ALTURATOTAL))"/>
    <n v="0.16551988606149298"/>
  </r>
  <r>
    <n v="8"/>
    <x v="0"/>
    <n v="2"/>
    <n v="14"/>
    <n v="14"/>
    <s v="Araliaceae"/>
    <s v="Dendropanax arboreus"/>
    <s v="Sak chacaj"/>
    <n v="19"/>
    <n v="6.0478878374920226"/>
    <n v="6"/>
    <n v="9"/>
    <m/>
    <s v="C"/>
    <s v="S"/>
    <x v="0"/>
    <x v="1"/>
    <x v="0"/>
    <m/>
    <m/>
    <m/>
  </r>
  <r>
    <n v="4"/>
    <x v="2"/>
    <n v="1"/>
    <n v="15"/>
    <n v="15"/>
    <s v="Araliaceae"/>
    <s v="Dendropanax arboreus"/>
    <s v="Sak chacaj"/>
    <n v="39"/>
    <n v="12.414085561167836"/>
    <n v="6"/>
    <n v="13"/>
    <m/>
    <s v="C"/>
    <s v="S"/>
    <x v="0"/>
    <x v="4"/>
    <x v="1"/>
    <n v="17"/>
    <s v="Vol = Exp(-9.52375084+1.81551953*LN(DIAMETRO)+1.03039019*LN(ALTURATOTAL))"/>
    <n v="9.9473507092131805E-2"/>
  </r>
  <r>
    <n v="1"/>
    <x v="2"/>
    <n v="2"/>
    <n v="13"/>
    <n v="16"/>
    <s v="Araliaceae"/>
    <s v="Dendropanax arboreus"/>
    <s v="Sak chacaj"/>
    <n v="40.5"/>
    <n v="12.891550390443523"/>
    <n v="7"/>
    <n v="14"/>
    <m/>
    <s v="C"/>
    <s v="S"/>
    <x v="0"/>
    <x v="5"/>
    <x v="2"/>
    <n v="17"/>
    <s v="Vol = Exp(-9.52375084+1.81551953*LN(DIAMETRO)+1.03039019*LN(ALTURATOTAL))"/>
    <n v="0.11498133126508182"/>
  </r>
  <r>
    <n v="8"/>
    <x v="0"/>
    <n v="2"/>
    <n v="16"/>
    <n v="16"/>
    <s v="Araliaceae"/>
    <s v="Dendropanax arboreus"/>
    <s v="Sak chacaj"/>
    <n v="22"/>
    <n v="7.0028174960433951"/>
    <n v="7"/>
    <n v="10"/>
    <m/>
    <s v="C"/>
    <s v="S"/>
    <x v="0"/>
    <x v="1"/>
    <x v="0"/>
    <m/>
    <m/>
    <m/>
  </r>
  <r>
    <n v="8"/>
    <x v="0"/>
    <n v="3"/>
    <n v="17"/>
    <n v="17"/>
    <s v="Araliaceae"/>
    <s v="Dendropanax arboreus"/>
    <s v="Sak chacaj"/>
    <n v="27"/>
    <n v="8.5943669269623477"/>
    <n v="6"/>
    <n v="9"/>
    <m/>
    <s v="C"/>
    <s v="S"/>
    <x v="0"/>
    <x v="1"/>
    <x v="1"/>
    <m/>
    <m/>
    <m/>
  </r>
  <r>
    <n v="1"/>
    <x v="0"/>
    <n v="3"/>
    <n v="18"/>
    <n v="18"/>
    <s v="Araliaceae"/>
    <s v="Dendropanax arboreus"/>
    <s v="Sak chacaj"/>
    <n v="16.5"/>
    <n v="5.2521131220325463"/>
    <n v="1.6"/>
    <n v="3.5"/>
    <m/>
    <s v="C"/>
    <s v="S"/>
    <x v="0"/>
    <x v="3"/>
    <x v="0"/>
    <m/>
    <m/>
    <m/>
  </r>
  <r>
    <n v="3"/>
    <x v="0"/>
    <n v="4"/>
    <n v="18"/>
    <n v="18"/>
    <s v="Araliaceae"/>
    <s v="Dendropanax arboreus"/>
    <s v="Sak chacaj"/>
    <n v="16"/>
    <n v="5.0929581789406511"/>
    <n v="3"/>
    <n v="8"/>
    <m/>
    <s v="C"/>
    <s v="S"/>
    <x v="0"/>
    <x v="0"/>
    <x v="0"/>
    <m/>
    <m/>
    <m/>
  </r>
  <r>
    <n v="10"/>
    <x v="0"/>
    <n v="2"/>
    <n v="18"/>
    <n v="18"/>
    <s v="Araliaceae"/>
    <s v="Dendropanax arboreus"/>
    <s v="Sak chacaj"/>
    <n v="16"/>
    <n v="5.0929581789406511"/>
    <n v="4"/>
    <n v="9"/>
    <m/>
    <s v="C"/>
    <s v="S"/>
    <x v="0"/>
    <x v="1"/>
    <x v="0"/>
    <m/>
    <m/>
    <m/>
  </r>
  <r>
    <n v="2"/>
    <x v="2"/>
    <n v="1"/>
    <n v="19"/>
    <n v="19"/>
    <s v="Araliaceae"/>
    <s v="Dendropanax arboreus"/>
    <s v="Sak chacaj"/>
    <n v="38"/>
    <n v="12.095775674984045"/>
    <n v="7"/>
    <n v="13"/>
    <m/>
    <s v="C"/>
    <s v="S"/>
    <x v="0"/>
    <x v="4"/>
    <x v="1"/>
    <n v="17"/>
    <s v="Vol = Exp(-9.52375084+1.81551953*LN(DIAMETRO)+1.03039019*LN(ALTURATOTAL))"/>
    <n v="9.4891330317624589E-2"/>
  </r>
  <r>
    <n v="8"/>
    <x v="2"/>
    <n v="2"/>
    <n v="17"/>
    <n v="19"/>
    <s v="Araliaceae"/>
    <s v="Dendropanax arboreus"/>
    <s v="Sak chacaj"/>
    <n v="36"/>
    <n v="11.459155902616464"/>
    <n v="10"/>
    <n v="13"/>
    <m/>
    <s v="C"/>
    <s v="S"/>
    <x v="0"/>
    <x v="4"/>
    <x v="1"/>
    <n v="17"/>
    <s v="Vol = Exp(-9.52375084+1.81551953*LN(DIAMETRO)+1.03039019*LN(ALTURATOTAL))"/>
    <n v="8.6019348139417251E-2"/>
  </r>
  <r>
    <n v="5"/>
    <x v="0"/>
    <n v="3"/>
    <n v="18"/>
    <n v="19"/>
    <s v="Araliaceae"/>
    <s v="Dendropanax arboreus"/>
    <s v="Sak chacaj"/>
    <n v="23"/>
    <n v="7.3211273822271856"/>
    <n v="6"/>
    <n v="11"/>
    <m/>
    <s v="C"/>
    <s v="S"/>
    <x v="0"/>
    <x v="1"/>
    <x v="0"/>
    <m/>
    <m/>
    <m/>
  </r>
  <r>
    <n v="11"/>
    <x v="2"/>
    <n v="4"/>
    <n v="19"/>
    <n v="20"/>
    <s v="Araliaceae"/>
    <s v="Dendropanax arboreus"/>
    <s v="Sak chacaj"/>
    <n v="32"/>
    <n v="10.185916357881302"/>
    <n v="6"/>
    <n v="12"/>
    <m/>
    <s v="C"/>
    <s v="S"/>
    <x v="0"/>
    <x v="4"/>
    <x v="1"/>
    <n v="17"/>
    <s v="Vol = Exp(-9.52375084+1.81551953*LN(DIAMETRO)+1.03039019*LN(ALTURATOTAL))"/>
    <n v="6.3960111229385122E-2"/>
  </r>
  <r>
    <n v="10"/>
    <x v="0"/>
    <n v="2"/>
    <n v="20"/>
    <n v="20"/>
    <s v="Araliaceae"/>
    <s v="Dendropanax arboreus"/>
    <s v="Sak chacaj"/>
    <n v="17"/>
    <n v="5.4112680651244416"/>
    <n v="2.2000000000000002"/>
    <n v="6.5"/>
    <m/>
    <s v="C"/>
    <s v="S"/>
    <x v="0"/>
    <x v="0"/>
    <x v="0"/>
    <m/>
    <m/>
    <m/>
  </r>
  <r>
    <n v="1"/>
    <x v="0"/>
    <n v="3"/>
    <n v="21"/>
    <n v="21"/>
    <s v="Araliaceae"/>
    <s v="Dendropanax arboreus"/>
    <s v="Sak chacaj"/>
    <n v="25"/>
    <n v="7.9577471545947667"/>
    <n v="4"/>
    <n v="10"/>
    <m/>
    <s v="C"/>
    <s v="S"/>
    <x v="0"/>
    <x v="1"/>
    <x v="1"/>
    <m/>
    <m/>
    <m/>
  </r>
  <r>
    <n v="10"/>
    <x v="0"/>
    <n v="2"/>
    <n v="21"/>
    <n v="21"/>
    <s v="Araliaceae"/>
    <s v="Dendropanax arboreus"/>
    <s v="Sak chacaj"/>
    <n v="30.5"/>
    <n v="9.7084515286056163"/>
    <n v="6.5"/>
    <n v="12"/>
    <m/>
    <s v="C"/>
    <s v="S"/>
    <x v="0"/>
    <x v="4"/>
    <x v="1"/>
    <m/>
    <m/>
    <m/>
  </r>
  <r>
    <n v="4"/>
    <x v="2"/>
    <n v="2"/>
    <n v="21"/>
    <n v="22"/>
    <s v="Araliaceae"/>
    <s v="Dendropanax arboreus"/>
    <s v="Sak chacaj"/>
    <n v="44.5"/>
    <n v="14.164789935178685"/>
    <n v="5"/>
    <n v="12"/>
    <m/>
    <s v="C"/>
    <s v="S"/>
    <x v="0"/>
    <x v="4"/>
    <x v="2"/>
    <n v="17"/>
    <s v="Vol = Exp(-9.52375084+1.81551953*LN(DIAMETRO)+1.03039019*LN(ALTURATOTAL))"/>
    <n v="0.11638843311567737"/>
  </r>
  <r>
    <n v="4"/>
    <x v="0"/>
    <n v="3"/>
    <n v="21"/>
    <n v="22"/>
    <s v="Araliaceae"/>
    <s v="Dendropanax arboreus"/>
    <s v="Sak chacaj"/>
    <n v="27"/>
    <n v="8.5943669269623477"/>
    <n v="5"/>
    <n v="8"/>
    <m/>
    <s v="C"/>
    <s v="S"/>
    <x v="0"/>
    <x v="0"/>
    <x v="1"/>
    <m/>
    <m/>
    <m/>
  </r>
  <r>
    <n v="4"/>
    <x v="2"/>
    <n v="2"/>
    <n v="22"/>
    <n v="23"/>
    <s v="Araliaceae"/>
    <s v="Dendropanax arboreus"/>
    <s v="Sak chacaj"/>
    <n v="34.5"/>
    <n v="10.981691073340778"/>
    <n v="6"/>
    <n v="9"/>
    <m/>
    <s v="C"/>
    <s v="S"/>
    <x v="0"/>
    <x v="1"/>
    <x v="1"/>
    <n v="17"/>
    <s v="Vol = Exp(-9.52375084+1.81551953*LN(DIAMETRO)+1.03039019*LN(ALTURATOTAL))"/>
    <n v="5.4511104438907373E-2"/>
  </r>
  <r>
    <n v="4"/>
    <x v="0"/>
    <n v="4"/>
    <n v="22"/>
    <n v="23"/>
    <s v="Araliaceae"/>
    <s v="Dendropanax arboreus"/>
    <s v="Sak chacaj"/>
    <n v="30"/>
    <n v="9.5492965855137211"/>
    <n v="4"/>
    <n v="8"/>
    <m/>
    <s v="C"/>
    <s v="S"/>
    <x v="0"/>
    <x v="0"/>
    <x v="1"/>
    <m/>
    <m/>
    <m/>
  </r>
  <r>
    <n v="4"/>
    <x v="0"/>
    <n v="4"/>
    <n v="23"/>
    <n v="24"/>
    <s v="Araliaceae"/>
    <s v="Dendropanax arboreus"/>
    <s v="Sak chacaj"/>
    <n v="20.5"/>
    <n v="6.5253526667677093"/>
    <n v="5"/>
    <n v="7"/>
    <m/>
    <s v="C"/>
    <s v="S"/>
    <x v="0"/>
    <x v="0"/>
    <x v="0"/>
    <m/>
    <m/>
    <m/>
  </r>
  <r>
    <n v="5"/>
    <x v="0"/>
    <n v="4"/>
    <n v="23"/>
    <n v="24"/>
    <s v="Araliaceae"/>
    <s v="Dendropanax arboreus"/>
    <s v="Sak chacaj"/>
    <n v="30"/>
    <n v="9.5492965855137211"/>
    <n v="5"/>
    <n v="10"/>
    <m/>
    <s v="CB"/>
    <s v="S"/>
    <x v="0"/>
    <x v="1"/>
    <x v="1"/>
    <m/>
    <m/>
    <m/>
  </r>
  <r>
    <n v="2"/>
    <x v="2"/>
    <n v="2"/>
    <n v="24"/>
    <n v="25"/>
    <s v="Araliaceae"/>
    <s v="Dendropanax arboreus"/>
    <s v="Sak chacaj"/>
    <n v="34.5"/>
    <n v="10.981691073340778"/>
    <n v="5.5"/>
    <n v="12"/>
    <m/>
    <s v="C"/>
    <s v="S"/>
    <x v="0"/>
    <x v="4"/>
    <x v="1"/>
    <n v="17"/>
    <s v="Vol = Exp(-9.52375084+1.81551953*LN(DIAMETRO)+1.03039019*LN(ALTURATOTAL))"/>
    <n v="7.3319691646719198E-2"/>
  </r>
  <r>
    <n v="3"/>
    <x v="2"/>
    <n v="2"/>
    <n v="25"/>
    <n v="25"/>
    <s v="Araliaceae"/>
    <s v="Dendropanax arboreus"/>
    <s v="Sak chacaj"/>
    <n v="37.5"/>
    <n v="11.93662073189215"/>
    <n v="5"/>
    <n v="10"/>
    <m/>
    <s v="C"/>
    <s v="S"/>
    <x v="0"/>
    <x v="1"/>
    <x v="1"/>
    <n v="17"/>
    <s v="Vol = Exp(-9.52375084+1.81551953*LN(DIAMETRO)+1.03039019*LN(ALTURATOTAL))"/>
    <n v="7.0693088734366083E-2"/>
  </r>
  <r>
    <n v="4"/>
    <x v="2"/>
    <n v="2"/>
    <n v="24"/>
    <n v="25"/>
    <s v="Araliaceae"/>
    <s v="Dendropanax arboreus"/>
    <s v="Sak chacaj"/>
    <n v="38.5"/>
    <n v="12.254930618075941"/>
    <n v="5.5"/>
    <n v="12"/>
    <m/>
    <s v="C"/>
    <s v="S"/>
    <x v="0"/>
    <x v="4"/>
    <x v="1"/>
    <n v="17"/>
    <s v="Vol = Exp(-9.52375084+1.81551953*LN(DIAMETRO)+1.03039019*LN(ALTURATOTAL))"/>
    <n v="8.9477727904145057E-2"/>
  </r>
  <r>
    <n v="8"/>
    <x v="2"/>
    <n v="2"/>
    <n v="23"/>
    <n v="25"/>
    <s v="Araliaceae"/>
    <s v="Dendropanax arboreus"/>
    <s v="Sak chacaj"/>
    <n v="36.5"/>
    <n v="11.618310845708359"/>
    <n v="8"/>
    <n v="12"/>
    <m/>
    <s v="C"/>
    <s v="S"/>
    <x v="0"/>
    <x v="4"/>
    <x v="1"/>
    <n v="17"/>
    <s v="Vol = Exp(-9.52375084+1.81551953*LN(DIAMETRO)+1.03039019*LN(ALTURATOTAL))"/>
    <n v="8.1218176794214197E-2"/>
  </r>
  <r>
    <n v="9"/>
    <x v="2"/>
    <n v="4"/>
    <n v="22"/>
    <n v="25"/>
    <s v="Araliaceae"/>
    <s v="Dendropanax arboreus"/>
    <s v="Sak chacaj"/>
    <n v="34.5"/>
    <n v="10.981691073340778"/>
    <n v="6"/>
    <n v="10"/>
    <m/>
    <s v="C"/>
    <s v="S"/>
    <x v="0"/>
    <x v="1"/>
    <x v="1"/>
    <n v="17"/>
    <s v="Vol = Exp(-9.52375084+1.81551953*LN(DIAMETRO)+1.03039019*LN(ALTURATOTAL))"/>
    <n v="6.0762138553092628E-2"/>
  </r>
  <r>
    <n v="5"/>
    <x v="0"/>
    <n v="4"/>
    <s v="23A"/>
    <n v="25"/>
    <s v="Araliaceae"/>
    <s v="Dendropanax arboreus"/>
    <s v="Sak chacaj"/>
    <n v="16.5"/>
    <n v="5.2521131220325463"/>
    <n v="4.5"/>
    <n v="9"/>
    <m/>
    <s v="C"/>
    <s v="S"/>
    <x v="1"/>
    <x v="1"/>
    <x v="0"/>
    <m/>
    <m/>
    <m/>
  </r>
  <r>
    <n v="5"/>
    <x v="0"/>
    <n v="4"/>
    <n v="25"/>
    <n v="27"/>
    <s v="Araliaceae"/>
    <s v="Dendropanax arboreus"/>
    <s v="Sak chacaj"/>
    <n v="18"/>
    <n v="5.7295779513082321"/>
    <n v="9"/>
    <n v="11"/>
    <m/>
    <s v="C"/>
    <s v="S"/>
    <x v="0"/>
    <x v="1"/>
    <x v="0"/>
    <m/>
    <m/>
    <m/>
  </r>
  <r>
    <n v="8"/>
    <x v="2"/>
    <n v="2"/>
    <n v="26"/>
    <n v="28"/>
    <s v="Araliaceae"/>
    <s v="Dendropanax arboreus"/>
    <s v="Sak chacaj"/>
    <n v="36"/>
    <n v="11.459155902616464"/>
    <n v="6"/>
    <n v="13"/>
    <m/>
    <s v="C"/>
    <s v="S"/>
    <x v="0"/>
    <x v="4"/>
    <x v="1"/>
    <n v="17"/>
    <s v="Vol = Exp(-9.52375084+1.81551953*LN(DIAMETRO)+1.03039019*LN(ALTURATOTAL))"/>
    <n v="8.6019348139417251E-2"/>
  </r>
  <r>
    <n v="1"/>
    <x v="2"/>
    <n v="4"/>
    <n v="27"/>
    <n v="30"/>
    <s v="Araliaceae"/>
    <s v="Dendropanax arboreus"/>
    <s v="Sak chacaj"/>
    <n v="55"/>
    <n v="17.507043740108486"/>
    <n v="7"/>
    <n v="13"/>
    <m/>
    <s v="C"/>
    <s v="S"/>
    <x v="0"/>
    <x v="4"/>
    <x v="4"/>
    <n v="17"/>
    <s v="Vol = Exp(-9.52375084+1.81551953*LN(DIAMETRO)+1.03039019*LN(ALTURATOTAL))"/>
    <n v="0.18567824151911486"/>
  </r>
  <r>
    <n v="4"/>
    <x v="2"/>
    <n v="3"/>
    <n v="33"/>
    <n v="34"/>
    <s v="Araliaceae"/>
    <s v="Dendropanax arboreus"/>
    <s v="Sak chacaj"/>
    <n v="44.5"/>
    <n v="14.164789935178685"/>
    <n v="6.5"/>
    <n v="13"/>
    <m/>
    <s v="C"/>
    <s v="S"/>
    <x v="0"/>
    <x v="4"/>
    <x v="2"/>
    <n v="17"/>
    <s v="Vol = Exp(-9.52375084+1.81551953*LN(DIAMETRO)+1.03039019*LN(ALTURATOTAL))"/>
    <n v="0.12639455196852614"/>
  </r>
  <r>
    <n v="5"/>
    <x v="2"/>
    <n v="3"/>
    <n v="32"/>
    <n v="34"/>
    <s v="Araliaceae"/>
    <s v="Dendropanax arboreus"/>
    <s v="Sak chacaj"/>
    <n v="36"/>
    <n v="11.459155902616464"/>
    <n v="6"/>
    <n v="12"/>
    <m/>
    <s v="C"/>
    <s v="S"/>
    <x v="0"/>
    <x v="4"/>
    <x v="1"/>
    <n v="17"/>
    <s v="Vol = Exp(-9.52375084+1.81551953*LN(DIAMETRO)+1.03039019*LN(ALTURATOTAL))"/>
    <n v="7.9209562371578848E-2"/>
  </r>
  <r>
    <n v="5"/>
    <x v="2"/>
    <n v="4"/>
    <n v="33"/>
    <n v="35"/>
    <s v="Araliaceae"/>
    <s v="Dendropanax arboreus"/>
    <s v="Sak chacaj"/>
    <n v="32"/>
    <n v="10.185916357881302"/>
    <n v="7"/>
    <n v="10"/>
    <m/>
    <s v="C"/>
    <s v="S"/>
    <x v="0"/>
    <x v="1"/>
    <x v="1"/>
    <n v="17"/>
    <s v="Vol = Exp(-9.52375084+1.81551953*LN(DIAMETRO)+1.03039019*LN(ALTURATOTAL))"/>
    <n v="5.3005584899578816E-2"/>
  </r>
  <r>
    <n v="5"/>
    <x v="0"/>
    <n v="4"/>
    <n v="33"/>
    <n v="35"/>
    <s v="Araliaceae"/>
    <s v="Dendropanax arboreus"/>
    <s v="Sak chacaj"/>
    <n v="27"/>
    <n v="8.5943669269623477"/>
    <n v="6"/>
    <n v="10"/>
    <m/>
    <s v="C"/>
    <s v="S"/>
    <x v="0"/>
    <x v="1"/>
    <x v="1"/>
    <m/>
    <m/>
    <m/>
  </r>
  <r>
    <n v="5"/>
    <x v="2"/>
    <n v="4"/>
    <n v="34"/>
    <n v="36"/>
    <s v="Araliaceae"/>
    <s v="Dendropanax arboreus"/>
    <s v="Sak chacaj"/>
    <n v="35.5"/>
    <n v="11.300000959524569"/>
    <n v="5.5"/>
    <n v="9"/>
    <m/>
    <s v="C"/>
    <s v="S"/>
    <x v="0"/>
    <x v="1"/>
    <x v="1"/>
    <n v="17"/>
    <s v="Vol = Exp(-9.52375084+1.81551953*LN(DIAMETRO)+1.03039019*LN(ALTURATOTAL))"/>
    <n v="5.7413527586479933E-2"/>
  </r>
  <r>
    <n v="8"/>
    <x v="2"/>
    <n v="3"/>
    <n v="31"/>
    <n v="36"/>
    <s v="Araliaceae"/>
    <s v="Dendropanax arboreus"/>
    <s v="Sak chacaj"/>
    <n v="41.5"/>
    <n v="13.209860276627314"/>
    <n v="8"/>
    <n v="12"/>
    <m/>
    <s v="C"/>
    <s v="S"/>
    <x v="0"/>
    <x v="4"/>
    <x v="2"/>
    <n v="17"/>
    <s v="Vol = Exp(-9.52375084+1.81551953*LN(DIAMETRO)+1.03039019*LN(ALTURATOTAL))"/>
    <n v="0.1025363725312375"/>
  </r>
  <r>
    <n v="5"/>
    <x v="0"/>
    <n v="4"/>
    <n v="34"/>
    <n v="36"/>
    <s v="Araliaceae"/>
    <s v="Dendropanax arboreus"/>
    <s v="Sak chacaj"/>
    <n v="21.5"/>
    <n v="6.8436625529514998"/>
    <n v="6"/>
    <n v="9"/>
    <m/>
    <s v="C"/>
    <s v="S"/>
    <x v="0"/>
    <x v="1"/>
    <x v="0"/>
    <m/>
    <m/>
    <m/>
  </r>
  <r>
    <n v="8"/>
    <x v="2"/>
    <n v="3"/>
    <n v="32"/>
    <n v="37"/>
    <s v="Araliaceae"/>
    <s v="Dendropanax arboreus"/>
    <s v="Sak chacaj"/>
    <n v="41"/>
    <n v="13.050705333535419"/>
    <n v="5"/>
    <n v="10"/>
    <m/>
    <s v="C"/>
    <s v="S"/>
    <x v="0"/>
    <x v="1"/>
    <x v="2"/>
    <n v="17"/>
    <s v="Vol = Exp(-9.52375084+1.81551953*LN(DIAMETRO)+1.03039019*LN(ALTURATOTAL))"/>
    <n v="8.3125264362633317E-2"/>
  </r>
  <r>
    <n v="5"/>
    <x v="2"/>
    <n v="4"/>
    <n v="36"/>
    <n v="38"/>
    <s v="Araliaceae"/>
    <s v="Dendropanax arboreus"/>
    <s v="Sak chacaj"/>
    <n v="38"/>
    <n v="12.095775674984045"/>
    <n v="8"/>
    <n v="13"/>
    <m/>
    <s v="C"/>
    <s v="S"/>
    <x v="0"/>
    <x v="4"/>
    <x v="1"/>
    <n v="17"/>
    <s v="Vol = Exp(-9.52375084+1.81551953*LN(DIAMETRO)+1.03039019*LN(ALTURATOTAL))"/>
    <n v="9.4891330317624589E-2"/>
  </r>
  <r>
    <n v="4"/>
    <x v="2"/>
    <n v="3"/>
    <n v="38"/>
    <n v="39"/>
    <s v="Araliaceae"/>
    <s v="Dendropanax arboreus"/>
    <s v="Sak chacaj"/>
    <n v="49.5"/>
    <n v="15.756339366097638"/>
    <n v="4"/>
    <n v="12"/>
    <m/>
    <s v="C"/>
    <s v="S"/>
    <x v="0"/>
    <x v="4"/>
    <x v="2"/>
    <n v="17"/>
    <s v="Vol = Exp(-9.52375084+1.81551953*LN(DIAMETRO)+1.03039019*LN(ALTURATOTAL))"/>
    <n v="0.141211108885963"/>
  </r>
  <r>
    <n v="8"/>
    <x v="2"/>
    <n v="3"/>
    <n v="34"/>
    <n v="39"/>
    <s v="Araliaceae"/>
    <s v="Dendropanax arboreus"/>
    <s v="Sak chacaj"/>
    <n v="45"/>
    <n v="14.323944878270581"/>
    <n v="6.5"/>
    <n v="12"/>
    <m/>
    <s v="C"/>
    <s v="S"/>
    <x v="0"/>
    <x v="4"/>
    <x v="2"/>
    <n v="17"/>
    <s v="Vol = Exp(-9.52375084+1.81551953*LN(DIAMETRO)+1.03039019*LN(ALTURATOTAL))"/>
    <n v="0.11877352207745759"/>
  </r>
  <r>
    <n v="8"/>
    <x v="2"/>
    <n v="3"/>
    <n v="35"/>
    <n v="40"/>
    <s v="Araliaceae"/>
    <s v="Dendropanax arboreus"/>
    <s v="Sak chacaj"/>
    <n v="48"/>
    <n v="15.278874536821952"/>
    <n v="8"/>
    <n v="15"/>
    <m/>
    <s v="C"/>
    <s v="S"/>
    <x v="0"/>
    <x v="5"/>
    <x v="2"/>
    <n v="17"/>
    <s v="Vol = Exp(-9.52375084+1.81551953*LN(DIAMETRO)+1.03039019*LN(ALTURATOTAL))"/>
    <n v="0.16805887690079979"/>
  </r>
  <r>
    <n v="5"/>
    <x v="2"/>
    <n v="4"/>
    <n v="39"/>
    <n v="41"/>
    <s v="Araliaceae"/>
    <s v="Dendropanax arboreus"/>
    <s v="Sak chacaj"/>
    <n v="34"/>
    <n v="10.822536130248883"/>
    <n v="8"/>
    <n v="12"/>
    <m/>
    <s v="C"/>
    <s v="S"/>
    <x v="0"/>
    <x v="4"/>
    <x v="1"/>
    <n v="17"/>
    <s v="Vol = Exp(-9.52375084+1.81551953*LN(DIAMETRO)+1.03039019*LN(ALTURATOTAL))"/>
    <n v="7.1401923725509311E-2"/>
  </r>
  <r>
    <n v="2"/>
    <x v="2"/>
    <n v="3"/>
    <n v="46"/>
    <n v="49"/>
    <s v="Araliaceae"/>
    <s v="Dendropanax arboreus"/>
    <s v="Sak chacaj"/>
    <n v="72.5"/>
    <n v="23.077466748324824"/>
    <n v="10"/>
    <n v="15"/>
    <m/>
    <s v="CB"/>
    <s v="S"/>
    <x v="0"/>
    <x v="5"/>
    <x v="3"/>
    <n v="17"/>
    <s v="Vol = Exp(-9.52375084+1.81551953*LN(DIAMETRO)+1.03039019*LN(ALTURATOTAL))"/>
    <n v="0.35531630664302144"/>
  </r>
  <r>
    <n v="2"/>
    <x v="2"/>
    <n v="3"/>
    <s v="46A"/>
    <n v="50"/>
    <s v="Araliaceae"/>
    <s v="Dendropanax arboreus"/>
    <s v="Sak chacaj"/>
    <n v="69.5"/>
    <n v="22.122537089773452"/>
    <n v="10"/>
    <n v="15"/>
    <m/>
    <s v="C"/>
    <s v="S"/>
    <x v="1"/>
    <x v="5"/>
    <x v="4"/>
    <n v="17"/>
    <s v="Vol = Exp(-9.52375084+1.81551953*LN(DIAMETRO)+1.03039019*LN(ALTURATOTAL))"/>
    <n v="0.32907473673461679"/>
  </r>
  <r>
    <n v="4"/>
    <x v="2"/>
    <n v="4"/>
    <n v="50"/>
    <n v="52"/>
    <s v="Araliaceae"/>
    <s v="Dendropanax arboreus"/>
    <s v="Sak chacaj"/>
    <n v="50"/>
    <n v="15.915494309189533"/>
    <n v="7"/>
    <n v="13"/>
    <m/>
    <s v="C"/>
    <s v="S"/>
    <x v="0"/>
    <x v="4"/>
    <x v="2"/>
    <n v="17"/>
    <s v="Vol = Exp(-9.52375084+1.81551953*LN(DIAMETRO)+1.03039019*LN(ALTURATOTAL))"/>
    <n v="0.15617509764181392"/>
  </r>
  <r>
    <n v="4"/>
    <x v="2"/>
    <n v="4"/>
    <n v="52"/>
    <n v="54"/>
    <s v="Araliaceae"/>
    <s v="Dendropanax arboreus"/>
    <s v="Sak chacaj"/>
    <n v="36.5"/>
    <n v="11.618310845708359"/>
    <n v="9"/>
    <n v="13"/>
    <m/>
    <s v="C"/>
    <s v="S"/>
    <x v="0"/>
    <x v="4"/>
    <x v="1"/>
    <n v="17"/>
    <s v="Vol = Exp(-9.52375084+1.81551953*LN(DIAMETRO)+1.03039019*LN(ALTURATOTAL))"/>
    <n v="8.8200646686277084E-2"/>
  </r>
  <r>
    <n v="1"/>
    <x v="0"/>
    <n v="1"/>
    <n v="1"/>
    <n v="1"/>
    <s v="Araliaceae"/>
    <s v="Dendropanax arboreus"/>
    <s v="Sak chacaj"/>
    <n v="16"/>
    <n v="5.0929581789406511"/>
    <n v="6"/>
    <n v="8"/>
    <m/>
    <s v="C"/>
    <s v="S"/>
    <x v="0"/>
    <x v="0"/>
    <x v="0"/>
    <m/>
    <m/>
    <m/>
  </r>
  <r>
    <n v="10"/>
    <x v="0"/>
    <n v="1"/>
    <n v="1"/>
    <n v="1"/>
    <s v="Araliaceae"/>
    <s v="Dendropanax arboreus"/>
    <s v="Sak chacaj"/>
    <n v="21.5"/>
    <n v="6.8436625529514998"/>
    <n v="4"/>
    <n v="10"/>
    <m/>
    <s v="C"/>
    <s v="S"/>
    <x v="0"/>
    <x v="1"/>
    <x v="0"/>
    <m/>
    <m/>
    <m/>
  </r>
  <r>
    <n v="11"/>
    <x v="1"/>
    <m/>
    <n v="3"/>
    <n v="3"/>
    <s v="Malvaceae"/>
    <s v="Hampea trilobata"/>
    <s v="Ho'ol"/>
    <m/>
    <m/>
    <m/>
    <n v="6"/>
    <e v="#REF!"/>
    <m/>
    <s v="S"/>
    <x v="0"/>
    <x v="2"/>
    <x v="0"/>
    <m/>
    <m/>
    <m/>
  </r>
  <r>
    <n v="5"/>
    <x v="2"/>
    <n v="1"/>
    <n v="3"/>
    <n v="3"/>
    <s v="Araliaceae"/>
    <s v="Dendropanax arboreus"/>
    <s v="Sak chacaj"/>
    <n v="38.5"/>
    <n v="12.254930618075941"/>
    <n v="9"/>
    <n v="12"/>
    <m/>
    <s v="C"/>
    <s v="S"/>
    <x v="0"/>
    <x v="4"/>
    <x v="1"/>
    <n v="17"/>
    <s v="Vol = Exp(-9.52375084+1.81551953*LN(DIAMETRO)+1.03039019*LN(ALTURATOTAL))"/>
    <n v="8.9477727904145057E-2"/>
  </r>
  <r>
    <n v="4"/>
    <x v="0"/>
    <n v="1"/>
    <n v="3"/>
    <n v="3"/>
    <s v="Araliaceae"/>
    <s v="Dendropanax arboreus"/>
    <s v="Sak chacaj"/>
    <n v="24"/>
    <n v="7.6394372684109761"/>
    <n v="5"/>
    <n v="8"/>
    <m/>
    <s v="C"/>
    <s v="S"/>
    <x v="0"/>
    <x v="0"/>
    <x v="1"/>
    <m/>
    <m/>
    <m/>
  </r>
  <r>
    <n v="7"/>
    <x v="2"/>
    <n v="1"/>
    <n v="4"/>
    <n v="4"/>
    <s v="Araliaceae"/>
    <s v="Dendropanax arboreus"/>
    <s v="Sak chacaj"/>
    <n v="48"/>
    <n v="15.278874536821952"/>
    <n v="6"/>
    <n v="10"/>
    <m/>
    <s v="C"/>
    <s v="SB"/>
    <x v="0"/>
    <x v="1"/>
    <x v="2"/>
    <n v="17"/>
    <s v="Vol = Exp(-9.52375084+1.81551953*LN(DIAMETRO)+1.03039019*LN(ALTURATOTAL))"/>
    <n v="0.11066715644741094"/>
  </r>
  <r>
    <n v="9"/>
    <x v="2"/>
    <n v="1"/>
    <n v="4"/>
    <n v="4"/>
    <s v="Araliaceae"/>
    <s v="Dendropanax arboreus"/>
    <s v="Sak chacaj"/>
    <n v="37"/>
    <n v="11.777465788800255"/>
    <n v="4"/>
    <n v="9"/>
    <m/>
    <s v="C"/>
    <s v="S"/>
    <x v="0"/>
    <x v="1"/>
    <x v="1"/>
    <n v="17"/>
    <s v="Vol = Exp(-9.52375084+1.81551953*LN(DIAMETRO)+1.03039019*LN(ALTURATOTAL))"/>
    <n v="6.1893527845592933E-2"/>
  </r>
  <r>
    <n v="4"/>
    <x v="0"/>
    <n v="1"/>
    <n v="4"/>
    <n v="4"/>
    <s v="Araliaceae"/>
    <s v="Dendropanax arboreus"/>
    <s v="Sak chacaj"/>
    <n v="25"/>
    <n v="7.9577471545947667"/>
    <n v="6"/>
    <n v="8"/>
    <m/>
    <s v="C"/>
    <s v="S"/>
    <x v="0"/>
    <x v="0"/>
    <x v="1"/>
    <m/>
    <m/>
    <m/>
  </r>
  <r>
    <n v="5"/>
    <x v="0"/>
    <n v="1"/>
    <n v="3"/>
    <n v="4"/>
    <s v="Araliaceae"/>
    <s v="Dendropanax arboreus"/>
    <s v="Sak chacaj"/>
    <n v="30"/>
    <n v="9.5492965855137211"/>
    <n v="7"/>
    <n v="13"/>
    <m/>
    <s v="C"/>
    <s v="S"/>
    <x v="0"/>
    <x v="4"/>
    <x v="1"/>
    <m/>
    <m/>
    <m/>
  </r>
  <r>
    <n v="6"/>
    <x v="0"/>
    <n v="1"/>
    <n v="4"/>
    <n v="4"/>
    <s v="Araliaceae"/>
    <s v="Dendropanax arboreus"/>
    <s v="Sak chacaj"/>
    <n v="20"/>
    <n v="6.366197723675814"/>
    <n v="3.5"/>
    <n v="7.5"/>
    <m/>
    <s v="C"/>
    <s v="S"/>
    <x v="0"/>
    <x v="0"/>
    <x v="0"/>
    <m/>
    <m/>
    <m/>
  </r>
  <r>
    <n v="10"/>
    <x v="0"/>
    <n v="1"/>
    <n v="4"/>
    <n v="4"/>
    <s v="Araliaceae"/>
    <s v="Dendropanax arboreus"/>
    <s v="Sak chacaj"/>
    <n v="31"/>
    <n v="9.8676064716975116"/>
    <n v="7"/>
    <n v="12"/>
    <m/>
    <s v="C"/>
    <s v="S"/>
    <x v="0"/>
    <x v="4"/>
    <x v="1"/>
    <m/>
    <m/>
    <m/>
  </r>
  <r>
    <n v="11"/>
    <x v="1"/>
    <m/>
    <n v="4"/>
    <n v="4"/>
    <s v="Araliaceae"/>
    <s v="Dendropanax arboreus"/>
    <s v="Sak chacaj"/>
    <m/>
    <m/>
    <m/>
    <n v="1.6"/>
    <e v="#REF!"/>
    <m/>
    <s v="S"/>
    <x v="0"/>
    <x v="3"/>
    <x v="0"/>
    <m/>
    <m/>
    <m/>
  </r>
  <r>
    <n v="11"/>
    <x v="1"/>
    <m/>
    <n v="5"/>
    <n v="5"/>
    <s v="Burseraceae"/>
    <s v="Bursera simaruba"/>
    <s v="Chacah"/>
    <m/>
    <m/>
    <m/>
    <n v="1.2"/>
    <e v="#REF!"/>
    <m/>
    <s v="S"/>
    <x v="0"/>
    <x v="3"/>
    <x v="0"/>
    <m/>
    <m/>
    <m/>
  </r>
  <r>
    <n v="4"/>
    <x v="2"/>
    <n v="1"/>
    <n v="5"/>
    <n v="5"/>
    <s v="Araliaceae"/>
    <s v="Dendropanax arboreus"/>
    <s v="Sak chacaj"/>
    <n v="48.5"/>
    <n v="15.438029479913848"/>
    <n v="6"/>
    <n v="11"/>
    <m/>
    <s v="C"/>
    <s v="S"/>
    <x v="0"/>
    <x v="1"/>
    <x v="2"/>
    <n v="17"/>
    <s v="Vol = Exp(-9.52375084+1.81551953*LN(DIAMETRO)+1.03039019*LN(ALTURATOTAL))"/>
    <n v="0.12440565313674383"/>
  </r>
  <r>
    <n v="5"/>
    <x v="2"/>
    <n v="1"/>
    <n v="5"/>
    <n v="5"/>
    <s v="Araliaceae"/>
    <s v="Dendropanax arboreus"/>
    <s v="Sak chacaj"/>
    <n v="37"/>
    <n v="11.777465788800255"/>
    <n v="5.5"/>
    <n v="10"/>
    <m/>
    <s v="C"/>
    <s v="S"/>
    <x v="0"/>
    <x v="1"/>
    <x v="1"/>
    <n v="17"/>
    <s v="Vol = Exp(-9.52375084+1.81551953*LN(DIAMETRO)+1.03039019*LN(ALTURATOTAL))"/>
    <n v="6.8991137736137118E-2"/>
  </r>
  <r>
    <n v="7"/>
    <x v="2"/>
    <n v="1"/>
    <s v="4A"/>
    <n v="5"/>
    <s v="Araliaceae"/>
    <s v="Dendropanax arboreus"/>
    <s v="Sak chacaj"/>
    <n v="39"/>
    <n v="12.414085561167836"/>
    <n v="6.5"/>
    <n v="10"/>
    <m/>
    <s v="C"/>
    <s v="S"/>
    <x v="1"/>
    <x v="1"/>
    <x v="1"/>
    <n v="17"/>
    <s v="Vol = Exp(-9.52375084+1.81551953*LN(DIAMETRO)+1.03039019*LN(ALTURATOTAL))"/>
    <n v="7.5910406574124872E-2"/>
  </r>
  <r>
    <n v="1"/>
    <x v="0"/>
    <n v="1"/>
    <n v="5"/>
    <n v="5"/>
    <s v="Araliaceae"/>
    <s v="Dendropanax arboreus"/>
    <s v="Sak chacaj"/>
    <n v="16"/>
    <n v="5.0929581789406511"/>
    <n v="2"/>
    <n v="4"/>
    <m/>
    <s v="C"/>
    <s v="SD"/>
    <x v="0"/>
    <x v="2"/>
    <x v="0"/>
    <m/>
    <m/>
    <m/>
  </r>
  <r>
    <n v="4"/>
    <x v="0"/>
    <n v="1"/>
    <n v="5"/>
    <n v="5"/>
    <s v="Araliaceae"/>
    <s v="Dendropanax arboreus"/>
    <s v="Sak chacaj"/>
    <n v="24.5"/>
    <n v="7.7985922115028714"/>
    <n v="6"/>
    <n v="9"/>
    <m/>
    <s v="CB"/>
    <s v="S"/>
    <x v="0"/>
    <x v="1"/>
    <x v="1"/>
    <m/>
    <m/>
    <m/>
  </r>
  <r>
    <n v="6"/>
    <x v="0"/>
    <n v="1"/>
    <n v="5"/>
    <n v="5"/>
    <s v="Araliaceae"/>
    <s v="Dendropanax arboreus"/>
    <s v="Sak chacaj"/>
    <n v="23.5"/>
    <n v="7.4802823253190809"/>
    <n v="6"/>
    <n v="9"/>
    <m/>
    <s v="C"/>
    <s v="S"/>
    <x v="0"/>
    <x v="1"/>
    <x v="0"/>
    <m/>
    <m/>
    <m/>
  </r>
  <r>
    <n v="11"/>
    <x v="1"/>
    <m/>
    <n v="6"/>
    <n v="6"/>
    <s v="Araliaceae"/>
    <s v="Dendropanax arboreus"/>
    <s v="Sak chacaj"/>
    <m/>
    <m/>
    <m/>
    <n v="1.5"/>
    <e v="#REF!"/>
    <m/>
    <s v="S"/>
    <x v="0"/>
    <x v="3"/>
    <x v="0"/>
    <m/>
    <m/>
    <m/>
  </r>
  <r>
    <n v="8"/>
    <x v="0"/>
    <n v="1"/>
    <n v="6"/>
    <n v="6"/>
    <s v="Euphorbiaceae"/>
    <s v="Sebastiania adenophora"/>
    <s v="Sak cheechem "/>
    <n v="17.5"/>
    <n v="5.5704230082163368"/>
    <n v="1.6"/>
    <n v="7"/>
    <m/>
    <s v="C"/>
    <s v="S"/>
    <x v="0"/>
    <x v="0"/>
    <x v="0"/>
    <m/>
    <m/>
    <m/>
  </r>
  <r>
    <n v="8"/>
    <x v="0"/>
    <n v="1"/>
    <n v="8"/>
    <n v="8"/>
    <s v="Euphorbiaceae"/>
    <s v="Sebastiania adenophora"/>
    <s v="Sak cheechem "/>
    <n v="29"/>
    <n v="9.2309866993299305"/>
    <n v="6"/>
    <n v="10"/>
    <m/>
    <s v="C"/>
    <s v="S"/>
    <x v="0"/>
    <x v="1"/>
    <x v="1"/>
    <m/>
    <m/>
    <m/>
  </r>
  <r>
    <n v="3"/>
    <x v="0"/>
    <n v="2"/>
    <n v="10"/>
    <n v="10"/>
    <s v="Sapindaceae"/>
    <s v="Allophyllus cominia"/>
    <s v="Sak pixoy"/>
    <n v="17"/>
    <n v="5.4112680651244416"/>
    <n v="5"/>
    <n v="8"/>
    <m/>
    <s v="C"/>
    <s v="S"/>
    <x v="0"/>
    <x v="0"/>
    <x v="0"/>
    <m/>
    <m/>
    <m/>
  </r>
  <r>
    <n v="7"/>
    <x v="0"/>
    <n v="3"/>
    <n v="4"/>
    <n v="4"/>
    <s v="Sapindaceae"/>
    <s v="Allophyllus cominia"/>
    <s v="Sak pixoy"/>
    <n v="16"/>
    <n v="5.0929581789406511"/>
    <n v="5.5"/>
    <n v="9"/>
    <m/>
    <s v="C"/>
    <s v="S"/>
    <x v="0"/>
    <x v="1"/>
    <x v="0"/>
    <m/>
    <m/>
    <m/>
  </r>
  <r>
    <n v="7"/>
    <x v="0"/>
    <n v="3"/>
    <n v="7"/>
    <n v="7"/>
    <s v="Sapindaceae"/>
    <s v="Allophyllus cominia"/>
    <s v="Sak pixoy"/>
    <n v="18.5"/>
    <n v="5.8887328944001274"/>
    <n v="3"/>
    <n v="9"/>
    <m/>
    <s v="C"/>
    <s v="S"/>
    <x v="0"/>
    <x v="1"/>
    <x v="0"/>
    <m/>
    <m/>
    <m/>
  </r>
  <r>
    <n v="11"/>
    <x v="1"/>
    <m/>
    <n v="7"/>
    <n v="7"/>
    <s v="Polygonaceae"/>
    <s v="Coccoloba spicata"/>
    <s v="Boob"/>
    <m/>
    <m/>
    <m/>
    <n v="0.9"/>
    <e v="#REF!"/>
    <m/>
    <s v="S"/>
    <x v="0"/>
    <x v="3"/>
    <x v="0"/>
    <m/>
    <m/>
    <m/>
  </r>
  <r>
    <n v="11"/>
    <x v="1"/>
    <m/>
    <n v="8"/>
    <n v="8"/>
    <s v="Ebenaceae"/>
    <s v="Diospyros yucatanensis"/>
    <s v="Diospyros"/>
    <m/>
    <m/>
    <m/>
    <n v="1.2"/>
    <e v="#REF!"/>
    <m/>
    <s v="S"/>
    <x v="0"/>
    <x v="3"/>
    <x v="0"/>
    <m/>
    <m/>
    <m/>
  </r>
  <r>
    <n v="11"/>
    <x v="1"/>
    <m/>
    <n v="9"/>
    <n v="9"/>
    <s v="Lauraceae"/>
    <s v="Nectandra coriacea"/>
    <s v="Aguacatillo"/>
    <m/>
    <m/>
    <m/>
    <n v="0.7"/>
    <e v="#REF!"/>
    <m/>
    <s v="S"/>
    <x v="0"/>
    <x v="3"/>
    <x v="0"/>
    <m/>
    <m/>
    <m/>
  </r>
  <r>
    <n v="11"/>
    <x v="1"/>
    <m/>
    <n v="10"/>
    <n v="10"/>
    <s v="Ebenaceae"/>
    <s v="Diospyros yucatanensis"/>
    <s v="Diospyros"/>
    <m/>
    <m/>
    <m/>
    <n v="0.8"/>
    <e v="#REF!"/>
    <m/>
    <s v="S"/>
    <x v="0"/>
    <x v="3"/>
    <x v="0"/>
    <m/>
    <m/>
    <m/>
  </r>
  <r>
    <n v="11"/>
    <x v="1"/>
    <m/>
    <n v="11"/>
    <n v="11"/>
    <s v="Ebenaceae"/>
    <s v="Diospyros yucatanensis"/>
    <s v="Diospyros"/>
    <m/>
    <m/>
    <m/>
    <n v="0.9"/>
    <e v="#REF!"/>
    <m/>
    <s v="S"/>
    <x v="0"/>
    <x v="3"/>
    <x v="0"/>
    <m/>
    <m/>
    <m/>
  </r>
  <r>
    <n v="2"/>
    <x v="0"/>
    <n v="3"/>
    <n v="11"/>
    <n v="11"/>
    <s v="Sapindaceae"/>
    <s v="Cupania dentata"/>
    <s v="Sak poom"/>
    <n v="19"/>
    <n v="6.0478878374920226"/>
    <n v="1.3"/>
    <n v="3.5"/>
    <m/>
    <s v="C"/>
    <s v="S"/>
    <x v="0"/>
    <x v="3"/>
    <x v="0"/>
    <m/>
    <m/>
    <m/>
  </r>
  <r>
    <n v="11"/>
    <x v="1"/>
    <m/>
    <n v="12"/>
    <n v="12"/>
    <s v="Ebenaceae"/>
    <s v="Diospyros yucatanensis"/>
    <s v="Diospyros"/>
    <m/>
    <m/>
    <m/>
    <n v="4"/>
    <e v="#REF!"/>
    <m/>
    <s v="S"/>
    <x v="0"/>
    <x v="2"/>
    <x v="0"/>
    <m/>
    <m/>
    <m/>
  </r>
  <r>
    <n v="11"/>
    <x v="1"/>
    <m/>
    <n v="13"/>
    <n v="13"/>
    <s v="Rubiaceae"/>
    <s v="Randia aculeata"/>
    <s v="Cruceta"/>
    <m/>
    <m/>
    <m/>
    <n v="1.2"/>
    <e v="#REF!"/>
    <m/>
    <s v="S"/>
    <x v="0"/>
    <x v="3"/>
    <x v="0"/>
    <m/>
    <m/>
    <m/>
  </r>
  <r>
    <n v="11"/>
    <x v="1"/>
    <m/>
    <n v="14"/>
    <n v="14"/>
    <s v="Ebenaceae"/>
    <s v="Diospyros yucatanensis"/>
    <s v="Diospyros"/>
    <m/>
    <m/>
    <m/>
    <n v="4"/>
    <e v="#REF!"/>
    <m/>
    <s v="S"/>
    <x v="0"/>
    <x v="2"/>
    <x v="0"/>
    <m/>
    <m/>
    <m/>
  </r>
  <r>
    <n v="11"/>
    <x v="1"/>
    <m/>
    <n v="15"/>
    <n v="15"/>
    <s v="Vitaceae "/>
    <s v="Vitis bourgaeana "/>
    <s v="Bejuco de agua"/>
    <m/>
    <m/>
    <m/>
    <n v="12"/>
    <e v="#REF!"/>
    <m/>
    <s v="S"/>
    <x v="0"/>
    <x v="4"/>
    <x v="0"/>
    <m/>
    <m/>
    <m/>
  </r>
  <r>
    <n v="1"/>
    <x v="2"/>
    <n v="2"/>
    <n v="14"/>
    <n v="17"/>
    <s v="Annonaceae"/>
    <s v="Annona squamosa "/>
    <s v="Saramuyo"/>
    <n v="34"/>
    <n v="10.822536130248883"/>
    <n v="3"/>
    <n v="10"/>
    <m/>
    <s v="C"/>
    <s v="S"/>
    <x v="0"/>
    <x v="1"/>
    <x v="1"/>
    <n v="5"/>
    <s v="Vol = Exp(-9.5208709+1.85580925*LN(DIAMETRO)+0.96207943*LN(ALTURATOTAL))"/>
    <n v="5.581297126300383E-2"/>
  </r>
  <r>
    <n v="4"/>
    <x v="2"/>
    <n v="1"/>
    <n v="10"/>
    <n v="10"/>
    <s v="Capparaceae"/>
    <s v="Cynophalla verrucosa"/>
    <s v="Silil"/>
    <n v="36.5"/>
    <n v="11.618310845708359"/>
    <n v="7"/>
    <n v="13"/>
    <m/>
    <s v="C"/>
    <s v="S"/>
    <x v="0"/>
    <x v="4"/>
    <x v="1"/>
    <n v="17"/>
    <s v="Vol = Exp(-9.52375084+1.81551953*LN(DIAMETRO)+1.03039019*LN(ALTURATOTAL))"/>
    <n v="8.8200646686277084E-2"/>
  </r>
  <r>
    <n v="10"/>
    <x v="0"/>
    <n v="3"/>
    <n v="29"/>
    <n v="29"/>
    <s v="Capparaceae"/>
    <s v="Cynophalla verrucosa"/>
    <s v="Silil"/>
    <n v="17"/>
    <n v="5.4112680651244416"/>
    <n v="8"/>
    <n v="10"/>
    <m/>
    <s v="C"/>
    <s v="S"/>
    <x v="0"/>
    <x v="1"/>
    <x v="0"/>
    <m/>
    <m/>
    <m/>
  </r>
  <r>
    <n v="11"/>
    <x v="1"/>
    <m/>
    <n v="16"/>
    <n v="16"/>
    <s v="Leguminosae"/>
    <s v="Lonchocarpus rugosus"/>
    <s v="Kanasin"/>
    <m/>
    <m/>
    <m/>
    <n v="7"/>
    <e v="#REF!"/>
    <m/>
    <s v="S"/>
    <x v="0"/>
    <x v="0"/>
    <x v="0"/>
    <m/>
    <m/>
    <m/>
  </r>
  <r>
    <n v="11"/>
    <x v="1"/>
    <m/>
    <n v="17"/>
    <n v="17"/>
    <s v="Leguminosae"/>
    <s v="Lonchocarpus rugosus"/>
    <s v="Kanasin"/>
    <m/>
    <m/>
    <m/>
    <n v="1.7"/>
    <e v="#REF!"/>
    <m/>
    <s v="S"/>
    <x v="0"/>
    <x v="3"/>
    <x v="0"/>
    <m/>
    <m/>
    <m/>
  </r>
  <r>
    <n v="11"/>
    <x v="1"/>
    <m/>
    <n v="18"/>
    <n v="18"/>
    <s v="Rubiaceae"/>
    <s v="Randia aculeata"/>
    <s v="Cruceta"/>
    <m/>
    <m/>
    <m/>
    <n v="2"/>
    <e v="#REF!"/>
    <m/>
    <s v="S"/>
    <x v="0"/>
    <x v="3"/>
    <x v="0"/>
    <m/>
    <m/>
    <m/>
  </r>
  <r>
    <n v="2"/>
    <x v="0"/>
    <n v="1"/>
    <n v="7"/>
    <n v="7"/>
    <s v="Nyctaginaceae"/>
    <s v="Neea psychotrioides"/>
    <s v="Tadzi"/>
    <n v="16"/>
    <n v="5.0929581789406511"/>
    <n v="4"/>
    <n v="8"/>
    <m/>
    <s v="C"/>
    <s v="S"/>
    <x v="0"/>
    <x v="0"/>
    <x v="0"/>
    <m/>
    <m/>
    <m/>
  </r>
  <r>
    <n v="11"/>
    <x v="1"/>
    <m/>
    <n v="19"/>
    <n v="19"/>
    <s v="Rubiaceae"/>
    <s v="Randia aculeata"/>
    <s v="Cruceta"/>
    <m/>
    <m/>
    <m/>
    <n v="2"/>
    <e v="#REF!"/>
    <m/>
    <s v="S"/>
    <x v="0"/>
    <x v="3"/>
    <x v="0"/>
    <m/>
    <m/>
    <m/>
  </r>
  <r>
    <n v="3"/>
    <x v="2"/>
    <n v="2"/>
    <n v="19"/>
    <n v="19"/>
    <s v="Salicaceae"/>
    <s v="Zuelania guidonia"/>
    <s v="Tamay"/>
    <n v="34.5"/>
    <n v="10.981691073340778"/>
    <n v="8"/>
    <n v="13"/>
    <m/>
    <s v="C"/>
    <s v="S"/>
    <x v="0"/>
    <x v="4"/>
    <x v="1"/>
    <n v="17"/>
    <s v="Vol = Exp(-9.52375084+1.81551953*LN(DIAMETRO)+1.03039019*LN(ALTURATOTAL))"/>
    <n v="7.9623114841205614E-2"/>
  </r>
  <r>
    <n v="8"/>
    <x v="0"/>
    <n v="4"/>
    <n v="24"/>
    <n v="24"/>
    <s v="Salicaceae"/>
    <s v="Zuelania guidonia"/>
    <s v="Tamay"/>
    <n v="18"/>
    <n v="5.7295779513082321"/>
    <n v="3"/>
    <n v="7"/>
    <m/>
    <s v="C"/>
    <s v="S"/>
    <x v="0"/>
    <x v="0"/>
    <x v="0"/>
    <m/>
    <m/>
    <m/>
  </r>
  <r>
    <n v="8"/>
    <x v="0"/>
    <n v="4"/>
    <n v="25"/>
    <n v="25"/>
    <s v="Salicaceae"/>
    <s v="Zuelania guidonia"/>
    <s v="Tamay"/>
    <n v="16"/>
    <n v="5.0929581789406511"/>
    <n v="3"/>
    <n v="7"/>
    <m/>
    <s v="C"/>
    <s v="S"/>
    <x v="0"/>
    <x v="0"/>
    <x v="0"/>
    <m/>
    <m/>
    <m/>
  </r>
  <r>
    <n v="7"/>
    <x v="2"/>
    <n v="4"/>
    <n v="39"/>
    <n v="42"/>
    <s v="Salicaceae"/>
    <s v="Zuelania guidonia"/>
    <s v="Tamay"/>
    <n v="32"/>
    <n v="10.185916357881302"/>
    <n v="8"/>
    <n v="12"/>
    <m/>
    <s v="C"/>
    <s v="S"/>
    <x v="0"/>
    <x v="4"/>
    <x v="1"/>
    <n v="17"/>
    <s v="Vol = Exp(-9.52375084+1.81551953*LN(DIAMETRO)+1.03039019*LN(ALTURATOTAL))"/>
    <n v="6.3960111229385122E-2"/>
  </r>
  <r>
    <n v="8"/>
    <x v="0"/>
    <n v="1"/>
    <n v="2"/>
    <n v="2"/>
    <s v="Rubiaceae"/>
    <s v="Guettarda combsii "/>
    <s v="Tasta'ab"/>
    <n v="23"/>
    <n v="7.3211273822271856"/>
    <n v="7"/>
    <n v="10"/>
    <m/>
    <s v="C"/>
    <s v="S"/>
    <x v="0"/>
    <x v="1"/>
    <x v="0"/>
    <m/>
    <m/>
    <m/>
  </r>
  <r>
    <n v="11"/>
    <x v="1"/>
    <m/>
    <n v="20"/>
    <n v="20"/>
    <s v="Rubiaceae"/>
    <s v="Randia aculeata"/>
    <s v="Cruceta"/>
    <m/>
    <m/>
    <m/>
    <n v="2"/>
    <e v="#REF!"/>
    <m/>
    <s v="S"/>
    <x v="0"/>
    <x v="3"/>
    <x v="0"/>
    <m/>
    <m/>
    <m/>
  </r>
  <r>
    <n v="11"/>
    <x v="1"/>
    <m/>
    <n v="21"/>
    <n v="21"/>
    <s v="Rubiaceae"/>
    <s v="Randia aculeata"/>
    <s v="Cruceta"/>
    <m/>
    <m/>
    <m/>
    <n v="2"/>
    <e v="#REF!"/>
    <m/>
    <s v="S"/>
    <x v="0"/>
    <x v="3"/>
    <x v="0"/>
    <m/>
    <m/>
    <m/>
  </r>
  <r>
    <n v="11"/>
    <x v="1"/>
    <m/>
    <n v="22"/>
    <n v="22"/>
    <s v="Rubiaceae"/>
    <s v="Randia aculeata"/>
    <s v="Cruceta"/>
    <m/>
    <m/>
    <m/>
    <n v="2"/>
    <e v="#REF!"/>
    <m/>
    <s v="S"/>
    <x v="0"/>
    <x v="3"/>
    <x v="0"/>
    <m/>
    <m/>
    <m/>
  </r>
  <r>
    <n v="11"/>
    <x v="1"/>
    <m/>
    <n v="23"/>
    <n v="23"/>
    <s v="Rubiaceae"/>
    <s v="Randia aculeata"/>
    <s v="Cruceta"/>
    <m/>
    <m/>
    <m/>
    <n v="2"/>
    <e v="#REF!"/>
    <m/>
    <s v="S"/>
    <x v="0"/>
    <x v="3"/>
    <x v="0"/>
    <m/>
    <m/>
    <m/>
  </r>
  <r>
    <n v="3"/>
    <x v="0"/>
    <n v="1"/>
    <n v="5"/>
    <n v="5"/>
    <s v="Rubiaceae"/>
    <s v="Guettarda combsii "/>
    <s v="Tasta'ab"/>
    <n v="21.5"/>
    <n v="6.8436625529514998"/>
    <n v="5"/>
    <n v="8"/>
    <m/>
    <s v="C"/>
    <s v="S"/>
    <x v="0"/>
    <x v="0"/>
    <x v="0"/>
    <m/>
    <m/>
    <m/>
  </r>
  <r>
    <n v="3"/>
    <x v="0"/>
    <n v="2"/>
    <n v="7"/>
    <n v="7"/>
    <s v="Rubiaceae"/>
    <s v="Guettarda combsii "/>
    <s v="Tasta'ab"/>
    <n v="17"/>
    <n v="5.4112680651244416"/>
    <n v="4"/>
    <n v="6"/>
    <m/>
    <s v="C"/>
    <s v="S"/>
    <x v="0"/>
    <x v="2"/>
    <x v="0"/>
    <m/>
    <m/>
    <m/>
  </r>
  <r>
    <n v="4"/>
    <x v="0"/>
    <n v="1"/>
    <n v="6"/>
    <n v="7"/>
    <s v="Rubiaceae"/>
    <s v="Guettarda combsii "/>
    <s v="Tasta'ab"/>
    <n v="27"/>
    <n v="8.5943669269623477"/>
    <n v="6"/>
    <n v="9"/>
    <m/>
    <s v="C"/>
    <s v="S"/>
    <x v="0"/>
    <x v="1"/>
    <x v="1"/>
    <m/>
    <m/>
    <m/>
  </r>
  <r>
    <n v="4"/>
    <x v="2"/>
    <n v="1"/>
    <n v="8"/>
    <n v="8"/>
    <s v="Rubiaceae"/>
    <s v="Guettarda combsii "/>
    <s v="Tasta'ab"/>
    <n v="31.5"/>
    <n v="10.026761414789407"/>
    <n v="6"/>
    <n v="10"/>
    <m/>
    <s v="C"/>
    <s v="S"/>
    <x v="0"/>
    <x v="1"/>
    <x v="1"/>
    <n v="17"/>
    <s v="Vol = Exp(-9.52375084+1.81551953*LN(DIAMETRO)+1.03039019*LN(ALTURATOTAL))"/>
    <n v="5.1511538639336003E-2"/>
  </r>
  <r>
    <n v="3"/>
    <x v="0"/>
    <n v="2"/>
    <n v="9"/>
    <n v="9"/>
    <s v="Rubiaceae"/>
    <s v="Guettarda combsii "/>
    <s v="Tasta'ab"/>
    <n v="16.5"/>
    <n v="5.2521131220325463"/>
    <n v="3.5"/>
    <n v="7"/>
    <m/>
    <s v="C"/>
    <s v="S"/>
    <x v="0"/>
    <x v="0"/>
    <x v="0"/>
    <m/>
    <m/>
    <m/>
  </r>
  <r>
    <n v="4"/>
    <x v="0"/>
    <n v="2"/>
    <n v="9"/>
    <n v="10"/>
    <s v="Rubiaceae"/>
    <s v="Guettarda combsii "/>
    <s v="Tasta'ab"/>
    <n v="26.5"/>
    <n v="8.4352119838704525"/>
    <n v="5"/>
    <n v="9"/>
    <m/>
    <s v="C"/>
    <s v="S"/>
    <x v="0"/>
    <x v="1"/>
    <x v="1"/>
    <m/>
    <m/>
    <m/>
  </r>
  <r>
    <n v="11"/>
    <x v="1"/>
    <m/>
    <n v="24"/>
    <n v="24"/>
    <s v="Sapindaceae"/>
    <s v="Paullinia cururu"/>
    <s v="Bejuco alado"/>
    <m/>
    <m/>
    <m/>
    <n v="8"/>
    <e v="#REF!"/>
    <m/>
    <s v="S"/>
    <x v="0"/>
    <x v="0"/>
    <x v="0"/>
    <m/>
    <m/>
    <m/>
  </r>
  <r>
    <n v="8"/>
    <x v="0"/>
    <n v="2"/>
    <n v="12"/>
    <n v="12"/>
    <s v="Rubiaceae"/>
    <s v="Guettarda combsii "/>
    <s v="Tasta'ab"/>
    <n v="17"/>
    <n v="5.4112680651244416"/>
    <n v="3.5"/>
    <n v="6"/>
    <m/>
    <s v="C"/>
    <s v="S"/>
    <x v="0"/>
    <x v="2"/>
    <x v="0"/>
    <m/>
    <m/>
    <m/>
  </r>
  <r>
    <n v="4"/>
    <x v="2"/>
    <n v="2"/>
    <n v="17"/>
    <n v="17"/>
    <s v="Rubiaceae"/>
    <s v="Guettarda combsii "/>
    <s v="Tasta'ab"/>
    <n v="32"/>
    <n v="10.185916357881302"/>
    <n v="6"/>
    <n v="13"/>
    <m/>
    <s v="C"/>
    <s v="S"/>
    <x v="0"/>
    <x v="4"/>
    <x v="1"/>
    <n v="17"/>
    <s v="Vol = Exp(-9.52375084+1.81551953*LN(DIAMETRO)+1.03039019*LN(ALTURATOTAL))"/>
    <n v="6.9458874789219013E-2"/>
  </r>
  <r>
    <n v="5"/>
    <x v="0"/>
    <n v="2"/>
    <n v="16"/>
    <n v="17"/>
    <s v="Rubiaceae"/>
    <s v="Guettarda combsii "/>
    <s v="Tasta'ab"/>
    <n v="21"/>
    <n v="6.6845076098596046"/>
    <n v="3"/>
    <n v="9"/>
    <m/>
    <s v="C"/>
    <s v="S"/>
    <x v="0"/>
    <x v="1"/>
    <x v="0"/>
    <m/>
    <m/>
    <m/>
  </r>
  <r>
    <n v="5"/>
    <x v="0"/>
    <n v="3"/>
    <n v="17"/>
    <n v="18"/>
    <s v="Rubiaceae"/>
    <s v="Guettarda combsii "/>
    <s v="Tasta'ab"/>
    <n v="20"/>
    <n v="6.366197723675814"/>
    <n v="5"/>
    <n v="9"/>
    <m/>
    <s v="C"/>
    <s v="S"/>
    <x v="0"/>
    <x v="1"/>
    <x v="0"/>
    <m/>
    <m/>
    <m/>
  </r>
  <r>
    <n v="11"/>
    <x v="1"/>
    <m/>
    <n v="25"/>
    <n v="25"/>
    <s v="Sapotaceae"/>
    <s v="Chrysophyllum mexicanum"/>
    <s v="Caimito"/>
    <m/>
    <m/>
    <m/>
    <n v="1"/>
    <e v="#REF!"/>
    <m/>
    <s v="S"/>
    <x v="0"/>
    <x v="3"/>
    <x v="0"/>
    <m/>
    <m/>
    <m/>
  </r>
  <r>
    <n v="5"/>
    <x v="0"/>
    <n v="3"/>
    <n v="19"/>
    <n v="20"/>
    <s v="Rubiaceae"/>
    <s v="Guettarda combsii "/>
    <s v="Tasta'ab"/>
    <n v="16.5"/>
    <n v="5.2521131220325463"/>
    <n v="5"/>
    <n v="9"/>
    <m/>
    <s v="C"/>
    <s v="S"/>
    <x v="0"/>
    <x v="1"/>
    <x v="0"/>
    <m/>
    <m/>
    <m/>
  </r>
  <r>
    <n v="6"/>
    <x v="0"/>
    <n v="3"/>
    <n v="18"/>
    <n v="21"/>
    <s v="Rubiaceae"/>
    <s v="Guettarda combsii "/>
    <s v="Tasta'ab"/>
    <n v="20"/>
    <n v="6.366197723675814"/>
    <n v="2.7"/>
    <n v="7"/>
    <m/>
    <s v="C"/>
    <s v="S"/>
    <x v="0"/>
    <x v="0"/>
    <x v="0"/>
    <m/>
    <m/>
    <m/>
  </r>
  <r>
    <n v="10"/>
    <x v="0"/>
    <n v="2"/>
    <n v="23"/>
    <n v="23"/>
    <s v="Rubiaceae"/>
    <s v="Guettarda combsii "/>
    <s v="Tasta'ab"/>
    <n v="23"/>
    <n v="7.3211273822271856"/>
    <n v="5"/>
    <n v="9"/>
    <m/>
    <s v="C"/>
    <s v="S"/>
    <x v="0"/>
    <x v="1"/>
    <x v="0"/>
    <m/>
    <m/>
    <m/>
  </r>
  <r>
    <n v="10"/>
    <x v="0"/>
    <n v="3"/>
    <n v="27"/>
    <n v="27"/>
    <s v="Rubiaceae"/>
    <s v="Guettarda combsii "/>
    <s v="Tasta'ab"/>
    <n v="18"/>
    <n v="5.7295779513082321"/>
    <n v="4"/>
    <n v="8"/>
    <m/>
    <s v="C"/>
    <s v="S"/>
    <x v="0"/>
    <x v="0"/>
    <x v="0"/>
    <m/>
    <m/>
    <m/>
  </r>
  <r>
    <n v="4"/>
    <x v="2"/>
    <n v="2"/>
    <n v="29"/>
    <n v="30"/>
    <s v="Rubiaceae"/>
    <s v="Guettarda combsii "/>
    <s v="Tasta'ab"/>
    <n v="32"/>
    <n v="10.185916357881302"/>
    <n v="7.5"/>
    <n v="12"/>
    <m/>
    <s v="C"/>
    <s v="S"/>
    <x v="0"/>
    <x v="4"/>
    <x v="1"/>
    <n v="17"/>
    <s v="Vol = Exp(-9.52375084+1.81551953*LN(DIAMETRO)+1.03039019*LN(ALTURATOTAL))"/>
    <n v="6.3960111229385122E-2"/>
  </r>
  <r>
    <n v="10"/>
    <x v="0"/>
    <n v="3"/>
    <n v="32"/>
    <n v="32"/>
    <s v="Rubiaceae"/>
    <s v="Guettarda combsii "/>
    <s v="Tasta'ab"/>
    <n v="19.5"/>
    <n v="6.2070427805839179"/>
    <n v="3.5"/>
    <n v="8"/>
    <m/>
    <s v="C"/>
    <s v="S"/>
    <x v="0"/>
    <x v="0"/>
    <x v="0"/>
    <m/>
    <m/>
    <m/>
  </r>
  <r>
    <n v="11"/>
    <x v="1"/>
    <m/>
    <n v="26"/>
    <n v="26"/>
    <s v="Vitaceae "/>
    <s v="Cissus verticillata"/>
    <s v="Bejuco Cissus"/>
    <m/>
    <m/>
    <m/>
    <n v="0.6"/>
    <e v="#REF!"/>
    <m/>
    <s v="S"/>
    <x v="0"/>
    <x v="3"/>
    <x v="0"/>
    <m/>
    <m/>
    <m/>
  </r>
  <r>
    <n v="11"/>
    <x v="1"/>
    <m/>
    <n v="27"/>
    <n v="27"/>
    <s v="Vitaceae "/>
    <s v="Cissus verticillata"/>
    <s v="Bejuco Cissus"/>
    <m/>
    <m/>
    <m/>
    <n v="0.6"/>
    <e v="#REF!"/>
    <m/>
    <s v="S"/>
    <x v="0"/>
    <x v="3"/>
    <x v="0"/>
    <m/>
    <m/>
    <m/>
  </r>
  <r>
    <n v="11"/>
    <x v="1"/>
    <m/>
    <n v="28"/>
    <n v="28"/>
    <s v="Vitaceae "/>
    <s v="Cissus verticillata"/>
    <s v="Bejuco Cissus"/>
    <m/>
    <m/>
    <m/>
    <n v="0.6"/>
    <e v="#REF!"/>
    <m/>
    <s v="S"/>
    <x v="0"/>
    <x v="3"/>
    <x v="0"/>
    <m/>
    <m/>
    <m/>
  </r>
  <r>
    <n v="12"/>
    <x v="1"/>
    <m/>
    <n v="1"/>
    <n v="1"/>
    <s v="Lauraceae"/>
    <s v="Nectandra coriacea"/>
    <s v="Aguacatillo"/>
    <m/>
    <m/>
    <m/>
    <n v="8"/>
    <e v="#REF!"/>
    <m/>
    <s v="S"/>
    <x v="0"/>
    <x v="0"/>
    <x v="0"/>
    <m/>
    <m/>
    <m/>
  </r>
  <r>
    <n v="12"/>
    <x v="1"/>
    <m/>
    <n v="2"/>
    <n v="2"/>
    <s v="Lauraceae"/>
    <s v="Nectandra coriacea"/>
    <s v="Aguacatillo"/>
    <m/>
    <m/>
    <m/>
    <n v="7"/>
    <e v="#REF!"/>
    <m/>
    <s v="S"/>
    <x v="0"/>
    <x v="0"/>
    <x v="0"/>
    <m/>
    <m/>
    <m/>
  </r>
  <r>
    <n v="12"/>
    <x v="1"/>
    <m/>
    <n v="3"/>
    <n v="3"/>
    <s v="Lauraceae"/>
    <s v="Nectandra coriacea"/>
    <s v="Aguacatillo"/>
    <m/>
    <m/>
    <m/>
    <n v="2.5"/>
    <e v="#REF!"/>
    <m/>
    <s v="S"/>
    <x v="0"/>
    <x v="3"/>
    <x v="0"/>
    <m/>
    <m/>
    <m/>
  </r>
  <r>
    <n v="12"/>
    <x v="1"/>
    <m/>
    <n v="4"/>
    <n v="4"/>
    <s v="Polygonaceae"/>
    <s v="Coccoloba spicata"/>
    <s v="Boob"/>
    <m/>
    <m/>
    <m/>
    <n v="5.5"/>
    <e v="#REF!"/>
    <m/>
    <s v="S"/>
    <x v="0"/>
    <x v="2"/>
    <x v="0"/>
    <m/>
    <m/>
    <m/>
  </r>
  <r>
    <n v="8"/>
    <x v="2"/>
    <n v="3"/>
    <n v="42"/>
    <n v="47"/>
    <s v="Leguminosae"/>
    <s v="Diphysa carthagenensis"/>
    <s v="Tsu'uts'uk"/>
    <n v="32"/>
    <n v="10.185916357881302"/>
    <n v="8"/>
    <n v="12"/>
    <m/>
    <s v="C"/>
    <s v="S"/>
    <x v="0"/>
    <x v="4"/>
    <x v="1"/>
    <n v="17"/>
    <s v="Vol = Exp(-9.52375084+1.81551953*LN(DIAMETRO)+1.03039019*LN(ALTURATOTAL))"/>
    <n v="6.3960111229385122E-2"/>
  </r>
  <r>
    <n v="8"/>
    <x v="2"/>
    <n v="3"/>
    <n v="43"/>
    <n v="48"/>
    <s v="Leguminosae"/>
    <s v="Diphysa carthagenensis"/>
    <s v="Tsu'uts'uk"/>
    <n v="31.5"/>
    <n v="10.026761414789407"/>
    <n v="5"/>
    <n v="12"/>
    <m/>
    <s v="C"/>
    <s v="S"/>
    <x v="0"/>
    <x v="4"/>
    <x v="1"/>
    <n v="17"/>
    <s v="Vol = Exp(-9.52375084+1.81551953*LN(DIAMETRO)+1.03039019*LN(ALTURATOTAL))"/>
    <n v="6.2157294315506713E-2"/>
  </r>
  <r>
    <n v="12"/>
    <x v="1"/>
    <m/>
    <n v="5"/>
    <n v="5"/>
    <s v="Polygonaceae"/>
    <s v="Coccoloba spicata"/>
    <s v="Boob"/>
    <m/>
    <m/>
    <m/>
    <n v="4.5"/>
    <e v="#REF!"/>
    <m/>
    <s v="S"/>
    <x v="0"/>
    <x v="2"/>
    <x v="0"/>
    <m/>
    <m/>
    <m/>
  </r>
  <r>
    <n v="6"/>
    <x v="2"/>
    <n v="1"/>
    <n v="1"/>
    <n v="1"/>
    <s v="Leguminosae"/>
    <s v="Lysiloma latisiliquum"/>
    <s v="Tzalam"/>
    <n v="48.5"/>
    <n v="15.438029479913848"/>
    <n v="2.6"/>
    <n v="12"/>
    <m/>
    <s v="C"/>
    <s v="S"/>
    <x v="0"/>
    <x v="4"/>
    <x v="2"/>
    <n v="3"/>
    <s v="Vol = Exp(-10.07810188+1.92989964*LN(DIAMETRO)+1.07701930*LN(ALTURATOTAL))."/>
    <n v="0.12003226734670126"/>
  </r>
  <r>
    <n v="7"/>
    <x v="2"/>
    <n v="1"/>
    <n v="1"/>
    <n v="1"/>
    <s v="Leguminosae"/>
    <s v="Lysiloma latisiliquum"/>
    <s v="Tzalam"/>
    <n v="96"/>
    <n v="30.557749073643905"/>
    <n v="3"/>
    <n v="14"/>
    <m/>
    <s v="C"/>
    <s v="S"/>
    <x v="0"/>
    <x v="5"/>
    <x v="5"/>
    <n v="3"/>
    <s v="Vol = Exp(-10.07810188+1.92989964*LN(DIAMETRO)+1.07701930*LN(ALTURATOTAL))."/>
    <n v="0.52926497995563737"/>
  </r>
  <r>
    <n v="10"/>
    <x v="2"/>
    <n v="1"/>
    <n v="1"/>
    <n v="1"/>
    <s v="Leguminosae"/>
    <s v="Lysiloma latisiliquum"/>
    <s v="Tzalam"/>
    <n v="35"/>
    <n v="11.140846016432674"/>
    <n v="3"/>
    <n v="10"/>
    <m/>
    <s v="C"/>
    <s v="S"/>
    <x v="0"/>
    <x v="1"/>
    <x v="1"/>
    <n v="3"/>
    <s v="Vol = Exp(-10.07810188+1.92989964*LN(DIAMETRO)+1.07701930*LN(ALTURATOTAL))."/>
    <n v="5.2553575416116598E-2"/>
  </r>
  <r>
    <n v="12"/>
    <x v="2"/>
    <n v="1"/>
    <n v="1"/>
    <n v="1"/>
    <s v="Leguminosae"/>
    <s v="Lysiloma latisiliquum"/>
    <s v="Tzalam"/>
    <n v="42"/>
    <n v="13.369015219719209"/>
    <n v="2.2999999999999998"/>
    <n v="9"/>
    <m/>
    <s v="C"/>
    <s v="S"/>
    <x v="0"/>
    <x v="1"/>
    <x v="2"/>
    <n v="3"/>
    <s v="Vol = Exp(-10.07810188+1.92989964*LN(DIAMETRO)+1.07701930*LN(ALTURATOTAL))."/>
    <n v="6.6701012410433178E-2"/>
  </r>
  <r>
    <n v="12"/>
    <x v="0"/>
    <n v="1"/>
    <n v="1"/>
    <n v="1"/>
    <s v="Leguminosae"/>
    <s v="Lysiloma latisiliquum"/>
    <s v="Tzalam"/>
    <n v="20.5"/>
    <n v="6.5253526667677093"/>
    <n v="2.7"/>
    <n v="9"/>
    <m/>
    <s v="CB"/>
    <s v="S"/>
    <x v="0"/>
    <x v="1"/>
    <x v="0"/>
    <m/>
    <m/>
    <m/>
  </r>
  <r>
    <n v="8"/>
    <x v="2"/>
    <n v="1"/>
    <n v="2"/>
    <n v="2"/>
    <s v="Leguminosae"/>
    <s v="Lysiloma latisiliquum"/>
    <s v="Tzalam"/>
    <n v="57"/>
    <n v="18.143663512476071"/>
    <n v="8"/>
    <n v="13"/>
    <m/>
    <s v="C"/>
    <s v="S"/>
    <x v="0"/>
    <x v="4"/>
    <x v="4"/>
    <n v="3"/>
    <s v="Vol = Exp(-10.07810188+1.92989964*LN(DIAMETRO)+1.07701930*LN(ALTURATOTAL))."/>
    <n v="0.17868469143083901"/>
  </r>
  <r>
    <n v="12"/>
    <x v="2"/>
    <n v="1"/>
    <n v="2"/>
    <n v="2"/>
    <s v="Leguminosae"/>
    <s v="Lysiloma latisiliquum"/>
    <s v="Tzalam"/>
    <n v="34"/>
    <n v="10.822536130248883"/>
    <n v="1.4"/>
    <n v="12"/>
    <m/>
    <s v="C"/>
    <s v="S"/>
    <x v="0"/>
    <x v="4"/>
    <x v="1"/>
    <n v="3"/>
    <s v="Vol = Exp(-10.07810188+1.92989964*LN(DIAMETRO)+1.07701930*LN(ALTURATOTAL))."/>
    <n v="6.0476443880539972E-2"/>
  </r>
  <r>
    <n v="12"/>
    <x v="0"/>
    <n v="1"/>
    <s v="1A"/>
    <n v="2"/>
    <s v="Leguminosae"/>
    <s v="Lysiloma latisiliquum"/>
    <s v="Tzalam"/>
    <n v="19"/>
    <n v="6.0478878374920226"/>
    <n v="2.4"/>
    <n v="7"/>
    <m/>
    <s v="C"/>
    <s v="S"/>
    <x v="1"/>
    <x v="0"/>
    <x v="0"/>
    <m/>
    <m/>
    <m/>
  </r>
  <r>
    <n v="12"/>
    <x v="2"/>
    <n v="1"/>
    <n v="3"/>
    <n v="3"/>
    <s v="Leguminosae"/>
    <s v="Lysiloma latisiliquum"/>
    <s v="Tzalam"/>
    <n v="35"/>
    <n v="11.140846016432674"/>
    <n v="3.2"/>
    <n v="10"/>
    <m/>
    <s v="C"/>
    <s v="S"/>
    <x v="0"/>
    <x v="1"/>
    <x v="1"/>
    <n v="3"/>
    <s v="Vol = Exp(-10.07810188+1.92989964*LN(DIAMETRO)+1.07701930*LN(ALTURATOTAL))."/>
    <n v="5.2553575416116598E-2"/>
  </r>
  <r>
    <n v="12"/>
    <x v="0"/>
    <n v="1"/>
    <n v="2"/>
    <n v="3"/>
    <s v="Leguminosae"/>
    <s v="Lysiloma latisiliquum"/>
    <s v="Tzalam"/>
    <n v="17"/>
    <n v="5.4112680651244416"/>
    <n v="2.2000000000000002"/>
    <n v="9"/>
    <m/>
    <s v="C"/>
    <s v="S"/>
    <x v="0"/>
    <x v="1"/>
    <x v="0"/>
    <m/>
    <m/>
    <m/>
  </r>
  <r>
    <n v="8"/>
    <x v="2"/>
    <n v="1"/>
    <n v="4"/>
    <n v="4"/>
    <s v="Leguminosae"/>
    <s v="Lysiloma latisiliquum"/>
    <s v="Tzalam"/>
    <n v="87.5"/>
    <n v="27.852115041081685"/>
    <n v="8"/>
    <n v="14"/>
    <m/>
    <s v="CB"/>
    <s v="S"/>
    <x v="0"/>
    <x v="5"/>
    <x v="5"/>
    <n v="3"/>
    <s v="Vol = Exp(-10.07810188+1.92989964*LN(DIAMETRO)+1.07701930*LN(ALTURATOTAL))."/>
    <n v="0.44255704867997447"/>
  </r>
  <r>
    <n v="12"/>
    <x v="2"/>
    <n v="2"/>
    <n v="4"/>
    <n v="4"/>
    <s v="Leguminosae"/>
    <s v="Lysiloma latisiliquum"/>
    <s v="Tzalam"/>
    <n v="38"/>
    <n v="12.095775674984045"/>
    <n v="3"/>
    <n v="9"/>
    <m/>
    <s v="CB"/>
    <s v="S"/>
    <x v="0"/>
    <x v="1"/>
    <x v="1"/>
    <n v="3"/>
    <s v="Vol = Exp(-10.07810188+1.92989964*LN(DIAMETRO)+1.07701930*LN(ALTURATOTAL))."/>
    <n v="5.4985477270311188E-2"/>
  </r>
  <r>
    <n v="12"/>
    <x v="0"/>
    <n v="1"/>
    <n v="3"/>
    <n v="4"/>
    <s v="Leguminosae"/>
    <s v="Lysiloma latisiliquum"/>
    <s v="Tzalam"/>
    <n v="19"/>
    <n v="6.0478878374920226"/>
    <n v="7.5"/>
    <n v="10"/>
    <m/>
    <s v="C"/>
    <s v="S"/>
    <x v="0"/>
    <x v="1"/>
    <x v="0"/>
    <m/>
    <m/>
    <m/>
  </r>
  <r>
    <n v="8"/>
    <x v="2"/>
    <n v="1"/>
    <s v="4A"/>
    <n v="5"/>
    <s v="Leguminosae"/>
    <s v="Lysiloma latisiliquum"/>
    <s v="Tzalam"/>
    <n v="72"/>
    <n v="22.918311805232928"/>
    <n v="8"/>
    <n v="14"/>
    <m/>
    <s v="C"/>
    <s v="S"/>
    <x v="1"/>
    <x v="5"/>
    <x v="3"/>
    <n v="3"/>
    <s v="Vol = Exp(-10.07810188+1.92989964*LN(DIAMETRO)+1.07701930*LN(ALTURATOTAL))."/>
    <n v="0.30377633353897893"/>
  </r>
  <r>
    <n v="12"/>
    <x v="2"/>
    <n v="2"/>
    <s v="4A"/>
    <n v="5"/>
    <s v="Leguminosae"/>
    <s v="Lysiloma latisiliquum"/>
    <s v="Tzalam"/>
    <n v="37.5"/>
    <n v="11.93662073189215"/>
    <n v="1.8"/>
    <n v="9"/>
    <m/>
    <s v="C"/>
    <s v="S"/>
    <x v="1"/>
    <x v="1"/>
    <x v="1"/>
    <n v="3"/>
    <s v="Vol = Exp(-10.07810188+1.92989964*LN(DIAMETRO)+1.07701930*LN(ALTURATOTAL))."/>
    <n v="5.3597752830722822E-2"/>
  </r>
  <r>
    <n v="12"/>
    <x v="0"/>
    <n v="1"/>
    <n v="4"/>
    <n v="5"/>
    <s v="Leguminosae"/>
    <s v="Lysiloma latisiliquum"/>
    <s v="Tzalam"/>
    <n v="19.5"/>
    <n v="6.2070427805839179"/>
    <n v="4"/>
    <n v="8"/>
    <m/>
    <s v="C"/>
    <s v="S"/>
    <x v="0"/>
    <x v="0"/>
    <x v="0"/>
    <m/>
    <m/>
    <m/>
  </r>
  <r>
    <n v="5"/>
    <x v="2"/>
    <n v="1"/>
    <n v="6"/>
    <n v="6"/>
    <s v="Leguminosae"/>
    <s v="Lysiloma latisiliquum"/>
    <s v="Tzalam"/>
    <n v="57.5"/>
    <n v="18.302818455567966"/>
    <n v="6"/>
    <n v="12"/>
    <m/>
    <s v="C"/>
    <s v="S"/>
    <x v="0"/>
    <x v="4"/>
    <x v="4"/>
    <n v="3"/>
    <s v="Vol = Exp(-10.07810188+1.92989964*LN(DIAMETRO)+1.07701930*LN(ALTURATOTAL))."/>
    <n v="0.16671242749319176"/>
  </r>
  <r>
    <n v="11"/>
    <x v="2"/>
    <n v="1"/>
    <n v="5"/>
    <n v="6"/>
    <s v="Leguminosae"/>
    <s v="Lysiloma latisiliquum"/>
    <s v="Tzalam"/>
    <n v="56.5"/>
    <n v="17.984508569384175"/>
    <n v="2"/>
    <n v="11"/>
    <m/>
    <s v="C"/>
    <s v="S"/>
    <x v="0"/>
    <x v="1"/>
    <x v="4"/>
    <n v="3"/>
    <s v="Vol = Exp(-10.07810188+1.92989964*LN(DIAMETRO)+1.07701930*LN(ALTURATOTAL))."/>
    <n v="0.1467453318250006"/>
  </r>
  <r>
    <n v="12"/>
    <x v="2"/>
    <n v="2"/>
    <n v="5"/>
    <n v="6"/>
    <s v="Leguminosae"/>
    <s v="Lysiloma latisiliquum"/>
    <s v="Tzalam"/>
    <n v="34"/>
    <n v="10.822536130248883"/>
    <n v="5"/>
    <n v="10"/>
    <m/>
    <s v="C"/>
    <s v="S"/>
    <x v="0"/>
    <x v="1"/>
    <x v="1"/>
    <n v="3"/>
    <s v="Vol = Exp(-10.07810188+1.92989964*LN(DIAMETRO)+1.07701930*LN(ALTURATOTAL))."/>
    <n v="4.9694292943476354E-2"/>
  </r>
  <r>
    <n v="9"/>
    <x v="2"/>
    <n v="2"/>
    <n v="7"/>
    <n v="7"/>
    <s v="Leguminosae"/>
    <s v="Lysiloma latisiliquum"/>
    <s v="Tzalam"/>
    <n v="55"/>
    <n v="17.507043740108486"/>
    <n v="2.2999999999999998"/>
    <n v="11"/>
    <m/>
    <s v="C"/>
    <s v="S"/>
    <x v="0"/>
    <x v="1"/>
    <x v="4"/>
    <n v="3"/>
    <s v="Vol = Exp(-10.07810188+1.92989964*LN(DIAMETRO)+1.07701930*LN(ALTURATOTAL))."/>
    <n v="0.13931951497347062"/>
  </r>
  <r>
    <n v="10"/>
    <x v="2"/>
    <n v="2"/>
    <n v="7"/>
    <n v="7"/>
    <s v="Leguminosae"/>
    <s v="Lysiloma latisiliquum"/>
    <s v="Tzalam"/>
    <n v="48.5"/>
    <n v="15.438029479913848"/>
    <n v="4"/>
    <n v="11"/>
    <m/>
    <s v="C"/>
    <s v="S"/>
    <x v="0"/>
    <x v="1"/>
    <x v="2"/>
    <n v="3"/>
    <s v="Vol = Exp(-10.07810188+1.92989964*LN(DIAMETRO)+1.07701930*LN(ALTURATOTAL))."/>
    <n v="0.10929467434213644"/>
  </r>
  <r>
    <n v="12"/>
    <x v="2"/>
    <n v="3"/>
    <n v="6"/>
    <n v="7"/>
    <s v="Leguminosae"/>
    <s v="Lysiloma latisiliquum"/>
    <s v="Tzalam"/>
    <n v="36"/>
    <n v="11.459155902616464"/>
    <n v="2.2000000000000002"/>
    <n v="10"/>
    <m/>
    <s v="C"/>
    <s v="S"/>
    <x v="0"/>
    <x v="1"/>
    <x v="1"/>
    <n v="3"/>
    <s v="Vol = Exp(-10.07810188+1.92989964*LN(DIAMETRO)+1.07701930*LN(ALTURATOTAL))."/>
    <n v="5.5489848754045175E-2"/>
  </r>
  <r>
    <n v="12"/>
    <x v="0"/>
    <n v="1"/>
    <n v="6"/>
    <n v="7"/>
    <s v="Leguminosae"/>
    <s v="Lysiloma latisiliquum"/>
    <s v="Tzalam"/>
    <n v="19"/>
    <n v="6.0478878374920226"/>
    <n v="7"/>
    <n v="9"/>
    <m/>
    <s v="C"/>
    <s v="S"/>
    <x v="0"/>
    <x v="1"/>
    <x v="0"/>
    <m/>
    <m/>
    <m/>
  </r>
  <r>
    <n v="9"/>
    <x v="2"/>
    <n v="2"/>
    <n v="8"/>
    <n v="8"/>
    <s v="Leguminosae"/>
    <s v="Lysiloma latisiliquum"/>
    <s v="Tzalam"/>
    <n v="56.5"/>
    <n v="17.984508569384175"/>
    <n v="3.5"/>
    <n v="12"/>
    <m/>
    <s v="C"/>
    <s v="S"/>
    <x v="0"/>
    <x v="4"/>
    <x v="4"/>
    <n v="3"/>
    <s v="Vol = Exp(-10.07810188+1.92989964*LN(DIAMETRO)+1.07701930*LN(ALTURATOTAL))."/>
    <n v="0.16116224333455983"/>
  </r>
  <r>
    <n v="12"/>
    <x v="0"/>
    <n v="1"/>
    <n v="7"/>
    <n v="8"/>
    <s v="Leguminosae"/>
    <s v="Lysiloma latisiliquum"/>
    <s v="Tzalam"/>
    <n v="23.5"/>
    <n v="7.4802823253190809"/>
    <n v="8"/>
    <n v="10"/>
    <m/>
    <s v="C"/>
    <s v="S"/>
    <x v="0"/>
    <x v="1"/>
    <x v="0"/>
    <m/>
    <m/>
    <m/>
  </r>
  <r>
    <n v="6"/>
    <x v="2"/>
    <n v="3"/>
    <n v="8"/>
    <n v="9"/>
    <s v="Leguminosae"/>
    <s v="Lysiloma latisiliquum"/>
    <s v="Tzalam"/>
    <n v="38"/>
    <n v="12.095775674984045"/>
    <n v="3"/>
    <n v="10"/>
    <m/>
    <s v="C"/>
    <s v="S"/>
    <x v="0"/>
    <x v="1"/>
    <x v="1"/>
    <n v="3"/>
    <s v="Vol = Exp(-10.07810188+1.92989964*LN(DIAMETRO)+1.07701930*LN(ALTURATOTAL))."/>
    <n v="6.1592764828348724E-2"/>
  </r>
  <r>
    <n v="10"/>
    <x v="2"/>
    <n v="3"/>
    <n v="9"/>
    <n v="9"/>
    <s v="Leguminosae"/>
    <s v="Lysiloma latisiliquum"/>
    <s v="Tzalam"/>
    <n v="46.5"/>
    <n v="14.801409707546267"/>
    <n v="5"/>
    <n v="13"/>
    <m/>
    <s v="C"/>
    <s v="S"/>
    <x v="0"/>
    <x v="4"/>
    <x v="2"/>
    <n v="3"/>
    <s v="Vol = Exp(-10.07810188+1.92989964*LN(DIAMETRO)+1.07701930*LN(ALTURATOTAL))."/>
    <n v="0.12062628371070527"/>
  </r>
  <r>
    <n v="12"/>
    <x v="2"/>
    <n v="3"/>
    <n v="8"/>
    <n v="9"/>
    <s v="Leguminosae"/>
    <s v="Lysiloma latisiliquum"/>
    <s v="Tzalam"/>
    <n v="31.5"/>
    <n v="10.026761414789407"/>
    <n v="3.5"/>
    <n v="9"/>
    <m/>
    <s v="C"/>
    <s v="S"/>
    <x v="0"/>
    <x v="1"/>
    <x v="1"/>
    <n v="3"/>
    <s v="Vol = Exp(-10.07810188+1.92989964*LN(DIAMETRO)+1.07701930*LN(ALTURATOTAL))."/>
    <n v="3.8283638178890481E-2"/>
  </r>
  <r>
    <n v="12"/>
    <x v="0"/>
    <n v="2"/>
    <n v="8"/>
    <n v="9"/>
    <s v="Leguminosae"/>
    <s v="Lysiloma latisiliquum"/>
    <s v="Tzalam"/>
    <n v="24"/>
    <n v="7.6394372684109761"/>
    <n v="3.5"/>
    <n v="9"/>
    <m/>
    <s v="C"/>
    <s v="S"/>
    <x v="0"/>
    <x v="1"/>
    <x v="1"/>
    <m/>
    <m/>
    <m/>
  </r>
  <r>
    <n v="8"/>
    <x v="2"/>
    <n v="1"/>
    <n v="9"/>
    <n v="10"/>
    <s v="Leguminosae"/>
    <s v="Lysiloma latisiliquum"/>
    <s v="Tzalam"/>
    <n v="48"/>
    <n v="15.278874536821952"/>
    <n v="5.5"/>
    <n v="12"/>
    <m/>
    <s v="C"/>
    <s v="S"/>
    <x v="0"/>
    <x v="4"/>
    <x v="2"/>
    <n v="3"/>
    <s v="Vol = Exp(-10.07810188+1.92989964*LN(DIAMETRO)+1.07701930*LN(ALTURATOTAL))."/>
    <n v="0.11765557051225319"/>
  </r>
  <r>
    <n v="9"/>
    <x v="2"/>
    <n v="2"/>
    <n v="10"/>
    <n v="10"/>
    <s v="Leguminosae"/>
    <s v="Lysiloma latisiliquum"/>
    <s v="Tzalam"/>
    <n v="41"/>
    <n v="13.050705333535419"/>
    <n v="7.5"/>
    <n v="11"/>
    <m/>
    <s v="C"/>
    <s v="S"/>
    <x v="0"/>
    <x v="1"/>
    <x v="2"/>
    <n v="3"/>
    <s v="Vol = Exp(-10.07810188+1.92989964*LN(DIAMETRO)+1.07701930*LN(ALTURATOTAL))."/>
    <n v="7.9031024235165448E-2"/>
  </r>
  <r>
    <n v="11"/>
    <x v="2"/>
    <n v="2"/>
    <n v="9"/>
    <n v="10"/>
    <s v="Leguminosae"/>
    <s v="Lysiloma latisiliquum"/>
    <s v="Tzalam"/>
    <n v="42.5"/>
    <n v="13.528170162811104"/>
    <n v="3.5"/>
    <n v="9"/>
    <m/>
    <s v="C"/>
    <s v="S"/>
    <x v="0"/>
    <x v="1"/>
    <x v="2"/>
    <n v="3"/>
    <s v="Vol = Exp(-10.07810188+1.92989964*LN(DIAMETRO)+1.07701930*LN(ALTURATOTAL))."/>
    <n v="6.8241947852802673E-2"/>
  </r>
  <r>
    <n v="12"/>
    <x v="0"/>
    <n v="2"/>
    <n v="9"/>
    <n v="10"/>
    <s v="Leguminosae"/>
    <s v="Lysiloma latisiliquum"/>
    <s v="Tzalam"/>
    <n v="22.5"/>
    <n v="7.1619724391352904"/>
    <n v="2"/>
    <n v="10"/>
    <m/>
    <s v="C"/>
    <s v="S"/>
    <x v="0"/>
    <x v="1"/>
    <x v="0"/>
    <m/>
    <m/>
    <m/>
  </r>
  <r>
    <n v="7"/>
    <x v="2"/>
    <n v="2"/>
    <n v="8"/>
    <n v="11"/>
    <s v="Leguminosae"/>
    <s v="Lysiloma latisiliquum"/>
    <s v="Tzalam"/>
    <n v="95"/>
    <n v="30.239439187460114"/>
    <n v="7"/>
    <n v="14"/>
    <m/>
    <s v="C"/>
    <s v="S"/>
    <x v="0"/>
    <x v="5"/>
    <x v="5"/>
    <n v="3"/>
    <s v="Vol = Exp(-10.07810188+1.92989964*LN(DIAMETRO)+1.07701930*LN(ALTURATOTAL))."/>
    <n v="0.51867664581607975"/>
  </r>
  <r>
    <n v="12"/>
    <x v="0"/>
    <n v="2"/>
    <n v="10"/>
    <n v="11"/>
    <s v="Leguminosae"/>
    <s v="Lysiloma latisiliquum"/>
    <s v="Tzalam"/>
    <n v="21.5"/>
    <n v="6.8436625529514998"/>
    <n v="2.2000000000000002"/>
    <n v="8"/>
    <m/>
    <s v="CB"/>
    <s v="S"/>
    <x v="0"/>
    <x v="0"/>
    <x v="0"/>
    <m/>
    <m/>
    <m/>
  </r>
  <r>
    <n v="1"/>
    <x v="2"/>
    <n v="2"/>
    <n v="11"/>
    <n v="12"/>
    <s v="Leguminosae"/>
    <s v="Lysiloma latisiliquum"/>
    <s v="Tzalam"/>
    <n v="73"/>
    <n v="23.236621691416719"/>
    <n v="6"/>
    <n v="13"/>
    <m/>
    <s v="CB"/>
    <s v="S"/>
    <x v="0"/>
    <x v="4"/>
    <x v="3"/>
    <n v="3"/>
    <s v="Vol = Exp(-10.07810188+1.92989964*LN(DIAMETRO)+1.07701930*LN(ALTURATOTAL))."/>
    <n v="0.28803894503210853"/>
  </r>
  <r>
    <n v="12"/>
    <x v="0"/>
    <n v="2"/>
    <s v="10A"/>
    <n v="12"/>
    <s v="Leguminosae"/>
    <s v="Lysiloma latisiliquum"/>
    <s v="Tzalam"/>
    <n v="19"/>
    <n v="6.0478878374920226"/>
    <n v="6"/>
    <n v="8"/>
    <m/>
    <s v="C"/>
    <s v="S"/>
    <x v="1"/>
    <x v="0"/>
    <x v="0"/>
    <m/>
    <m/>
    <m/>
  </r>
  <r>
    <n v="1"/>
    <x v="2"/>
    <n v="2"/>
    <s v="11A"/>
    <n v="13"/>
    <s v="Leguminosae"/>
    <s v="Lysiloma latisiliquum"/>
    <s v="Tzalam"/>
    <n v="64"/>
    <n v="20.371832715762604"/>
    <n v="6"/>
    <n v="13"/>
    <m/>
    <s v="C"/>
    <s v="S"/>
    <x v="1"/>
    <x v="4"/>
    <x v="4"/>
    <n v="3"/>
    <s v="Vol = Exp(-10.07810188+1.92989964*LN(DIAMETRO)+1.07701930*LN(ALTURATOTAL))."/>
    <n v="0.22344527539885364"/>
  </r>
  <r>
    <n v="12"/>
    <x v="0"/>
    <n v="2"/>
    <n v="11"/>
    <n v="13"/>
    <s v="Leguminosae"/>
    <s v="Lysiloma latisiliquum"/>
    <s v="Tzalam"/>
    <n v="29.5"/>
    <n v="9.3901416424218258"/>
    <n v="7"/>
    <n v="11"/>
    <m/>
    <s v="CB"/>
    <s v="S"/>
    <x v="0"/>
    <x v="1"/>
    <x v="1"/>
    <m/>
    <m/>
    <m/>
  </r>
  <r>
    <n v="1"/>
    <x v="2"/>
    <n v="2"/>
    <s v="11B"/>
    <n v="14"/>
    <s v="Leguminosae"/>
    <s v="Lysiloma latisiliquum"/>
    <s v="Tzalam"/>
    <n v="50"/>
    <n v="15.915494309189533"/>
    <n v="4"/>
    <n v="11"/>
    <m/>
    <s v="C"/>
    <s v="S"/>
    <x v="1"/>
    <x v="1"/>
    <x v="2"/>
    <n v="3"/>
    <s v="Vol = Exp(-10.07810188+1.92989964*LN(DIAMETRO)+1.07701930*LN(ALTURATOTAL))."/>
    <n v="0.11591195362313406"/>
  </r>
  <r>
    <n v="7"/>
    <x v="2"/>
    <n v="2"/>
    <n v="11"/>
    <n v="14"/>
    <s v="Leguminosae"/>
    <s v="Lysiloma latisiliquum"/>
    <s v="Tzalam"/>
    <n v="60"/>
    <n v="19.098593171027442"/>
    <n v="2.6"/>
    <n v="14"/>
    <m/>
    <s v="C"/>
    <s v="S"/>
    <x v="0"/>
    <x v="5"/>
    <x v="4"/>
    <n v="3"/>
    <s v="Vol = Exp(-10.07810188+1.92989964*LN(DIAMETRO)+1.07701930*LN(ALTURATOTAL))."/>
    <n v="0.21366927568123606"/>
  </r>
  <r>
    <n v="11"/>
    <x v="2"/>
    <n v="3"/>
    <n v="13"/>
    <n v="14"/>
    <s v="Leguminosae"/>
    <s v="Lysiloma latisiliquum"/>
    <s v="Tzalam"/>
    <n v="51"/>
    <n v="16.233804195373324"/>
    <n v="4"/>
    <n v="10"/>
    <m/>
    <s v="C"/>
    <s v="S"/>
    <x v="0"/>
    <x v="1"/>
    <x v="2"/>
    <n v="3"/>
    <s v="Vol = Exp(-10.07810188+1.92989964*LN(DIAMETRO)+1.07701930*LN(ALTURATOTAL))."/>
    <n v="0.10867883474040876"/>
  </r>
  <r>
    <n v="12"/>
    <x v="0"/>
    <n v="2"/>
    <s v="11A"/>
    <n v="14"/>
    <s v="Leguminosae"/>
    <s v="Lysiloma latisiliquum"/>
    <s v="Tzalam"/>
    <n v="21.5"/>
    <n v="6.8436625529514998"/>
    <n v="6"/>
    <n v="9"/>
    <m/>
    <s v="C"/>
    <s v="S"/>
    <x v="1"/>
    <x v="1"/>
    <x v="0"/>
    <m/>
    <m/>
    <m/>
  </r>
  <r>
    <n v="7"/>
    <x v="2"/>
    <n v="2"/>
    <n v="12"/>
    <n v="15"/>
    <s v="Leguminosae"/>
    <s v="Lysiloma latisiliquum"/>
    <s v="Tzalam"/>
    <n v="66"/>
    <n v="21.008452488130185"/>
    <n v="6"/>
    <n v="14"/>
    <m/>
    <s v="C"/>
    <s v="S"/>
    <x v="0"/>
    <x v="5"/>
    <x v="4"/>
    <n v="3"/>
    <s v="Vol = Exp(-10.07810188+1.92989964*LN(DIAMETRO)+1.07701930*LN(ALTURATOTAL))."/>
    <n v="0.25681820487150631"/>
  </r>
  <r>
    <n v="11"/>
    <x v="2"/>
    <n v="3"/>
    <n v="14"/>
    <n v="15"/>
    <s v="Leguminosae"/>
    <s v="Lysiloma latisiliquum"/>
    <s v="Tzalam"/>
    <n v="39.5"/>
    <n v="12.573240504259733"/>
    <n v="4.5"/>
    <n v="13"/>
    <m/>
    <s v="C"/>
    <s v="S"/>
    <x v="0"/>
    <x v="4"/>
    <x v="2"/>
    <n v="3"/>
    <s v="Vol = Exp(-10.07810188+1.92989964*LN(DIAMETRO)+1.07701930*LN(ALTURATOTAL))."/>
    <n v="8.8043491073533861E-2"/>
  </r>
  <r>
    <n v="12"/>
    <x v="0"/>
    <n v="2"/>
    <s v="11A"/>
    <n v="15"/>
    <s v="Leguminosae"/>
    <s v="Lysiloma latisiliquum"/>
    <s v="Tzalam"/>
    <n v="22"/>
    <n v="7.0028174960433951"/>
    <n v="2.5"/>
    <n v="7"/>
    <m/>
    <s v="C"/>
    <s v="S"/>
    <x v="1"/>
    <x v="0"/>
    <x v="0"/>
    <m/>
    <m/>
    <m/>
  </r>
  <r>
    <n v="7"/>
    <x v="2"/>
    <n v="2"/>
    <n v="13"/>
    <n v="16"/>
    <s v="Leguminosae"/>
    <s v="Lysiloma latisiliquum"/>
    <s v="Tzalam"/>
    <n v="66.5"/>
    <n v="21.167607431222081"/>
    <n v="8"/>
    <n v="14"/>
    <m/>
    <s v="C"/>
    <s v="S"/>
    <x v="0"/>
    <x v="5"/>
    <x v="4"/>
    <n v="3"/>
    <s v="Vol = Exp(-10.07810188+1.92989964*LN(DIAMETRO)+1.07701930*LN(ALTURATOTAL))."/>
    <n v="0.26058622642796037"/>
  </r>
  <r>
    <n v="8"/>
    <x v="2"/>
    <n v="1"/>
    <n v="15"/>
    <n v="16"/>
    <s v="Leguminosae"/>
    <s v="Lysiloma latisiliquum"/>
    <s v="Tzalam"/>
    <n v="72"/>
    <n v="22.918311805232928"/>
    <n v="4.5"/>
    <n v="12"/>
    <m/>
    <s v="C"/>
    <s v="S"/>
    <x v="0"/>
    <x v="4"/>
    <x v="3"/>
    <n v="3"/>
    <s v="Vol = Exp(-10.07810188+1.92989964*LN(DIAMETRO)+1.07701930*LN(ALTURATOTAL))."/>
    <n v="0.25730661503793956"/>
  </r>
  <r>
    <n v="9"/>
    <x v="2"/>
    <n v="4"/>
    <n v="16"/>
    <n v="16"/>
    <s v="Leguminosae"/>
    <s v="Lysiloma latisiliquum"/>
    <s v="Tzalam"/>
    <n v="51"/>
    <n v="16.233804195373324"/>
    <n v="5"/>
    <n v="12"/>
    <m/>
    <s v="C"/>
    <s v="S"/>
    <x v="0"/>
    <x v="4"/>
    <x v="2"/>
    <n v="3"/>
    <s v="Vol = Exp(-10.07810188+1.92989964*LN(DIAMETRO)+1.07701930*LN(ALTURATOTAL))."/>
    <n v="0.13225883820616102"/>
  </r>
  <r>
    <n v="12"/>
    <x v="0"/>
    <n v="2"/>
    <n v="12"/>
    <n v="16"/>
    <s v="Leguminosae"/>
    <s v="Lysiloma latisiliquum"/>
    <s v="Tzalam"/>
    <n v="22"/>
    <n v="7.0028174960433951"/>
    <n v="6"/>
    <n v="9"/>
    <m/>
    <s v="CB"/>
    <s v="S"/>
    <x v="0"/>
    <x v="1"/>
    <x v="0"/>
    <m/>
    <m/>
    <m/>
  </r>
  <r>
    <n v="7"/>
    <x v="2"/>
    <n v="2"/>
    <n v="14"/>
    <n v="17"/>
    <s v="Leguminosae"/>
    <s v="Lysiloma latisiliquum"/>
    <s v="Tzalam"/>
    <n v="81"/>
    <n v="25.783100780887047"/>
    <n v="4"/>
    <n v="12"/>
    <m/>
    <s v="C"/>
    <s v="S"/>
    <x v="0"/>
    <x v="4"/>
    <x v="3"/>
    <n v="3"/>
    <s v="Vol = Exp(-10.07810188+1.92989964*LN(DIAMETRO)+1.07701930*LN(ALTURATOTAL))."/>
    <n v="0.32297595137543411"/>
  </r>
  <r>
    <n v="8"/>
    <x v="2"/>
    <n v="2"/>
    <n v="16"/>
    <n v="17"/>
    <s v="Leguminosae"/>
    <s v="Lysiloma latisiliquum"/>
    <s v="Tzalam"/>
    <n v="64"/>
    <n v="20.371832715762604"/>
    <n v="7"/>
    <n v="12"/>
    <m/>
    <s v="CB"/>
    <s v="S"/>
    <x v="0"/>
    <x v="4"/>
    <x v="4"/>
    <n v="3"/>
    <s v="Vol = Exp(-10.07810188+1.92989964*LN(DIAMETRO)+1.07701930*LN(ALTURATOTAL))."/>
    <n v="0.20498954755093329"/>
  </r>
  <r>
    <n v="12"/>
    <x v="0"/>
    <n v="2"/>
    <s v="12A"/>
    <n v="17"/>
    <s v="Leguminosae"/>
    <s v="Lysiloma latisiliquum"/>
    <s v="Tzalam"/>
    <n v="17"/>
    <n v="5.4112680651244416"/>
    <n v="6"/>
    <n v="9"/>
    <m/>
    <s v="C"/>
    <s v="S"/>
    <x v="1"/>
    <x v="1"/>
    <x v="0"/>
    <m/>
    <m/>
    <m/>
  </r>
  <r>
    <n v="8"/>
    <x v="2"/>
    <n v="2"/>
    <s v="16A"/>
    <n v="18"/>
    <s v="Leguminosae"/>
    <s v="Lysiloma latisiliquum"/>
    <s v="Tzalam"/>
    <n v="42"/>
    <n v="13.369015219719209"/>
    <n v="5.5"/>
    <n v="12"/>
    <m/>
    <s v="C"/>
    <s v="S"/>
    <x v="1"/>
    <x v="4"/>
    <x v="2"/>
    <n v="3"/>
    <s v="Vol = Exp(-10.07810188+1.92989964*LN(DIAMETRO)+1.07701930*LN(ALTURATOTAL))."/>
    <n v="9.0927208121807365E-2"/>
  </r>
  <r>
    <n v="12"/>
    <x v="0"/>
    <n v="2"/>
    <n v="13"/>
    <n v="18"/>
    <s v="Leguminosae"/>
    <s v="Lysiloma latisiliquum"/>
    <s v="Tzalam"/>
    <n v="18.5"/>
    <n v="5.8887328944001274"/>
    <n v="3.5"/>
    <n v="8"/>
    <m/>
    <s v="C"/>
    <s v="S"/>
    <x v="0"/>
    <x v="0"/>
    <x v="0"/>
    <m/>
    <m/>
    <m/>
  </r>
  <r>
    <n v="7"/>
    <x v="2"/>
    <n v="2"/>
    <n v="16"/>
    <n v="19"/>
    <s v="Leguminosae"/>
    <s v="Lysiloma latisiliquum"/>
    <s v="Tzalam"/>
    <n v="44"/>
    <n v="14.00563499208679"/>
    <n v="5"/>
    <n v="12"/>
    <m/>
    <s v="C"/>
    <s v="S"/>
    <x v="0"/>
    <x v="4"/>
    <x v="2"/>
    <n v="3"/>
    <s v="Vol = Exp(-10.07810188+1.92989964*LN(DIAMETRO)+1.07701930*LN(ALTURATOTAL))."/>
    <n v="9.9468224071552369E-2"/>
  </r>
  <r>
    <n v="7"/>
    <x v="2"/>
    <n v="2"/>
    <n v="17"/>
    <n v="20"/>
    <s v="Leguminosae"/>
    <s v="Lysiloma latisiliquum"/>
    <s v="Tzalam"/>
    <n v="40"/>
    <n v="12.732395447351628"/>
    <n v="7"/>
    <n v="13"/>
    <m/>
    <s v="C"/>
    <s v="S"/>
    <x v="0"/>
    <x v="4"/>
    <x v="2"/>
    <n v="3"/>
    <s v="Vol = Exp(-10.07810188+1.92989964*LN(DIAMETRO)+1.07701930*LN(ALTURATOTAL))."/>
    <n v="9.0206969962133579E-2"/>
  </r>
  <r>
    <n v="7"/>
    <x v="2"/>
    <n v="2"/>
    <n v="18"/>
    <n v="21"/>
    <s v="Leguminosae"/>
    <s v="Lysiloma latisiliquum"/>
    <s v="Tzalam"/>
    <n v="40"/>
    <n v="12.732395447351628"/>
    <n v="6.5"/>
    <n v="12"/>
    <m/>
    <s v="C"/>
    <s v="S"/>
    <x v="0"/>
    <x v="4"/>
    <x v="2"/>
    <n v="3"/>
    <s v="Vol = Exp(-10.07810188+1.92989964*LN(DIAMETRO)+1.07701930*LN(ALTURATOTAL))."/>
    <n v="8.2756218163354642E-2"/>
  </r>
  <r>
    <n v="12"/>
    <x v="0"/>
    <n v="3"/>
    <n v="16"/>
    <n v="21"/>
    <s v="Leguminosae"/>
    <s v="Lysiloma latisiliquum"/>
    <s v="Tzalam"/>
    <n v="25.5"/>
    <n v="8.1169020976866619"/>
    <n v="1.8"/>
    <n v="9"/>
    <m/>
    <s v="CB"/>
    <s v="S"/>
    <x v="0"/>
    <x v="1"/>
    <x v="1"/>
    <m/>
    <m/>
    <m/>
  </r>
  <r>
    <n v="1"/>
    <x v="2"/>
    <n v="4"/>
    <n v="19"/>
    <n v="22"/>
    <s v="Leguminosae"/>
    <s v="Lysiloma latisiliquum"/>
    <s v="Tzalam"/>
    <n v="37"/>
    <n v="11.777465788800255"/>
    <n v="6.5"/>
    <n v="12"/>
    <m/>
    <s v="C"/>
    <s v="S"/>
    <x v="0"/>
    <x v="4"/>
    <x v="1"/>
    <n v="3"/>
    <s v="Vol = Exp(-10.07810188+1.92989964*LN(DIAMETRO)+1.07701930*LN(ALTURATOTAL))."/>
    <n v="7.1196325189988363E-2"/>
  </r>
  <r>
    <n v="5"/>
    <x v="2"/>
    <n v="2"/>
    <n v="20"/>
    <n v="22"/>
    <s v="Leguminosae"/>
    <s v="Lysiloma latisiliquum"/>
    <s v="Tzalam"/>
    <n v="39.5"/>
    <n v="12.573240504259733"/>
    <n v="3"/>
    <n v="12"/>
    <m/>
    <s v="C"/>
    <s v="S"/>
    <x v="0"/>
    <x v="4"/>
    <x v="2"/>
    <n v="3"/>
    <s v="Vol = Exp(-10.07810188+1.92989964*LN(DIAMETRO)+1.07701930*LN(ALTURATOTAL))."/>
    <n v="8.0771434382545651E-2"/>
  </r>
  <r>
    <n v="7"/>
    <x v="2"/>
    <n v="2"/>
    <n v="19"/>
    <n v="22"/>
    <s v="Leguminosae"/>
    <s v="Lysiloma latisiliquum"/>
    <s v="Tzalam"/>
    <n v="66.5"/>
    <n v="21.167607431222081"/>
    <n v="10"/>
    <n v="15"/>
    <m/>
    <s v="C"/>
    <s v="S"/>
    <x v="0"/>
    <x v="5"/>
    <x v="4"/>
    <n v="3"/>
    <s v="Vol = Exp(-10.07810188+1.92989964*LN(DIAMETRO)+1.07701930*LN(ALTURATOTAL))."/>
    <n v="0.28068708269994885"/>
  </r>
  <r>
    <n v="12"/>
    <x v="0"/>
    <n v="3"/>
    <s v="16A"/>
    <n v="22"/>
    <s v="Leguminosae"/>
    <s v="Lysiloma latisiliquum"/>
    <s v="Tzalam"/>
    <n v="20"/>
    <n v="6.366197723675814"/>
    <n v="2.2999999999999998"/>
    <n v="9"/>
    <m/>
    <s v="C"/>
    <s v="S"/>
    <x v="1"/>
    <x v="1"/>
    <x v="0"/>
    <m/>
    <m/>
    <m/>
  </r>
  <r>
    <n v="7"/>
    <x v="2"/>
    <n v="2"/>
    <n v="20"/>
    <n v="23"/>
    <s v="Leguminosae"/>
    <s v="Lysiloma latisiliquum"/>
    <s v="Tzalam"/>
    <n v="80"/>
    <n v="25.464790894703256"/>
    <n v="7"/>
    <n v="13"/>
    <m/>
    <s v="C"/>
    <s v="S"/>
    <x v="0"/>
    <x v="4"/>
    <x v="3"/>
    <n v="3"/>
    <s v="Vol = Exp(-10.07810188+1.92989964*LN(DIAMETRO)+1.07701930*LN(ALTURATOTAL))."/>
    <n v="0.34371443802822454"/>
  </r>
  <r>
    <n v="12"/>
    <x v="0"/>
    <n v="3"/>
    <s v="16B"/>
    <n v="23"/>
    <s v="Leguminosae"/>
    <s v="Lysiloma latisiliquum"/>
    <s v="Tzalam"/>
    <n v="17.5"/>
    <n v="5.5704230082163368"/>
    <n v="3"/>
    <n v="7"/>
    <m/>
    <s v="C"/>
    <s v="S"/>
    <x v="1"/>
    <x v="0"/>
    <x v="0"/>
    <m/>
    <m/>
    <m/>
  </r>
  <r>
    <n v="7"/>
    <x v="2"/>
    <n v="2"/>
    <n v="21"/>
    <n v="24"/>
    <s v="Leguminosae"/>
    <s v="Lysiloma latisiliquum"/>
    <s v="Tzalam"/>
    <n v="66"/>
    <n v="21.008452488130185"/>
    <n v="8"/>
    <n v="13"/>
    <m/>
    <s v="C"/>
    <s v="S"/>
    <x v="0"/>
    <x v="4"/>
    <x v="4"/>
    <n v="3"/>
    <s v="Vol = Exp(-10.07810188+1.92989964*LN(DIAMETRO)+1.07701930*LN(ALTURATOTAL))."/>
    <n v="0.23711677569882433"/>
  </r>
  <r>
    <n v="12"/>
    <x v="0"/>
    <n v="3"/>
    <n v="17"/>
    <n v="24"/>
    <s v="Leguminosae"/>
    <s v="Lysiloma latisiliquum"/>
    <s v="Tzalam"/>
    <n v="26"/>
    <n v="8.2760570407785572"/>
    <n v="3.5"/>
    <n v="9"/>
    <m/>
    <s v="CB"/>
    <s v="S"/>
    <x v="0"/>
    <x v="1"/>
    <x v="1"/>
    <m/>
    <m/>
    <m/>
  </r>
  <r>
    <n v="12"/>
    <x v="0"/>
    <n v="3"/>
    <s v="17A"/>
    <n v="25"/>
    <s v="Leguminosae"/>
    <s v="Lysiloma latisiliquum"/>
    <s v="Tzalam"/>
    <n v="23"/>
    <n v="7.3211273822271856"/>
    <n v="2"/>
    <n v="9"/>
    <m/>
    <s v="C"/>
    <s v="S"/>
    <x v="1"/>
    <x v="1"/>
    <x v="0"/>
    <m/>
    <m/>
    <m/>
  </r>
  <r>
    <n v="5"/>
    <x v="2"/>
    <n v="2"/>
    <n v="24"/>
    <n v="26"/>
    <s v="Leguminosae"/>
    <s v="Lysiloma latisiliquum"/>
    <s v="Tzalam"/>
    <n v="63"/>
    <n v="20.053522829578814"/>
    <n v="2.5"/>
    <n v="12"/>
    <m/>
    <s v="C"/>
    <s v="S"/>
    <x v="0"/>
    <x v="4"/>
    <x v="4"/>
    <n v="3"/>
    <s v="Vol = Exp(-10.07810188+1.92989964*LN(DIAMETRO)+1.07701930*LN(ALTURATOTAL))."/>
    <n v="0.19885307627007709"/>
  </r>
  <r>
    <n v="12"/>
    <x v="0"/>
    <n v="3"/>
    <s v="17B"/>
    <n v="26"/>
    <s v="Leguminosae"/>
    <s v="Lysiloma latisiliquum"/>
    <s v="Tzalam"/>
    <n v="21.5"/>
    <n v="6.8436625529514998"/>
    <n v="3"/>
    <n v="9"/>
    <m/>
    <s v="C"/>
    <s v="S"/>
    <x v="1"/>
    <x v="1"/>
    <x v="0"/>
    <m/>
    <m/>
    <m/>
  </r>
  <r>
    <n v="8"/>
    <x v="2"/>
    <n v="2"/>
    <n v="25"/>
    <n v="27"/>
    <s v="Leguminosae"/>
    <s v="Lysiloma latisiliquum"/>
    <s v="Tzalam"/>
    <n v="61"/>
    <n v="19.416903057211233"/>
    <n v="6.5"/>
    <n v="12"/>
    <m/>
    <s v="C"/>
    <s v="S"/>
    <x v="0"/>
    <x v="4"/>
    <x v="4"/>
    <n v="3"/>
    <s v="Vol = Exp(-10.07810188+1.92989964*LN(DIAMETRO)+1.07701930*LN(ALTURATOTAL))."/>
    <n v="0.18684997375246193"/>
  </r>
  <r>
    <n v="12"/>
    <x v="0"/>
    <n v="3"/>
    <n v="18"/>
    <n v="27"/>
    <s v="Leguminosae"/>
    <s v="Lysiloma latisiliquum"/>
    <s v="Tzalam"/>
    <n v="30"/>
    <n v="9.5492965855137211"/>
    <n v="2"/>
    <n v="9"/>
    <m/>
    <s v="CB"/>
    <s v="S"/>
    <x v="0"/>
    <x v="1"/>
    <x v="1"/>
    <m/>
    <m/>
    <m/>
  </r>
  <r>
    <n v="7"/>
    <x v="2"/>
    <n v="3"/>
    <n v="25"/>
    <n v="28"/>
    <s v="Leguminosae"/>
    <s v="Lysiloma latisiliquum"/>
    <s v="Tzalam"/>
    <n v="60"/>
    <n v="19.098593171027442"/>
    <n v="8"/>
    <n v="12"/>
    <m/>
    <s v="C"/>
    <s v="S"/>
    <x v="0"/>
    <x v="4"/>
    <x v="4"/>
    <n v="3"/>
    <s v="Vol = Exp(-10.07810188+1.92989964*LN(DIAMETRO)+1.07701930*LN(ALTURATOTAL))."/>
    <n v="0.18098354609343728"/>
  </r>
  <r>
    <n v="12"/>
    <x v="0"/>
    <n v="3"/>
    <s v="18A"/>
    <n v="28"/>
    <s v="Leguminosae"/>
    <s v="Lysiloma latisiliquum"/>
    <s v="Tzalam"/>
    <n v="29.5"/>
    <n v="9.3901416424218258"/>
    <n v="3"/>
    <n v="9"/>
    <m/>
    <s v="C"/>
    <s v="S"/>
    <x v="1"/>
    <x v="1"/>
    <x v="1"/>
    <m/>
    <m/>
    <m/>
  </r>
  <r>
    <n v="5"/>
    <x v="2"/>
    <n v="3"/>
    <n v="27"/>
    <n v="29"/>
    <s v="Leguminosae"/>
    <s v="Lysiloma latisiliquum"/>
    <s v="Tzalam"/>
    <n v="76"/>
    <n v="24.191551349968091"/>
    <n v="3.5"/>
    <n v="10"/>
    <m/>
    <s v="C"/>
    <s v="S"/>
    <x v="0"/>
    <x v="1"/>
    <x v="3"/>
    <n v="3"/>
    <s v="Vol = Exp(-10.07810188+1.92989964*LN(DIAMETRO)+1.07701930*LN(ALTURATOTAL))."/>
    <n v="0.23468610638919787"/>
  </r>
  <r>
    <n v="7"/>
    <x v="2"/>
    <n v="3"/>
    <n v="26"/>
    <n v="29"/>
    <s v="Leguminosae"/>
    <s v="Lysiloma latisiliquum"/>
    <s v="Tzalam"/>
    <n v="103"/>
    <n v="32.785918276930438"/>
    <n v="7"/>
    <n v="14"/>
    <m/>
    <s v="C"/>
    <s v="S"/>
    <x v="0"/>
    <x v="5"/>
    <x v="7"/>
    <n v="3"/>
    <s v="Vol = Exp(-10.07810188+1.92989964*LN(DIAMETRO)+1.07701930*LN(ALTURATOTAL))."/>
    <n v="0.60626494171036427"/>
  </r>
  <r>
    <n v="8"/>
    <x v="2"/>
    <n v="2"/>
    <n v="27"/>
    <n v="29"/>
    <s v="Leguminosae"/>
    <s v="Lysiloma latisiliquum"/>
    <s v="Tzalam"/>
    <n v="59"/>
    <n v="18.780283284843652"/>
    <n v="5"/>
    <n v="13"/>
    <m/>
    <s v="CB"/>
    <s v="S"/>
    <x v="0"/>
    <x v="4"/>
    <x v="4"/>
    <n v="3"/>
    <s v="Vol = Exp(-10.07810188+1.92989964*LN(DIAMETRO)+1.07701930*LN(ALTURATOTAL))."/>
    <n v="0.19098169981568194"/>
  </r>
  <r>
    <n v="12"/>
    <x v="0"/>
    <n v="3"/>
    <s v="18B"/>
    <n v="29"/>
    <s v="Leguminosae"/>
    <s v="Lysiloma latisiliquum"/>
    <s v="Tzalam"/>
    <n v="26.5"/>
    <n v="8.4352119838704525"/>
    <n v="2"/>
    <n v="9"/>
    <m/>
    <s v="C"/>
    <s v="S"/>
    <x v="1"/>
    <x v="1"/>
    <x v="1"/>
    <m/>
    <m/>
    <m/>
  </r>
  <r>
    <n v="7"/>
    <x v="2"/>
    <n v="3"/>
    <n v="27"/>
    <n v="30"/>
    <s v="Leguminosae"/>
    <s v="Lysiloma latisiliquum"/>
    <s v="Tzalam"/>
    <n v="77.5"/>
    <n v="24.669016179243776"/>
    <n v="7"/>
    <n v="14"/>
    <m/>
    <s v="C"/>
    <s v="S"/>
    <x v="0"/>
    <x v="5"/>
    <x v="3"/>
    <n v="3"/>
    <s v="Vol = Exp(-10.07810188+1.92989964*LN(DIAMETRO)+1.07701930*LN(ALTURATOTAL))."/>
    <n v="0.35014771400572942"/>
  </r>
  <r>
    <n v="8"/>
    <x v="2"/>
    <n v="2"/>
    <s v="27A"/>
    <n v="30"/>
    <s v="Leguminosae"/>
    <s v="Lysiloma latisiliquum"/>
    <s v="Tzalam"/>
    <n v="53"/>
    <n v="16.870423967740905"/>
    <n v="7"/>
    <n v="12"/>
    <m/>
    <s v="C"/>
    <s v="S"/>
    <x v="1"/>
    <x v="4"/>
    <x v="2"/>
    <n v="3"/>
    <s v="Vol = Exp(-10.07810188+1.92989964*LN(DIAMETRO)+1.07701930*LN(ALTURATOTAL))."/>
    <n v="0.14245084026081012"/>
  </r>
  <r>
    <n v="12"/>
    <x v="0"/>
    <n v="3"/>
    <n v="19"/>
    <n v="30"/>
    <s v="Leguminosae"/>
    <s v="Lysiloma latisiliquum"/>
    <s v="Tzalam"/>
    <n v="22.5"/>
    <n v="7.1619724391352904"/>
    <n v="6"/>
    <n v="10"/>
    <m/>
    <s v="C"/>
    <s v="S"/>
    <x v="0"/>
    <x v="1"/>
    <x v="0"/>
    <m/>
    <m/>
    <m/>
  </r>
  <r>
    <n v="7"/>
    <x v="2"/>
    <n v="3"/>
    <n v="28"/>
    <n v="31"/>
    <s v="Leguminosae"/>
    <s v="Lysiloma latisiliquum"/>
    <s v="Tzalam"/>
    <n v="54"/>
    <n v="17.188733853924695"/>
    <n v="7"/>
    <n v="13"/>
    <m/>
    <s v="C"/>
    <s v="S"/>
    <x v="0"/>
    <x v="4"/>
    <x v="2"/>
    <n v="3"/>
    <s v="Vol = Exp(-10.07810188+1.92989964*LN(DIAMETRO)+1.07701930*LN(ALTURATOTAL))."/>
    <n v="0.1609797275669124"/>
  </r>
  <r>
    <n v="8"/>
    <x v="2"/>
    <n v="3"/>
    <n v="28"/>
    <n v="31"/>
    <s v="Leguminosae"/>
    <s v="Lysiloma latisiliquum"/>
    <s v="Tzalam"/>
    <n v="34"/>
    <n v="10.822536130248883"/>
    <n v="4.5"/>
    <n v="10"/>
    <m/>
    <s v="C"/>
    <s v="S"/>
    <x v="0"/>
    <x v="1"/>
    <x v="1"/>
    <n v="3"/>
    <s v="Vol = Exp(-10.07810188+1.92989964*LN(DIAMETRO)+1.07701930*LN(ALTURATOTAL))."/>
    <n v="4.9694292943476354E-2"/>
  </r>
  <r>
    <n v="12"/>
    <x v="0"/>
    <n v="3"/>
    <n v="20"/>
    <n v="31"/>
    <s v="Leguminosae"/>
    <s v="Lysiloma latisiliquum"/>
    <s v="Tzalam"/>
    <n v="25.5"/>
    <n v="8.1169020976866619"/>
    <n v="6"/>
    <n v="9"/>
    <m/>
    <s v="CB"/>
    <s v="S"/>
    <x v="0"/>
    <x v="1"/>
    <x v="1"/>
    <m/>
    <m/>
    <m/>
  </r>
  <r>
    <n v="8"/>
    <x v="2"/>
    <n v="3"/>
    <n v="29"/>
    <n v="32"/>
    <s v="Leguminosae"/>
    <s v="Lysiloma latisiliquum"/>
    <s v="Tzalam"/>
    <n v="61"/>
    <n v="19.416903057211233"/>
    <n v="6"/>
    <n v="14"/>
    <m/>
    <s v="CB"/>
    <s v="S"/>
    <x v="0"/>
    <x v="5"/>
    <x v="4"/>
    <n v="3"/>
    <s v="Vol = Exp(-10.07810188+1.92989964*LN(DIAMETRO)+1.07701930*LN(ALTURATOTAL))."/>
    <n v="0.22059518345460358"/>
  </r>
  <r>
    <n v="12"/>
    <x v="0"/>
    <n v="3"/>
    <s v="20A"/>
    <n v="32"/>
    <s v="Leguminosae"/>
    <s v="Lysiloma latisiliquum"/>
    <s v="Tzalam"/>
    <n v="20.5"/>
    <n v="6.5253526667677093"/>
    <n v="4"/>
    <n v="9"/>
    <m/>
    <s v="C"/>
    <s v="S"/>
    <x v="1"/>
    <x v="1"/>
    <x v="0"/>
    <m/>
    <m/>
    <m/>
  </r>
  <r>
    <n v="5"/>
    <x v="2"/>
    <n v="3"/>
    <n v="31"/>
    <n v="33"/>
    <s v="Leguminosae"/>
    <s v="Lysiloma latisiliquum"/>
    <s v="Tzalam"/>
    <n v="57"/>
    <n v="18.143663512476071"/>
    <n v="6"/>
    <n v="13"/>
    <m/>
    <s v="C"/>
    <s v="S"/>
    <x v="0"/>
    <x v="4"/>
    <x v="4"/>
    <n v="3"/>
    <s v="Vol = Exp(-10.07810188+1.92989964*LN(DIAMETRO)+1.07701930*LN(ALTURATOTAL))."/>
    <n v="0.17868469143083901"/>
  </r>
  <r>
    <n v="8"/>
    <x v="2"/>
    <n v="3"/>
    <s v="29A"/>
    <n v="33"/>
    <s v="Leguminosae"/>
    <s v="Lysiloma latisiliquum"/>
    <s v="Tzalam"/>
    <n v="50"/>
    <n v="15.915494309189533"/>
    <n v="6"/>
    <n v="14"/>
    <m/>
    <s v="C"/>
    <s v="S"/>
    <x v="1"/>
    <x v="5"/>
    <x v="2"/>
    <n v="3"/>
    <s v="Vol = Exp(-10.07810188+1.92989964*LN(DIAMETRO)+1.07701930*LN(ALTURATOTAL))."/>
    <n v="0.15029004675338178"/>
  </r>
  <r>
    <n v="8"/>
    <x v="2"/>
    <n v="3"/>
    <s v="29B"/>
    <n v="34"/>
    <s v="Leguminosae"/>
    <s v="Lysiloma latisiliquum"/>
    <s v="Tzalam"/>
    <n v="43"/>
    <n v="13.687325105903"/>
    <n v="6"/>
    <n v="14"/>
    <m/>
    <s v="C"/>
    <s v="S"/>
    <x v="1"/>
    <x v="5"/>
    <x v="2"/>
    <n v="3"/>
    <s v="Vol = Exp(-10.07810188+1.92989964*LN(DIAMETRO)+1.07701930*LN(ALTURATOTAL))."/>
    <n v="0.11233596081230149"/>
  </r>
  <r>
    <n v="12"/>
    <x v="0"/>
    <n v="3"/>
    <n v="22"/>
    <n v="34"/>
    <s v="Leguminosae"/>
    <s v="Lysiloma latisiliquum"/>
    <s v="Tzalam"/>
    <n v="20.5"/>
    <n v="6.5253526667677093"/>
    <n v="7"/>
    <n v="10"/>
    <m/>
    <s v="C"/>
    <s v="S"/>
    <x v="0"/>
    <x v="1"/>
    <x v="0"/>
    <m/>
    <m/>
    <m/>
  </r>
  <r>
    <n v="12"/>
    <x v="0"/>
    <n v="3"/>
    <n v="23"/>
    <n v="35"/>
    <s v="Leguminosae"/>
    <s v="Lysiloma latisiliquum"/>
    <s v="Tzalam"/>
    <n v="27.5"/>
    <n v="8.753521870054243"/>
    <n v="2.4"/>
    <n v="9"/>
    <m/>
    <s v="C"/>
    <s v="S"/>
    <x v="0"/>
    <x v="1"/>
    <x v="1"/>
    <m/>
    <m/>
    <m/>
  </r>
  <r>
    <n v="7"/>
    <x v="2"/>
    <n v="3"/>
    <n v="33"/>
    <n v="36"/>
    <s v="Leguminosae"/>
    <s v="Lysiloma latisiliquum"/>
    <s v="Tzalam"/>
    <n v="62.5"/>
    <n v="19.894367886486918"/>
    <n v="7"/>
    <n v="14"/>
    <m/>
    <s v="C"/>
    <s v="S"/>
    <x v="0"/>
    <x v="5"/>
    <x v="4"/>
    <n v="3"/>
    <s v="Vol = Exp(-10.07810188+1.92989964*LN(DIAMETRO)+1.07701930*LN(ALTURATOTAL))."/>
    <n v="0.23118349165747989"/>
  </r>
  <r>
    <n v="12"/>
    <x v="0"/>
    <n v="3"/>
    <n v="24"/>
    <n v="36"/>
    <s v="Leguminosae"/>
    <s v="Lysiloma latisiliquum"/>
    <s v="Tzalam"/>
    <n v="29"/>
    <n v="9.2309866993299305"/>
    <n v="9"/>
    <n v="11"/>
    <m/>
    <s v="C"/>
    <s v="S"/>
    <x v="0"/>
    <x v="1"/>
    <x v="1"/>
    <m/>
    <m/>
    <m/>
  </r>
  <r>
    <n v="7"/>
    <x v="2"/>
    <n v="3"/>
    <n v="34"/>
    <n v="37"/>
    <s v="Leguminosae"/>
    <s v="Lysiloma latisiliquum"/>
    <s v="Tzalam"/>
    <n v="62"/>
    <n v="19.735212943395023"/>
    <n v="6"/>
    <n v="14"/>
    <m/>
    <s v="C"/>
    <s v="S"/>
    <x v="0"/>
    <x v="5"/>
    <x v="4"/>
    <n v="3"/>
    <s v="Vol = Exp(-10.07810188+1.92989964*LN(DIAMETRO)+1.07701930*LN(ALTURATOTAL))."/>
    <n v="0.22762748296265814"/>
  </r>
  <r>
    <n v="12"/>
    <x v="0"/>
    <n v="4"/>
    <n v="26"/>
    <n v="38"/>
    <s v="Leguminosae"/>
    <s v="Lysiloma latisiliquum"/>
    <s v="Tzalam"/>
    <n v="17.5"/>
    <n v="5.5704230082163368"/>
    <n v="2.1"/>
    <n v="8"/>
    <m/>
    <s v="C"/>
    <s v="S"/>
    <x v="0"/>
    <x v="0"/>
    <x v="0"/>
    <m/>
    <m/>
    <m/>
  </r>
  <r>
    <n v="8"/>
    <x v="2"/>
    <n v="3"/>
    <n v="36"/>
    <n v="41"/>
    <s v="Leguminosae"/>
    <s v="Lysiloma latisiliquum"/>
    <s v="Tzalam"/>
    <n v="62"/>
    <n v="19.735212943395023"/>
    <n v="5.5"/>
    <n v="12"/>
    <m/>
    <s v="C"/>
    <s v="S"/>
    <x v="0"/>
    <x v="4"/>
    <x v="4"/>
    <n v="3"/>
    <s v="Vol = Exp(-10.07810188+1.92989964*LN(DIAMETRO)+1.07701930*LN(ALTURATOTAL))."/>
    <n v="0.19280651803380999"/>
  </r>
  <r>
    <n v="12"/>
    <x v="0"/>
    <n v="4"/>
    <n v="29"/>
    <n v="41"/>
    <s v="Leguminosae"/>
    <s v="Lysiloma latisiliquum"/>
    <s v="Tzalam"/>
    <n v="19.5"/>
    <n v="6.2070427805839179"/>
    <n v="8"/>
    <n v="10"/>
    <m/>
    <s v="C"/>
    <s v="S"/>
    <x v="0"/>
    <x v="1"/>
    <x v="0"/>
    <m/>
    <m/>
    <m/>
  </r>
  <r>
    <n v="12"/>
    <x v="0"/>
    <n v="4"/>
    <n v="30"/>
    <n v="42"/>
    <s v="Leguminosae"/>
    <s v="Lysiloma latisiliquum"/>
    <s v="Tzalam"/>
    <n v="25"/>
    <n v="7.9577471545947667"/>
    <n v="5"/>
    <n v="10"/>
    <m/>
    <s v="C"/>
    <s v="S"/>
    <x v="0"/>
    <x v="1"/>
    <x v="1"/>
    <m/>
    <m/>
    <m/>
  </r>
  <r>
    <n v="12"/>
    <x v="0"/>
    <n v="4"/>
    <n v="31"/>
    <n v="43"/>
    <s v="Leguminosae"/>
    <s v="Lysiloma latisiliquum"/>
    <s v="Tzalam"/>
    <n v="17.5"/>
    <n v="5.5704230082163368"/>
    <n v="3.5"/>
    <n v="8"/>
    <m/>
    <s v="CB"/>
    <s v="S"/>
    <x v="0"/>
    <x v="0"/>
    <x v="0"/>
    <m/>
    <m/>
    <m/>
  </r>
  <r>
    <n v="12"/>
    <x v="0"/>
    <n v="4"/>
    <s v="31A"/>
    <n v="44"/>
    <s v="Leguminosae"/>
    <s v="Lysiloma latisiliquum"/>
    <s v="Tzalam"/>
    <n v="17.5"/>
    <n v="5.5704230082163368"/>
    <n v="6"/>
    <n v="8"/>
    <m/>
    <s v="C"/>
    <s v="S"/>
    <x v="1"/>
    <x v="0"/>
    <x v="0"/>
    <m/>
    <m/>
    <m/>
  </r>
  <r>
    <n v="8"/>
    <x v="2"/>
    <n v="3"/>
    <n v="40"/>
    <n v="45"/>
    <s v="Leguminosae"/>
    <s v="Lysiloma latisiliquum"/>
    <s v="Tzalam"/>
    <n v="93"/>
    <n v="29.602819415092533"/>
    <n v="2"/>
    <n v="14"/>
    <m/>
    <s v="C"/>
    <s v="S"/>
    <x v="0"/>
    <x v="5"/>
    <x v="5"/>
    <n v="3"/>
    <s v="Vol = Exp(-10.07810188+1.92989964*LN(DIAMETRO)+1.07701930*LN(ALTURATOTAL))."/>
    <n v="0.49780946941758381"/>
  </r>
  <r>
    <n v="12"/>
    <x v="0"/>
    <n v="4"/>
    <s v="31B"/>
    <n v="45"/>
    <s v="Leguminosae"/>
    <s v="Lysiloma latisiliquum"/>
    <s v="Tzalam"/>
    <n v="25.5"/>
    <n v="8.1169020976866619"/>
    <n v="5"/>
    <n v="9"/>
    <m/>
    <s v="C"/>
    <s v="S"/>
    <x v="1"/>
    <x v="1"/>
    <x v="1"/>
    <m/>
    <m/>
    <m/>
  </r>
  <r>
    <n v="12"/>
    <x v="0"/>
    <n v="4"/>
    <s v="31C"/>
    <n v="46"/>
    <s v="Leguminosae"/>
    <s v="Lysiloma latisiliquum"/>
    <s v="Tzalam"/>
    <n v="27.5"/>
    <n v="8.753521870054243"/>
    <n v="5"/>
    <n v="8"/>
    <m/>
    <s v="C"/>
    <s v="S"/>
    <x v="1"/>
    <x v="0"/>
    <x v="1"/>
    <m/>
    <m/>
    <m/>
  </r>
  <r>
    <n v="12"/>
    <x v="0"/>
    <n v="4"/>
    <s v="31D"/>
    <n v="47"/>
    <s v="Leguminosae"/>
    <s v="Lysiloma latisiliquum"/>
    <s v="Tzalam"/>
    <n v="25.5"/>
    <n v="8.1169020976866619"/>
    <n v="4"/>
    <n v="9"/>
    <m/>
    <s v="C"/>
    <s v="S"/>
    <x v="1"/>
    <x v="1"/>
    <x v="1"/>
    <m/>
    <m/>
    <m/>
  </r>
  <r>
    <n v="12"/>
    <x v="0"/>
    <n v="4"/>
    <s v="31E"/>
    <n v="48"/>
    <s v="Leguminosae"/>
    <s v="Lysiloma latisiliquum"/>
    <s v="Tzalam"/>
    <n v="31"/>
    <n v="9.8676064716975116"/>
    <n v="2"/>
    <n v="9"/>
    <m/>
    <s v="C"/>
    <s v="S"/>
    <x v="1"/>
    <x v="1"/>
    <x v="1"/>
    <m/>
    <m/>
    <m/>
  </r>
  <r>
    <n v="8"/>
    <x v="2"/>
    <n v="3"/>
    <n v="44"/>
    <n v="49"/>
    <s v="Leguminosae"/>
    <s v="Lysiloma latisiliquum"/>
    <s v="Tzalam"/>
    <n v="41"/>
    <n v="13.050705333535419"/>
    <n v="8"/>
    <n v="13"/>
    <m/>
    <s v="C"/>
    <s v="S"/>
    <x v="0"/>
    <x v="4"/>
    <x v="2"/>
    <n v="3"/>
    <s v="Vol = Exp(-10.07810188+1.92989964*LN(DIAMETRO)+1.07701930*LN(ALTURATOTAL))."/>
    <n v="9.4609790138521777E-2"/>
  </r>
  <r>
    <n v="12"/>
    <x v="0"/>
    <n v="4"/>
    <n v="32"/>
    <n v="49"/>
    <s v="Leguminosae"/>
    <s v="Lysiloma latisiliquum"/>
    <s v="Tzalam"/>
    <n v="30"/>
    <n v="9.5492965855137211"/>
    <n v="4.5"/>
    <n v="9"/>
    <m/>
    <s v="C"/>
    <s v="S"/>
    <x v="0"/>
    <x v="1"/>
    <x v="1"/>
    <m/>
    <m/>
    <m/>
  </r>
  <r>
    <n v="8"/>
    <x v="2"/>
    <n v="4"/>
    <n v="45"/>
    <n v="50"/>
    <s v="Leguminosae"/>
    <s v="Lysiloma latisiliquum"/>
    <s v="Tzalam"/>
    <n v="90"/>
    <n v="28.647889756541161"/>
    <n v="2.5"/>
    <n v="12"/>
    <m/>
    <s v="C"/>
    <s v="S"/>
    <x v="0"/>
    <x v="4"/>
    <x v="5"/>
    <n v="3"/>
    <s v="Vol = Exp(-10.07810188+1.92989964*LN(DIAMETRO)+1.07701930*LN(ALTURATOTAL))."/>
    <n v="0.39580160480387511"/>
  </r>
  <r>
    <n v="12"/>
    <x v="0"/>
    <n v="4"/>
    <n v="33"/>
    <n v="50"/>
    <s v="Leguminosae"/>
    <s v="Lysiloma latisiliquum"/>
    <s v="Tzalam"/>
    <n v="16"/>
    <n v="5.0929581789406511"/>
    <n v="5"/>
    <n v="8"/>
    <m/>
    <s v="C"/>
    <s v="S"/>
    <x v="0"/>
    <x v="0"/>
    <x v="0"/>
    <m/>
    <m/>
    <m/>
  </r>
  <r>
    <n v="12"/>
    <x v="0"/>
    <n v="4"/>
    <n v="35"/>
    <n v="52"/>
    <s v="Leguminosae"/>
    <s v="Lysiloma latisiliquum"/>
    <s v="Tzalam"/>
    <n v="18"/>
    <n v="5.7295779513082321"/>
    <n v="2"/>
    <n v="9"/>
    <m/>
    <s v="CB"/>
    <s v="S"/>
    <x v="0"/>
    <x v="1"/>
    <x v="0"/>
    <m/>
    <m/>
    <m/>
  </r>
  <r>
    <n v="12"/>
    <x v="0"/>
    <n v="4"/>
    <s v="35A"/>
    <n v="53"/>
    <s v="Leguminosae"/>
    <s v="Lysiloma latisiliquum"/>
    <s v="Tzalam"/>
    <n v="19.5"/>
    <n v="6.2070427805839179"/>
    <n v="4.5"/>
    <n v="10"/>
    <m/>
    <s v="C"/>
    <s v="S"/>
    <x v="1"/>
    <x v="1"/>
    <x v="0"/>
    <m/>
    <m/>
    <m/>
  </r>
  <r>
    <n v="12"/>
    <x v="0"/>
    <n v="4"/>
    <s v="35B"/>
    <n v="54"/>
    <s v="Leguminosae"/>
    <s v="Lysiloma latisiliquum"/>
    <s v="Tzalam"/>
    <n v="21.5"/>
    <n v="6.8436625529514998"/>
    <n v="4"/>
    <n v="9"/>
    <m/>
    <s v="C"/>
    <s v="S"/>
    <x v="1"/>
    <x v="1"/>
    <x v="0"/>
    <m/>
    <m/>
    <m/>
  </r>
  <r>
    <n v="8"/>
    <x v="2"/>
    <n v="4"/>
    <n v="50"/>
    <n v="55"/>
    <s v="Leguminosae"/>
    <s v="Lysiloma latisiliquum"/>
    <s v="Tzalam"/>
    <n v="93"/>
    <n v="29.602819415092533"/>
    <n v="8"/>
    <n v="13"/>
    <m/>
    <s v="C"/>
    <s v="S"/>
    <x v="0"/>
    <x v="4"/>
    <x v="5"/>
    <n v="3"/>
    <s v="Vol = Exp(-10.07810188+1.92989964*LN(DIAMETRO)+1.07701930*LN(ALTURATOTAL))."/>
    <n v="0.45962075141712921"/>
  </r>
  <r>
    <n v="12"/>
    <x v="0"/>
    <n v="4"/>
    <n v="36"/>
    <n v="55"/>
    <s v="Leguminosae"/>
    <s v="Lysiloma latisiliquum"/>
    <s v="Tzalam"/>
    <n v="25.5"/>
    <n v="8.1169020976866619"/>
    <n v="4"/>
    <n v="10"/>
    <m/>
    <s v="CB"/>
    <s v="S"/>
    <x v="0"/>
    <x v="1"/>
    <x v="1"/>
    <m/>
    <m/>
    <m/>
  </r>
  <r>
    <n v="12"/>
    <x v="0"/>
    <n v="4"/>
    <s v="36A"/>
    <n v="56"/>
    <s v="Leguminosae"/>
    <s v="Lysiloma latisiliquum"/>
    <s v="Tzalam"/>
    <n v="21.5"/>
    <n v="6.8436625529514998"/>
    <n v="3"/>
    <n v="10"/>
    <m/>
    <s v="C"/>
    <s v="S"/>
    <x v="1"/>
    <x v="1"/>
    <x v="0"/>
    <m/>
    <m/>
    <m/>
  </r>
  <r>
    <n v="12"/>
    <x v="0"/>
    <n v="4"/>
    <n v="37"/>
    <n v="57"/>
    <s v="Leguminosae"/>
    <s v="Lysiloma latisiliquum"/>
    <s v="Tzalam"/>
    <n v="22"/>
    <n v="7.0028174960433951"/>
    <n v="4"/>
    <n v="9"/>
    <m/>
    <s v="CB"/>
    <s v="S"/>
    <x v="0"/>
    <x v="1"/>
    <x v="0"/>
    <m/>
    <m/>
    <m/>
  </r>
  <r>
    <n v="12"/>
    <x v="0"/>
    <n v="4"/>
    <s v="37A"/>
    <n v="58"/>
    <s v="Leguminosae"/>
    <s v="Lysiloma latisiliquum"/>
    <s v="Tzalam"/>
    <n v="20.5"/>
    <n v="6.5253526667677093"/>
    <n v="5"/>
    <n v="9"/>
    <m/>
    <s v="C"/>
    <s v="S"/>
    <x v="1"/>
    <x v="1"/>
    <x v="0"/>
    <m/>
    <m/>
    <m/>
  </r>
  <r>
    <n v="8"/>
    <x v="2"/>
    <n v="4"/>
    <n v="56"/>
    <n v="61"/>
    <s v="Leguminosae"/>
    <s v="Lysiloma latisiliquum"/>
    <s v="Tzalam"/>
    <n v="72"/>
    <n v="22.918311805232928"/>
    <n v="5"/>
    <n v="12"/>
    <m/>
    <s v="C"/>
    <s v="S"/>
    <x v="0"/>
    <x v="4"/>
    <x v="3"/>
    <n v="3"/>
    <s v="Vol = Exp(-10.07810188+1.92989964*LN(DIAMETRO)+1.07701930*LN(ALTURATOTAL))."/>
    <n v="0.25730661503793956"/>
  </r>
  <r>
    <n v="8"/>
    <x v="2"/>
    <n v="4"/>
    <s v="56A"/>
    <n v="62"/>
    <s v="Leguminosae"/>
    <s v="Lysiloma latisiliquum"/>
    <s v="Tzalam"/>
    <n v="66"/>
    <n v="21.008452488130185"/>
    <n v="7"/>
    <n v="12"/>
    <m/>
    <s v="C"/>
    <s v="S"/>
    <x v="1"/>
    <x v="4"/>
    <x v="4"/>
    <n v="3"/>
    <s v="Vol = Exp(-10.07810188+1.92989964*LN(DIAMETRO)+1.07701930*LN(ALTURATOTAL))."/>
    <n v="0.21753183404963372"/>
  </r>
  <r>
    <n v="3"/>
    <x v="2"/>
    <n v="4"/>
    <n v="54"/>
    <n v="63"/>
    <s v="Leguminosae"/>
    <s v="Lysiloma latisiliquum"/>
    <s v="Tzalam"/>
    <n v="96.5"/>
    <n v="30.7169040167358"/>
    <n v="4"/>
    <n v="13"/>
    <m/>
    <s v="C"/>
    <s v="S"/>
    <x v="0"/>
    <x v="4"/>
    <x v="5"/>
    <n v="3"/>
    <s v="Vol = Exp(-10.07810188+1.92989964*LN(DIAMETRO)+1.07701930*LN(ALTURATOTAL))."/>
    <n v="0.49358691980838382"/>
  </r>
  <r>
    <n v="8"/>
    <x v="2"/>
    <n v="4"/>
    <s v="56B"/>
    <n v="63"/>
    <s v="Leguminosae"/>
    <s v="Lysiloma latisiliquum"/>
    <s v="Tzalam"/>
    <n v="50"/>
    <n v="15.915494309189533"/>
    <n v="5.5"/>
    <n v="10"/>
    <m/>
    <s v="C"/>
    <s v="S"/>
    <x v="1"/>
    <x v="1"/>
    <x v="2"/>
    <n v="3"/>
    <s v="Vol = Exp(-10.07810188+1.92989964*LN(DIAMETRO)+1.07701930*LN(ALTURATOTAL))."/>
    <n v="0.10460381040135047"/>
  </r>
  <r>
    <n v="8"/>
    <x v="2"/>
    <n v="4"/>
    <n v="57"/>
    <n v="64"/>
    <s v="Leguminosae"/>
    <s v="Lysiloma latisiliquum"/>
    <s v="Tzalam"/>
    <n v="50.5"/>
    <n v="16.074649252281429"/>
    <n v="4"/>
    <n v="13"/>
    <m/>
    <s v="C"/>
    <s v="S"/>
    <x v="0"/>
    <x v="4"/>
    <x v="2"/>
    <n v="3"/>
    <s v="Vol = Exp(-10.07810188+1.92989964*LN(DIAMETRO)+1.07701930*LN(ALTURATOTAL))."/>
    <n v="0.14145115960112314"/>
  </r>
  <r>
    <n v="1"/>
    <x v="2"/>
    <n v="4"/>
    <n v="21"/>
    <n v="24"/>
    <s v="Icacinaceae"/>
    <s v="Ottoschulzia pallida"/>
    <s v="Uvas che' "/>
    <n v="35"/>
    <n v="11.140846016432674"/>
    <n v="3"/>
    <n v="10"/>
    <m/>
    <s v="C"/>
    <s v="S"/>
    <x v="0"/>
    <x v="1"/>
    <x v="1"/>
    <n v="14"/>
    <s v="Vol = Exp(-9.52375084+1.81551953*LN(DIAMETRO)+1.03039019*LN(ALTURATOTAL))"/>
    <n v="6.2370344105770845E-2"/>
  </r>
  <r>
    <n v="12"/>
    <x v="1"/>
    <m/>
    <n v="6"/>
    <n v="6"/>
    <s v="Rhamnaceae"/>
    <s v="Ziziphus mauritiana"/>
    <s v="Ciruela de monte"/>
    <m/>
    <m/>
    <m/>
    <n v="5"/>
    <e v="#REF!"/>
    <m/>
    <s v="S"/>
    <x v="0"/>
    <x v="2"/>
    <x v="0"/>
    <m/>
    <m/>
    <m/>
  </r>
  <r>
    <n v="7"/>
    <x v="2"/>
    <n v="1"/>
    <n v="2"/>
    <n v="2"/>
    <s v="Arecaceae"/>
    <s v="Sabal yapa "/>
    <s v="Xa'an"/>
    <n v="65"/>
    <n v="20.690142601946395"/>
    <n v="4"/>
    <n v="7"/>
    <m/>
    <s v="R"/>
    <s v="S"/>
    <x v="0"/>
    <x v="0"/>
    <x v="4"/>
    <m/>
    <m/>
    <m/>
  </r>
  <r>
    <n v="1"/>
    <x v="2"/>
    <n v="2"/>
    <n v="4"/>
    <n v="5"/>
    <s v="Arecaceae"/>
    <s v="Sabal yapa "/>
    <s v="Xa'an"/>
    <n v="64"/>
    <n v="20.371832715762604"/>
    <n v="1.8"/>
    <n v="5"/>
    <m/>
    <s v="R"/>
    <s v="S"/>
    <x v="0"/>
    <x v="2"/>
    <x v="4"/>
    <m/>
    <m/>
    <m/>
  </r>
  <r>
    <n v="8"/>
    <x v="2"/>
    <n v="1"/>
    <n v="6"/>
    <n v="7"/>
    <s v="Arecaceae"/>
    <s v="Sabal yapa "/>
    <s v="Xa'an"/>
    <n v="64"/>
    <n v="20.371832715762604"/>
    <n v="6"/>
    <n v="8"/>
    <m/>
    <s v="C"/>
    <s v="S"/>
    <x v="0"/>
    <x v="0"/>
    <x v="4"/>
    <m/>
    <m/>
    <m/>
  </r>
  <r>
    <n v="10"/>
    <x v="2"/>
    <n v="3"/>
    <n v="12"/>
    <n v="12"/>
    <s v="Arecaceae"/>
    <s v="Sabal yapa "/>
    <s v="Xa'an"/>
    <n v="34"/>
    <n v="10.822536130248883"/>
    <n v="1.3"/>
    <n v="5.5"/>
    <m/>
    <s v="C"/>
    <s v="S"/>
    <x v="0"/>
    <x v="2"/>
    <x v="1"/>
    <m/>
    <m/>
    <m/>
  </r>
  <r>
    <n v="11"/>
    <x v="2"/>
    <n v="3"/>
    <n v="11"/>
    <n v="12"/>
    <s v="Arecaceae"/>
    <s v="Sabal yapa "/>
    <s v="Xa'an"/>
    <n v="50"/>
    <n v="15.915494309189533"/>
    <n v="5"/>
    <n v="8"/>
    <m/>
    <s v="C"/>
    <s v="S"/>
    <x v="0"/>
    <x v="0"/>
    <x v="2"/>
    <m/>
    <m/>
    <m/>
  </r>
  <r>
    <n v="3"/>
    <x v="2"/>
    <n v="2"/>
    <n v="23"/>
    <n v="23"/>
    <s v="Arecaceae"/>
    <s v="Sabal yapa "/>
    <s v="Xa'an"/>
    <n v="55"/>
    <n v="17.507043740108486"/>
    <n v="5"/>
    <n v="8"/>
    <m/>
    <s v="C"/>
    <s v="S"/>
    <x v="0"/>
    <x v="0"/>
    <x v="4"/>
    <m/>
    <m/>
    <m/>
  </r>
  <r>
    <n v="7"/>
    <x v="2"/>
    <n v="2"/>
    <n v="22"/>
    <n v="25"/>
    <s v="Arecaceae"/>
    <s v="Sabal yapa "/>
    <s v="Xa'an"/>
    <n v="72"/>
    <n v="22.918311805232928"/>
    <n v="8"/>
    <n v="14"/>
    <m/>
    <s v="C"/>
    <s v="S"/>
    <x v="0"/>
    <x v="5"/>
    <x v="3"/>
    <m/>
    <m/>
    <m/>
  </r>
  <r>
    <n v="7"/>
    <x v="2"/>
    <n v="4"/>
    <n v="43"/>
    <n v="46"/>
    <s v="Arecaceae"/>
    <s v="Sabal yapa "/>
    <s v="Xa'an"/>
    <n v="80"/>
    <n v="25.464790894703256"/>
    <n v="3.5"/>
    <n v="8"/>
    <m/>
    <s v="C"/>
    <s v="S"/>
    <x v="0"/>
    <x v="0"/>
    <x v="3"/>
    <m/>
    <m/>
    <m/>
  </r>
  <r>
    <n v="7"/>
    <x v="2"/>
    <n v="4"/>
    <n v="44"/>
    <n v="47"/>
    <s v="Arecaceae"/>
    <s v="Sabal yapa "/>
    <s v="Xa'an"/>
    <n v="55"/>
    <n v="17.507043740108486"/>
    <n v="6"/>
    <n v="9"/>
    <m/>
    <s v="C"/>
    <s v="S"/>
    <x v="0"/>
    <x v="1"/>
    <x v="4"/>
    <m/>
    <m/>
    <m/>
  </r>
  <r>
    <n v="9"/>
    <x v="0"/>
    <n v="1"/>
    <n v="1"/>
    <n v="1"/>
    <s v="Leguminosae"/>
    <s v="Lonchocarpus guatemalensis"/>
    <s v="Xul"/>
    <n v="22"/>
    <n v="7.0028174960433951"/>
    <n v="7.5"/>
    <n v="9"/>
    <m/>
    <s v="C"/>
    <s v="S"/>
    <x v="0"/>
    <x v="1"/>
    <x v="0"/>
    <m/>
    <m/>
    <m/>
  </r>
  <r>
    <n v="9"/>
    <x v="0"/>
    <n v="1"/>
    <n v="4"/>
    <n v="4"/>
    <s v="Leguminosae"/>
    <s v="Lonchocarpus guatemalensis"/>
    <s v="Xul"/>
    <n v="27"/>
    <n v="8.5943669269623477"/>
    <n v="5"/>
    <n v="10"/>
    <m/>
    <s v="C"/>
    <s v="S"/>
    <x v="0"/>
    <x v="1"/>
    <x v="1"/>
    <m/>
    <m/>
    <m/>
  </r>
  <r>
    <n v="9"/>
    <x v="0"/>
    <n v="1"/>
    <n v="6"/>
    <n v="6"/>
    <s v="Leguminosae"/>
    <s v="Lonchocarpus guatemalensis"/>
    <s v="Xul"/>
    <n v="18.5"/>
    <n v="5.8887328944001274"/>
    <n v="7"/>
    <n v="10"/>
    <m/>
    <s v="C"/>
    <s v="S"/>
    <x v="0"/>
    <x v="1"/>
    <x v="0"/>
    <m/>
    <m/>
    <m/>
  </r>
  <r>
    <n v="12"/>
    <x v="1"/>
    <m/>
    <n v="7"/>
    <n v="7"/>
    <s v="Rhamnaceae"/>
    <s v="Ziziphus mauritiana"/>
    <s v="Ciruela de monte"/>
    <m/>
    <m/>
    <m/>
    <n v="5"/>
    <e v="#REF!"/>
    <m/>
    <s v="S"/>
    <x v="0"/>
    <x v="2"/>
    <x v="0"/>
    <m/>
    <m/>
    <m/>
  </r>
  <r>
    <n v="12"/>
    <x v="1"/>
    <m/>
    <n v="8"/>
    <n v="8"/>
    <s v="Myrtaceae"/>
    <s v="Eugenia axillaris "/>
    <s v="Granada cimarrona"/>
    <m/>
    <m/>
    <m/>
    <n v="2.4"/>
    <e v="#REF!"/>
    <m/>
    <s v="S"/>
    <x v="0"/>
    <x v="3"/>
    <x v="0"/>
    <m/>
    <m/>
    <m/>
  </r>
  <r>
    <n v="9"/>
    <x v="0"/>
    <n v="1"/>
    <n v="8"/>
    <n v="8"/>
    <s v="Leguminosae"/>
    <s v="Lonchocarpus guatemalensis"/>
    <s v="Xul"/>
    <n v="17"/>
    <n v="5.4112680651244416"/>
    <n v="7"/>
    <n v="9"/>
    <m/>
    <s v="C"/>
    <s v="S"/>
    <x v="0"/>
    <x v="1"/>
    <x v="0"/>
    <m/>
    <m/>
    <m/>
  </r>
  <r>
    <n v="12"/>
    <x v="1"/>
    <m/>
    <n v="9"/>
    <n v="9"/>
    <s v="Rubiaceae"/>
    <s v="Psychotria nervosa"/>
    <s v="Café de Monte"/>
    <m/>
    <m/>
    <m/>
    <n v="1.2"/>
    <e v="#REF!"/>
    <m/>
    <s v="S"/>
    <x v="0"/>
    <x v="3"/>
    <x v="0"/>
    <m/>
    <m/>
    <m/>
  </r>
  <r>
    <n v="12"/>
    <x v="1"/>
    <m/>
    <n v="10"/>
    <n v="10"/>
    <s v="Rubiaceae"/>
    <s v="Psychotria nervosa"/>
    <s v="Café de Monte"/>
    <m/>
    <m/>
    <m/>
    <n v="1.2"/>
    <e v="#REF!"/>
    <m/>
    <s v="S"/>
    <x v="0"/>
    <x v="3"/>
    <x v="0"/>
    <m/>
    <m/>
    <m/>
  </r>
  <r>
    <n v="12"/>
    <x v="1"/>
    <m/>
    <n v="11"/>
    <n v="11"/>
    <s v="Bignoniaceae"/>
    <s v="Amphilophium crucigerum "/>
    <s v="Bejuco seis hojas"/>
    <m/>
    <m/>
    <m/>
    <n v="9"/>
    <e v="#REF!"/>
    <m/>
    <s v="S"/>
    <x v="0"/>
    <x v="1"/>
    <x v="0"/>
    <m/>
    <m/>
    <m/>
  </r>
  <r>
    <n v="9"/>
    <x v="0"/>
    <n v="2"/>
    <n v="14"/>
    <n v="14"/>
    <s v="Leguminosae"/>
    <s v="Lonchocarpus guatemalensis"/>
    <s v="Xul"/>
    <n v="17"/>
    <n v="5.4112680651244416"/>
    <n v="9"/>
    <n v="12"/>
    <m/>
    <s v="C"/>
    <s v="S"/>
    <x v="0"/>
    <x v="4"/>
    <x v="0"/>
    <m/>
    <m/>
    <m/>
  </r>
  <r>
    <n v="9"/>
    <x v="0"/>
    <n v="2"/>
    <n v="16"/>
    <n v="16"/>
    <s v="Leguminosae"/>
    <s v="Lonchocarpus guatemalensis"/>
    <s v="Xul"/>
    <n v="19.5"/>
    <n v="6.2070427805839179"/>
    <n v="4"/>
    <n v="9"/>
    <m/>
    <s v="C"/>
    <s v="S"/>
    <x v="0"/>
    <x v="1"/>
    <x v="0"/>
    <m/>
    <m/>
    <m/>
  </r>
  <r>
    <n v="9"/>
    <x v="0"/>
    <n v="2"/>
    <n v="18"/>
    <n v="18"/>
    <s v="Leguminosae"/>
    <s v="Lonchocarpus guatemalensis"/>
    <s v="Xul"/>
    <n v="18"/>
    <n v="5.7295779513082321"/>
    <n v="5"/>
    <n v="8"/>
    <m/>
    <s v="C"/>
    <s v="S"/>
    <x v="0"/>
    <x v="0"/>
    <x v="0"/>
    <m/>
    <m/>
    <m/>
  </r>
  <r>
    <n v="12"/>
    <x v="1"/>
    <m/>
    <n v="12"/>
    <n v="12"/>
    <s v="Bignoniaceae"/>
    <s v="Cydista diversifolia"/>
    <s v="Sool aak"/>
    <m/>
    <m/>
    <m/>
    <n v="5"/>
    <e v="#REF!"/>
    <m/>
    <s v="S"/>
    <x v="0"/>
    <x v="2"/>
    <x v="0"/>
    <m/>
    <m/>
    <m/>
  </r>
  <r>
    <n v="9"/>
    <x v="0"/>
    <n v="2"/>
    <n v="22"/>
    <n v="22"/>
    <s v="Leguminosae"/>
    <s v="Lonchocarpus guatemalensis"/>
    <s v="Xul"/>
    <n v="18.5"/>
    <n v="5.8887328944001274"/>
    <n v="8"/>
    <n v="11"/>
    <m/>
    <s v="C"/>
    <s v="S"/>
    <x v="0"/>
    <x v="1"/>
    <x v="0"/>
    <m/>
    <m/>
    <m/>
  </r>
  <r>
    <n v="12"/>
    <x v="1"/>
    <m/>
    <n v="13"/>
    <n v="13"/>
    <s v="Vitaceae "/>
    <s v="Cissus verticillata"/>
    <s v="Bejuco Cissus"/>
    <m/>
    <m/>
    <m/>
    <n v="0.8"/>
    <e v="#REF!"/>
    <m/>
    <s v="S"/>
    <x v="0"/>
    <x v="3"/>
    <x v="0"/>
    <m/>
    <m/>
    <m/>
  </r>
  <r>
    <n v="12"/>
    <x v="1"/>
    <m/>
    <n v="14"/>
    <n v="14"/>
    <s v="Bignoniaceae"/>
    <s v="Amphilophium crucigerum "/>
    <s v="Bejuco seis hojas"/>
    <m/>
    <m/>
    <m/>
    <n v="4"/>
    <e v="#REF!"/>
    <m/>
    <s v="S"/>
    <x v="0"/>
    <x v="2"/>
    <x v="0"/>
    <m/>
    <m/>
    <m/>
  </r>
  <r>
    <n v="12"/>
    <x v="1"/>
    <m/>
    <n v="15"/>
    <n v="15"/>
    <s v="Bignoniaceae"/>
    <s v="Amphilophium crucigerum "/>
    <s v="Bejuco seis hojas"/>
    <m/>
    <m/>
    <m/>
    <n v="8"/>
    <e v="#REF!"/>
    <m/>
    <s v="S"/>
    <x v="0"/>
    <x v="0"/>
    <x v="0"/>
    <m/>
    <m/>
    <m/>
  </r>
  <r>
    <n v="9"/>
    <x v="2"/>
    <n v="4"/>
    <n v="24"/>
    <n v="27"/>
    <s v="Leguminosae"/>
    <s v="Lonchocarpus guatemalensis"/>
    <s v="Xul"/>
    <n v="32"/>
    <n v="10.185916357881302"/>
    <n v="6"/>
    <n v="12"/>
    <m/>
    <s v="C"/>
    <s v="S"/>
    <x v="0"/>
    <x v="4"/>
    <x v="1"/>
    <n v="5"/>
    <s v="Vol = Exp(-9.5208709+1.85580925*LN(DIAMETRO)+0.96207943*LN(ALTURATOTAL))"/>
    <n v="5.9436373519664056E-2"/>
  </r>
  <r>
    <n v="10"/>
    <x v="0"/>
    <n v="3"/>
    <n v="36"/>
    <n v="36"/>
    <s v="Leguminosae"/>
    <s v="Lonchocarpus guatemalensis"/>
    <s v="Xul"/>
    <n v="22"/>
    <n v="7.0028174960433951"/>
    <n v="6"/>
    <n v="9"/>
    <m/>
    <s v="C"/>
    <s v="S"/>
    <x v="0"/>
    <x v="1"/>
    <x v="0"/>
    <m/>
    <m/>
    <m/>
  </r>
  <r>
    <n v="9"/>
    <x v="0"/>
    <n v="4"/>
    <n v="42"/>
    <n v="42"/>
    <s v="Leguminosae"/>
    <s v="Lonchocarpus guatemalensis"/>
    <s v="Xul"/>
    <n v="23.5"/>
    <n v="7.4802823253190809"/>
    <n v="8"/>
    <n v="12"/>
    <m/>
    <s v="C"/>
    <s v="S"/>
    <x v="0"/>
    <x v="4"/>
    <x v="0"/>
    <m/>
    <m/>
    <m/>
  </r>
  <r>
    <n v="11"/>
    <x v="2"/>
    <n v="1"/>
    <n v="1"/>
    <n v="1"/>
    <s v="Lamiaceae"/>
    <s v="Vitex gaumeri"/>
    <s v="Ya'axnik"/>
    <n v="46"/>
    <n v="14.642254764454371"/>
    <n v="3.5"/>
    <n v="8"/>
    <m/>
    <s v="CB"/>
    <s v="S"/>
    <x v="0"/>
    <x v="0"/>
    <x v="2"/>
    <n v="17"/>
    <s v="Vol = Exp(-9.52375084+1.81551953*LN(DIAMETRO)+1.03039019*LN(ALTURATOTAL))"/>
    <n v="8.139667044645249E-2"/>
  </r>
  <r>
    <n v="11"/>
    <x v="0"/>
    <n v="1"/>
    <n v="1"/>
    <n v="1"/>
    <s v="Lamiaceae"/>
    <s v="Vitex gaumeri"/>
    <s v="Ya'axnik"/>
    <n v="30"/>
    <n v="9.5492965855137211"/>
    <n v="3.5"/>
    <n v="8"/>
    <m/>
    <s v="C"/>
    <s v="S"/>
    <x v="0"/>
    <x v="0"/>
    <x v="1"/>
    <m/>
    <m/>
    <m/>
  </r>
  <r>
    <n v="11"/>
    <x v="2"/>
    <n v="1"/>
    <s v="1A"/>
    <n v="2"/>
    <s v="Lamiaceae"/>
    <s v="Vitex gaumeri"/>
    <s v="Ya'axnik"/>
    <n v="35.5"/>
    <n v="11.300000959524569"/>
    <n v="3"/>
    <n v="8"/>
    <m/>
    <s v="C"/>
    <s v="S"/>
    <x v="1"/>
    <x v="0"/>
    <x v="1"/>
    <n v="17"/>
    <s v="Vol = Exp(-9.52375084+1.81551953*LN(DIAMETRO)+1.03039019*LN(ALTURATOTAL))"/>
    <n v="5.0851898815852531E-2"/>
  </r>
  <r>
    <n v="11"/>
    <x v="0"/>
    <n v="1"/>
    <n v="2"/>
    <n v="2"/>
    <s v="Lamiaceae"/>
    <s v="Vitex gaumeri"/>
    <s v="Ya'axnik"/>
    <n v="24.5"/>
    <n v="7.7985922115028714"/>
    <n v="4"/>
    <n v="8"/>
    <m/>
    <s v="C"/>
    <s v="S"/>
    <x v="0"/>
    <x v="0"/>
    <x v="1"/>
    <m/>
    <m/>
    <m/>
  </r>
  <r>
    <n v="6"/>
    <x v="2"/>
    <n v="1"/>
    <n v="3"/>
    <n v="3"/>
    <s v="Lamiaceae"/>
    <s v="Vitex gaumeri"/>
    <s v="Ya'axnik"/>
    <n v="35"/>
    <n v="11.140846016432674"/>
    <n v="6"/>
    <n v="10"/>
    <m/>
    <s v="CB"/>
    <s v="S"/>
    <x v="0"/>
    <x v="1"/>
    <x v="1"/>
    <n v="17"/>
    <s v="Vol = Exp(-9.52375084+1.81551953*LN(DIAMETRO)+1.03039019*LN(ALTURATOTAL))"/>
    <n v="6.2370344105770845E-2"/>
  </r>
  <r>
    <n v="5"/>
    <x v="0"/>
    <n v="1"/>
    <n v="2"/>
    <n v="3"/>
    <s v="Lamiaceae"/>
    <s v="Vitex gaumeri"/>
    <s v="Ya'axnik"/>
    <n v="28"/>
    <n v="8.91267681314614"/>
    <n v="5"/>
    <n v="14"/>
    <m/>
    <s v="C"/>
    <s v="S"/>
    <x v="0"/>
    <x v="5"/>
    <x v="1"/>
    <m/>
    <m/>
    <m/>
  </r>
  <r>
    <n v="8"/>
    <x v="0"/>
    <n v="1"/>
    <n v="3"/>
    <n v="3"/>
    <s v="Lamiaceae"/>
    <s v="Vitex gaumeri"/>
    <s v="Ya'axnik"/>
    <n v="19"/>
    <n v="6.0478878374920226"/>
    <n v="7"/>
    <n v="9"/>
    <m/>
    <s v="C"/>
    <s v="S"/>
    <x v="0"/>
    <x v="1"/>
    <x v="0"/>
    <m/>
    <m/>
    <m/>
  </r>
  <r>
    <n v="5"/>
    <x v="2"/>
    <n v="1"/>
    <n v="4"/>
    <n v="4"/>
    <s v="Lamiaceae"/>
    <s v="Vitex gaumeri"/>
    <s v="Ya'axnik"/>
    <n v="37.5"/>
    <n v="11.93662073189215"/>
    <n v="6"/>
    <n v="10"/>
    <m/>
    <s v="C"/>
    <s v="S"/>
    <x v="0"/>
    <x v="1"/>
    <x v="1"/>
    <n v="17"/>
    <s v="Vol = Exp(-9.52375084+1.81551953*LN(DIAMETRO)+1.03039019*LN(ALTURATOTAL))"/>
    <n v="7.0693088734366083E-2"/>
  </r>
  <r>
    <n v="6"/>
    <x v="2"/>
    <n v="1"/>
    <s v="3A"/>
    <n v="4"/>
    <s v="Lamiaceae"/>
    <s v="Vitex gaumeri"/>
    <s v="Ya'axnik"/>
    <n v="32.5"/>
    <n v="10.345071300973197"/>
    <n v="6"/>
    <n v="10"/>
    <m/>
    <s v="C"/>
    <s v="S"/>
    <x v="1"/>
    <x v="1"/>
    <x v="1"/>
    <n v="17"/>
    <s v="Vol = Exp(-9.52375084+1.81551953*LN(DIAMETRO)+1.03039019*LN(ALTURATOTAL))"/>
    <n v="5.451879130983666E-2"/>
  </r>
  <r>
    <n v="8"/>
    <x v="0"/>
    <n v="1"/>
    <n v="4"/>
    <n v="4"/>
    <s v="Lamiaceae"/>
    <s v="Vitex gaumeri"/>
    <s v="Ya'axnik"/>
    <n v="25"/>
    <n v="7.9577471545947667"/>
    <n v="4.5"/>
    <n v="9"/>
    <m/>
    <s v="C"/>
    <s v="S"/>
    <x v="0"/>
    <x v="1"/>
    <x v="1"/>
    <m/>
    <m/>
    <m/>
  </r>
  <r>
    <n v="7"/>
    <x v="0"/>
    <n v="3"/>
    <n v="5"/>
    <n v="5"/>
    <s v="Lamiaceae"/>
    <s v="Vitex gaumeri"/>
    <s v="Ya'axnik"/>
    <n v="28"/>
    <n v="8.91267681314614"/>
    <n v="6.5"/>
    <n v="11"/>
    <m/>
    <s v="C"/>
    <s v="S"/>
    <x v="0"/>
    <x v="1"/>
    <x v="1"/>
    <m/>
    <m/>
    <m/>
  </r>
  <r>
    <n v="8"/>
    <x v="2"/>
    <n v="1"/>
    <n v="5"/>
    <n v="6"/>
    <s v="Lamiaceae"/>
    <s v="Vitex gaumeri"/>
    <s v="Ya'axnik"/>
    <n v="36"/>
    <n v="11.459155902616464"/>
    <n v="1.8"/>
    <n v="10"/>
    <m/>
    <s v="C"/>
    <s v="S"/>
    <x v="0"/>
    <x v="1"/>
    <x v="1"/>
    <n v="17"/>
    <s v="Vol = Exp(-9.52375084+1.81551953*LN(DIAMETRO)+1.03039019*LN(ALTURATOTAL))"/>
    <n v="6.5643243928823439E-2"/>
  </r>
  <r>
    <n v="7"/>
    <x v="2"/>
    <n v="1"/>
    <n v="6"/>
    <n v="7"/>
    <s v="Lamiaceae"/>
    <s v="Vitex gaumeri"/>
    <s v="Ya'axnik"/>
    <n v="123"/>
    <n v="39.152116000606256"/>
    <n v="6"/>
    <n v="13"/>
    <m/>
    <s v="C"/>
    <s v="SB"/>
    <x v="0"/>
    <x v="4"/>
    <x v="8"/>
    <n v="17"/>
    <s v="Vol = Exp(-9.52375084+1.81551953*LN(DIAMETRO)+1.03039019*LN(ALTURATOTAL))"/>
    <n v="0.80050142259012025"/>
  </r>
  <r>
    <n v="8"/>
    <x v="0"/>
    <n v="1"/>
    <n v="7"/>
    <n v="7"/>
    <s v="Lamiaceae"/>
    <s v="Vitex gaumeri"/>
    <s v="Ya'axnik"/>
    <n v="28"/>
    <n v="8.91267681314614"/>
    <n v="6"/>
    <n v="9"/>
    <m/>
    <s v="C"/>
    <s v="S"/>
    <x v="0"/>
    <x v="1"/>
    <x v="1"/>
    <m/>
    <m/>
    <m/>
  </r>
  <r>
    <n v="7"/>
    <x v="2"/>
    <n v="1"/>
    <s v="6A"/>
    <n v="8"/>
    <s v="Lamiaceae"/>
    <s v="Vitex gaumeri"/>
    <s v="Ya'axnik"/>
    <n v="68"/>
    <n v="21.645072260497766"/>
    <n v="6"/>
    <n v="13"/>
    <m/>
    <s v="C"/>
    <s v="S"/>
    <x v="1"/>
    <x v="4"/>
    <x v="4"/>
    <n v="17"/>
    <s v="Vol = Exp(-9.52375084+1.81551953*LN(DIAMETRO)+1.03039019*LN(ALTURATOTAL))"/>
    <n v="0.27293188980277572"/>
  </r>
  <r>
    <n v="12"/>
    <x v="2"/>
    <n v="3"/>
    <n v="7"/>
    <n v="8"/>
    <s v="Lamiaceae"/>
    <s v="Vitex gaumeri"/>
    <s v="Ya'axnik"/>
    <n v="38.5"/>
    <n v="12.254930618075941"/>
    <n v="5"/>
    <n v="11"/>
    <m/>
    <s v="C"/>
    <s v="S"/>
    <x v="0"/>
    <x v="1"/>
    <x v="1"/>
    <n v="17"/>
    <s v="Vol = Exp(-9.52375084+1.81551953*LN(DIAMETRO)+1.03039019*LN(ALTURATOTAL))"/>
    <n v="8.1804648924443071E-2"/>
  </r>
  <r>
    <n v="7"/>
    <x v="2"/>
    <n v="1"/>
    <s v="6B"/>
    <n v="9"/>
    <s v="Lamiaceae"/>
    <s v="Vitex gaumeri"/>
    <s v="Ya'axnik"/>
    <n v="58"/>
    <n v="18.461973398659861"/>
    <n v="1.8"/>
    <n v="12"/>
    <m/>
    <s v="C"/>
    <s v="S"/>
    <x v="1"/>
    <x v="4"/>
    <x v="4"/>
    <n v="17"/>
    <s v="Vol = Exp(-9.52375084+1.81551953*LN(DIAMETRO)+1.03039019*LN(ALTURATOTAL))"/>
    <n v="0.18828598348685746"/>
  </r>
  <r>
    <n v="12"/>
    <x v="2"/>
    <n v="3"/>
    <n v="9"/>
    <n v="10"/>
    <s v="Lamiaceae"/>
    <s v="Vitex gaumeri"/>
    <s v="Ya'axnik"/>
    <n v="33"/>
    <n v="10.504226244065093"/>
    <n v="4.5"/>
    <n v="10"/>
    <m/>
    <s v="C"/>
    <s v="S"/>
    <x v="0"/>
    <x v="1"/>
    <x v="1"/>
    <n v="17"/>
    <s v="Vol = Exp(-9.52375084+1.81551953*LN(DIAMETRO)+1.03039019*LN(ALTURATOTAL))"/>
    <n v="5.6051103143577655E-2"/>
  </r>
  <r>
    <n v="4"/>
    <x v="2"/>
    <n v="1"/>
    <n v="11"/>
    <n v="11"/>
    <s v="Lamiaceae"/>
    <s v="Vitex gaumeri"/>
    <s v="Ya'axnik"/>
    <n v="34"/>
    <n v="10.822536130248883"/>
    <n v="6"/>
    <n v="10"/>
    <m/>
    <s v="C"/>
    <s v="S"/>
    <x v="0"/>
    <x v="1"/>
    <x v="1"/>
    <n v="17"/>
    <s v="Vol = Exp(-9.52375084+1.81551953*LN(DIAMETRO)+1.03039019*LN(ALTURATOTAL))"/>
    <n v="5.9172829084870877E-2"/>
  </r>
  <r>
    <n v="5"/>
    <x v="2"/>
    <n v="1"/>
    <n v="11"/>
    <n v="11"/>
    <s v="Lamiaceae"/>
    <s v="Vitex gaumeri"/>
    <s v="Ya'axnik"/>
    <n v="36.5"/>
    <n v="11.618310845708359"/>
    <n v="3"/>
    <n v="9"/>
    <m/>
    <s v="CB"/>
    <s v="S"/>
    <x v="0"/>
    <x v="1"/>
    <x v="1"/>
    <n v="17"/>
    <s v="Vol = Exp(-9.52375084+1.81551953*LN(DIAMETRO)+1.03039019*LN(ALTURATOTAL))"/>
    <n v="6.0383403395902875E-2"/>
  </r>
  <r>
    <n v="4"/>
    <x v="2"/>
    <n v="1"/>
    <n v="12"/>
    <n v="12"/>
    <s v="Lamiaceae"/>
    <s v="Vitex gaumeri"/>
    <s v="Ya'axnik"/>
    <n v="49.5"/>
    <n v="15.756339366097638"/>
    <n v="6"/>
    <n v="12"/>
    <m/>
    <s v="C"/>
    <s v="S"/>
    <x v="0"/>
    <x v="4"/>
    <x v="2"/>
    <n v="17"/>
    <s v="Vol = Exp(-9.52375084+1.81551953*LN(DIAMETRO)+1.03039019*LN(ALTURATOTAL))"/>
    <n v="0.141211108885963"/>
  </r>
  <r>
    <n v="5"/>
    <x v="2"/>
    <n v="1"/>
    <n v="12"/>
    <n v="12"/>
    <s v="Lamiaceae"/>
    <s v="Vitex gaumeri"/>
    <s v="Ya'axnik"/>
    <n v="37"/>
    <n v="11.777465788800255"/>
    <n v="6"/>
    <n v="13"/>
    <m/>
    <s v="C"/>
    <s v="S"/>
    <x v="0"/>
    <x v="4"/>
    <x v="1"/>
    <n v="17"/>
    <s v="Vol = Exp(-9.52375084+1.81551953*LN(DIAMETRO)+1.03039019*LN(ALTURATOTAL))"/>
    <n v="9.0406450691164611E-2"/>
  </r>
  <r>
    <n v="5"/>
    <x v="2"/>
    <n v="1"/>
    <s v="12A"/>
    <n v="13"/>
    <s v="Lamiaceae"/>
    <s v="Vitex gaumeri"/>
    <s v="Ya'axnik"/>
    <n v="32.5"/>
    <n v="10.345071300973197"/>
    <n v="4"/>
    <n v="10"/>
    <m/>
    <s v="C"/>
    <s v="S"/>
    <x v="1"/>
    <x v="1"/>
    <x v="1"/>
    <n v="17"/>
    <s v="Vol = Exp(-9.52375084+1.81551953*LN(DIAMETRO)+1.03039019*LN(ALTURATOTAL))"/>
    <n v="5.451879130983666E-2"/>
  </r>
  <r>
    <n v="11"/>
    <x v="2"/>
    <n v="3"/>
    <n v="12"/>
    <n v="13"/>
    <s v="Lamiaceae"/>
    <s v="Vitex gaumeri"/>
    <s v="Ya'axnik"/>
    <n v="34.5"/>
    <n v="10.981691073340778"/>
    <n v="6"/>
    <n v="12"/>
    <m/>
    <s v="C"/>
    <s v="S"/>
    <x v="0"/>
    <x v="4"/>
    <x v="1"/>
    <n v="17"/>
    <s v="Vol = Exp(-9.52375084+1.81551953*LN(DIAMETRO)+1.03039019*LN(ALTURATOTAL))"/>
    <n v="7.3319691646719198E-2"/>
  </r>
  <r>
    <n v="2"/>
    <x v="0"/>
    <n v="4"/>
    <n v="14"/>
    <n v="14"/>
    <s v="Lamiaceae"/>
    <s v="Vitex gaumeri"/>
    <s v="Ya'axnik"/>
    <n v="17"/>
    <n v="5.4112680651244416"/>
    <n v="2.5"/>
    <n v="5"/>
    <m/>
    <s v="C"/>
    <s v="S"/>
    <x v="0"/>
    <x v="2"/>
    <x v="0"/>
    <m/>
    <m/>
    <m/>
  </r>
  <r>
    <n v="3"/>
    <x v="0"/>
    <n v="4"/>
    <n v="17"/>
    <n v="17"/>
    <s v="Lamiaceae"/>
    <s v="Vitex gaumeri"/>
    <s v="Ya'axnik"/>
    <n v="31"/>
    <n v="9.8676064716975116"/>
    <n v="8"/>
    <n v="10"/>
    <m/>
    <s v="C"/>
    <s v="S"/>
    <x v="0"/>
    <x v="1"/>
    <x v="1"/>
    <m/>
    <m/>
    <m/>
  </r>
  <r>
    <n v="1"/>
    <x v="2"/>
    <n v="3"/>
    <n v="18"/>
    <n v="21"/>
    <s v="Lamiaceae"/>
    <s v="Vitex gaumeri"/>
    <s v="Ya'axnik"/>
    <n v="175"/>
    <n v="55.70423008216337"/>
    <n v="5"/>
    <n v="19"/>
    <m/>
    <s v="C"/>
    <s v="S"/>
    <x v="0"/>
    <x v="6"/>
    <x v="9"/>
    <n v="17"/>
    <s v="Vol = Exp(-9.52375084+1.81551953*LN(DIAMETRO)+1.03039019*LN(ALTURATOTAL))"/>
    <n v="2.2448990167528335"/>
  </r>
  <r>
    <n v="4"/>
    <x v="2"/>
    <n v="2"/>
    <n v="20"/>
    <n v="21"/>
    <s v="Lamiaceae"/>
    <s v="Vitex gaumeri"/>
    <s v="Ya'axnik"/>
    <n v="36"/>
    <n v="11.459155902616464"/>
    <n v="6"/>
    <n v="12"/>
    <m/>
    <s v="C"/>
    <s v="S"/>
    <x v="0"/>
    <x v="4"/>
    <x v="1"/>
    <n v="17"/>
    <s v="Vol = Exp(-9.52375084+1.81551953*LN(DIAMETRO)+1.03039019*LN(ALTURATOTAL))"/>
    <n v="7.9209562371578848E-2"/>
  </r>
  <r>
    <n v="12"/>
    <x v="1"/>
    <m/>
    <n v="16"/>
    <n v="16"/>
    <s v="Bignoniaceae"/>
    <s v="Amphilophium crucigerum "/>
    <s v="Bejuco seis hojas"/>
    <m/>
    <m/>
    <m/>
    <n v="8"/>
    <e v="#REF!"/>
    <m/>
    <s v="S"/>
    <x v="0"/>
    <x v="0"/>
    <x v="0"/>
    <m/>
    <m/>
    <m/>
  </r>
  <r>
    <n v="9"/>
    <x v="2"/>
    <n v="4"/>
    <n v="21"/>
    <n v="22"/>
    <s v="Lamiaceae"/>
    <s v="Vitex gaumeri"/>
    <s v="Ya'axnik"/>
    <n v="41.5"/>
    <n v="13.209860276627314"/>
    <n v="6"/>
    <n v="13"/>
    <m/>
    <s v="C"/>
    <s v="S"/>
    <x v="0"/>
    <x v="4"/>
    <x v="2"/>
    <n v="17"/>
    <s v="Vol = Exp(-9.52375084+1.81551953*LN(DIAMETRO)+1.03039019*LN(ALTURATOTAL))"/>
    <n v="0.11135160530671286"/>
  </r>
  <r>
    <n v="9"/>
    <x v="2"/>
    <n v="4"/>
    <s v="21A"/>
    <n v="23"/>
    <s v="Lamiaceae"/>
    <s v="Vitex gaumeri"/>
    <s v="Ya'axnik"/>
    <n v="35"/>
    <n v="11.140846016432674"/>
    <n v="6"/>
    <n v="12"/>
    <m/>
    <s v="C"/>
    <s v="S"/>
    <x v="1"/>
    <x v="4"/>
    <x v="1"/>
    <n v="17"/>
    <s v="Vol = Exp(-9.52375084+1.81551953*LN(DIAMETRO)+1.03039019*LN(ALTURATOTAL))"/>
    <n v="7.5260260856999356E-2"/>
  </r>
  <r>
    <n v="4"/>
    <x v="2"/>
    <n v="2"/>
    <n v="23"/>
    <n v="24"/>
    <s v="Lamiaceae"/>
    <s v="Vitex gaumeri"/>
    <s v="Ya'axnik"/>
    <n v="34"/>
    <n v="10.822536130248883"/>
    <n v="6.5"/>
    <n v="10"/>
    <m/>
    <s v="C"/>
    <s v="S"/>
    <x v="0"/>
    <x v="1"/>
    <x v="1"/>
    <n v="17"/>
    <s v="Vol = Exp(-9.52375084+1.81551953*LN(DIAMETRO)+1.03039019*LN(ALTURATOTAL))"/>
    <n v="5.9172829084870877E-2"/>
  </r>
  <r>
    <n v="9"/>
    <x v="2"/>
    <n v="4"/>
    <s v="21B"/>
    <n v="24"/>
    <s v="Lamiaceae"/>
    <s v="Vitex gaumeri"/>
    <s v="Ya'axnik"/>
    <n v="39.5"/>
    <n v="12.573240504259733"/>
    <n v="6"/>
    <n v="12"/>
    <m/>
    <s v="C"/>
    <s v="S"/>
    <x v="1"/>
    <x v="4"/>
    <x v="2"/>
    <n v="17"/>
    <s v="Vol = Exp(-9.52375084+1.81551953*LN(DIAMETRO)+1.03039019*LN(ALTURATOTAL))"/>
    <n v="9.3741789059976335E-2"/>
  </r>
  <r>
    <n v="8"/>
    <x v="0"/>
    <n v="4"/>
    <n v="26"/>
    <n v="26"/>
    <s v="Lamiaceae"/>
    <s v="Vitex gaumeri"/>
    <s v="Ya'axnik"/>
    <n v="24.5"/>
    <n v="7.7985922115028714"/>
    <n v="2"/>
    <n v="8"/>
    <m/>
    <s v="C"/>
    <s v="SI"/>
    <x v="0"/>
    <x v="0"/>
    <x v="1"/>
    <m/>
    <m/>
    <m/>
  </r>
  <r>
    <n v="5"/>
    <x v="0"/>
    <n v="4"/>
    <n v="28"/>
    <n v="30"/>
    <s v="Lamiaceae"/>
    <s v="Vitex gaumeri"/>
    <s v="Ya'axnik"/>
    <n v="30.3"/>
    <n v="9.6447895513688575"/>
    <n v="6"/>
    <n v="11"/>
    <m/>
    <s v="C"/>
    <s v="S"/>
    <x v="0"/>
    <x v="1"/>
    <x v="1"/>
    <m/>
    <m/>
    <m/>
  </r>
  <r>
    <n v="5"/>
    <x v="0"/>
    <n v="4"/>
    <n v="29"/>
    <n v="31"/>
    <s v="Lamiaceae"/>
    <s v="Vitex gaumeri"/>
    <s v="Ya'axnik"/>
    <n v="25.5"/>
    <n v="8.1169020976866619"/>
    <n v="5"/>
    <n v="9"/>
    <m/>
    <s v="C"/>
    <s v="S"/>
    <x v="0"/>
    <x v="1"/>
    <x v="1"/>
    <m/>
    <m/>
    <m/>
  </r>
  <r>
    <n v="5"/>
    <x v="0"/>
    <n v="4"/>
    <n v="30"/>
    <n v="32"/>
    <s v="Lamiaceae"/>
    <s v="Vitex gaumeri"/>
    <s v="Ya'axnik"/>
    <n v="22.5"/>
    <n v="7.1619724391352904"/>
    <n v="4.5"/>
    <n v="8"/>
    <m/>
    <s v="C"/>
    <s v="S"/>
    <x v="0"/>
    <x v="0"/>
    <x v="0"/>
    <m/>
    <m/>
    <m/>
  </r>
  <r>
    <n v="2"/>
    <x v="2"/>
    <n v="2"/>
    <n v="32"/>
    <n v="33"/>
    <s v="Lamiaceae"/>
    <s v="Vitex gaumeri"/>
    <s v="Ya'axnik"/>
    <n v="37.5"/>
    <n v="11.93662073189215"/>
    <n v="8"/>
    <n v="12"/>
    <m/>
    <s v="C"/>
    <s v="S"/>
    <x v="0"/>
    <x v="4"/>
    <x v="1"/>
    <n v="17"/>
    <s v="Vol = Exp(-9.52375084+1.81551953*LN(DIAMETRO)+1.03039019*LN(ALTURATOTAL))"/>
    <n v="8.5303045465210489E-2"/>
  </r>
  <r>
    <n v="5"/>
    <x v="0"/>
    <n v="4"/>
    <n v="31"/>
    <n v="33"/>
    <s v="Lamiaceae"/>
    <s v="Vitex gaumeri"/>
    <s v="Ya'axnik"/>
    <n v="16"/>
    <n v="5.0929581789406511"/>
    <n v="2.5"/>
    <n v="6"/>
    <m/>
    <s v="C"/>
    <s v="S"/>
    <x v="0"/>
    <x v="2"/>
    <x v="0"/>
    <m/>
    <m/>
    <m/>
  </r>
  <r>
    <n v="3"/>
    <x v="2"/>
    <n v="3"/>
    <n v="32"/>
    <n v="34"/>
    <s v="Lamiaceae"/>
    <s v="Vitex gaumeri"/>
    <s v="Ya'axnik"/>
    <n v="67"/>
    <n v="21.326762374313976"/>
    <n v="4.5"/>
    <n v="14"/>
    <m/>
    <s v="C"/>
    <s v="S"/>
    <x v="0"/>
    <x v="5"/>
    <x v="4"/>
    <n v="17"/>
    <s v="Vol = Exp(-9.52375084+1.81551953*LN(DIAMETRO)+1.03039019*LN(ALTURATOTAL))"/>
    <n v="0.28677138376563549"/>
  </r>
  <r>
    <n v="2"/>
    <x v="2"/>
    <n v="3"/>
    <n v="34"/>
    <n v="35"/>
    <s v="Lamiaceae"/>
    <s v="Vitex gaumeri"/>
    <s v="Ya'axnik"/>
    <n v="40"/>
    <n v="12.732395447351628"/>
    <n v="8"/>
    <n v="10"/>
    <m/>
    <s v="C"/>
    <s v="S"/>
    <x v="0"/>
    <x v="1"/>
    <x v="2"/>
    <n v="17"/>
    <s v="Vol = Exp(-9.52375084+1.81551953*LN(DIAMETRO)+1.03039019*LN(ALTURATOTAL))"/>
    <n v="7.9481060364469586E-2"/>
  </r>
  <r>
    <n v="2"/>
    <x v="2"/>
    <n v="3"/>
    <n v="35"/>
    <n v="36"/>
    <s v="Lamiaceae"/>
    <s v="Vitex gaumeri"/>
    <s v="Ya'axnik"/>
    <n v="36.5"/>
    <n v="11.618310845708359"/>
    <n v="2.5"/>
    <n v="9"/>
    <m/>
    <s v="C"/>
    <s v="S"/>
    <x v="0"/>
    <x v="1"/>
    <x v="1"/>
    <n v="17"/>
    <s v="Vol = Exp(-9.52375084+1.81551953*LN(DIAMETRO)+1.03039019*LN(ALTURATOTAL))"/>
    <n v="6.0383403395902875E-2"/>
  </r>
  <r>
    <n v="3"/>
    <x v="2"/>
    <n v="3"/>
    <n v="34"/>
    <n v="36"/>
    <s v="Lamiaceae"/>
    <s v="Vitex gaumeri"/>
    <s v="Ya'axnik"/>
    <n v="34.5"/>
    <n v="10.981691073340778"/>
    <n v="7"/>
    <n v="13"/>
    <m/>
    <s v="C"/>
    <s v="S"/>
    <x v="0"/>
    <x v="4"/>
    <x v="1"/>
    <n v="17"/>
    <s v="Vol = Exp(-9.52375084+1.81551953*LN(DIAMETRO)+1.03039019*LN(ALTURATOTAL))"/>
    <n v="7.9623114841205614E-2"/>
  </r>
  <r>
    <n v="2"/>
    <x v="2"/>
    <n v="3"/>
    <n v="36"/>
    <n v="37"/>
    <s v="Lamiaceae"/>
    <s v="Vitex gaumeri"/>
    <s v="Ya'axnik"/>
    <n v="120"/>
    <n v="38.197186342054884"/>
    <n v="2"/>
    <n v="10"/>
    <m/>
    <s v="CB"/>
    <s v="S"/>
    <x v="0"/>
    <x v="1"/>
    <x v="8"/>
    <n v="17"/>
    <s v="Vol = Exp(-9.52375084+1.81551953*LN(DIAMETRO)+1.03039019*LN(ALTURATOTAL))"/>
    <n v="0.58409919616064987"/>
  </r>
  <r>
    <n v="3"/>
    <x v="2"/>
    <n v="3"/>
    <n v="35"/>
    <n v="37"/>
    <s v="Lamiaceae"/>
    <s v="Vitex gaumeri"/>
    <s v="Ya'axnik"/>
    <n v="37"/>
    <n v="11.777465788800255"/>
    <n v="6"/>
    <n v="12"/>
    <m/>
    <s v="C"/>
    <s v="S"/>
    <x v="0"/>
    <x v="4"/>
    <x v="1"/>
    <n v="17"/>
    <s v="Vol = Exp(-9.52375084+1.81551953*LN(DIAMETRO)+1.03039019*LN(ALTURATOTAL))"/>
    <n v="8.3249356682039422E-2"/>
  </r>
  <r>
    <n v="2"/>
    <x v="2"/>
    <n v="3"/>
    <s v="36A"/>
    <n v="38"/>
    <s v="Lamiaceae"/>
    <s v="Vitex gaumeri"/>
    <s v="Ya'axnik"/>
    <n v="52"/>
    <n v="16.552114081557114"/>
    <n v="5.5"/>
    <n v="9"/>
    <m/>
    <s v="C"/>
    <s v="S"/>
    <x v="1"/>
    <x v="1"/>
    <x v="2"/>
    <n v="17"/>
    <s v="Vol = Exp(-9.52375084+1.81551953*LN(DIAMETRO)+1.03039019*LN(ALTURATOTAL))"/>
    <n v="0.11481059415829332"/>
  </r>
  <r>
    <n v="3"/>
    <x v="2"/>
    <n v="3"/>
    <n v="36"/>
    <n v="38"/>
    <s v="Lamiaceae"/>
    <s v="Vitex gaumeri"/>
    <s v="Ya'axnik"/>
    <n v="31.5"/>
    <n v="10.026761414789407"/>
    <n v="4"/>
    <n v="12"/>
    <m/>
    <s v="C"/>
    <s v="S"/>
    <x v="0"/>
    <x v="4"/>
    <x v="1"/>
    <n v="17"/>
    <s v="Vol = Exp(-9.52375084+1.81551953*LN(DIAMETRO)+1.03039019*LN(ALTURATOTAL))"/>
    <n v="6.2157294315506713E-2"/>
  </r>
  <r>
    <n v="2"/>
    <x v="2"/>
    <n v="3"/>
    <n v="37"/>
    <n v="39"/>
    <s v="Lamiaceae"/>
    <s v="Vitex gaumeri"/>
    <s v="Ya'axnik"/>
    <n v="33"/>
    <n v="10.504226244065093"/>
    <n v="5"/>
    <n v="10"/>
    <m/>
    <s v="C"/>
    <s v="S"/>
    <x v="0"/>
    <x v="1"/>
    <x v="1"/>
    <n v="17"/>
    <s v="Vol = Exp(-9.52375084+1.81551953*LN(DIAMETRO)+1.03039019*LN(ALTURATOTAL))"/>
    <n v="5.6051103143577655E-2"/>
  </r>
  <r>
    <n v="3"/>
    <x v="2"/>
    <n v="3"/>
    <n v="37"/>
    <n v="39"/>
    <s v="Lamiaceae"/>
    <s v="Vitex gaumeri"/>
    <s v="Ya'axnik"/>
    <n v="31.5"/>
    <n v="10.026761414789407"/>
    <n v="4"/>
    <n v="9"/>
    <m/>
    <s v="C"/>
    <s v="S"/>
    <x v="0"/>
    <x v="1"/>
    <x v="1"/>
    <n v="17"/>
    <s v="Vol = Exp(-9.52375084+1.81551953*LN(DIAMETRO)+1.03039019*LN(ALTURATOTAL))"/>
    <n v="4.6212179647431767E-2"/>
  </r>
  <r>
    <n v="5"/>
    <x v="2"/>
    <n v="4"/>
    <n v="37"/>
    <n v="39"/>
    <s v="Lamiaceae"/>
    <s v="Vitex gaumeri"/>
    <s v="Ya'axnik"/>
    <n v="32"/>
    <n v="10.185916357881302"/>
    <n v="5"/>
    <n v="10"/>
    <m/>
    <s v="C"/>
    <s v="S"/>
    <x v="0"/>
    <x v="1"/>
    <x v="1"/>
    <n v="17"/>
    <s v="Vol = Exp(-9.52375084+1.81551953*LN(DIAMETRO)+1.03039019*LN(ALTURATOTAL))"/>
    <n v="5.3005584899578816E-2"/>
  </r>
  <r>
    <n v="12"/>
    <x v="0"/>
    <n v="4"/>
    <n v="27"/>
    <n v="39"/>
    <s v="Lamiaceae"/>
    <s v="Vitex gaumeri"/>
    <s v="Ya'axnik"/>
    <n v="18.5"/>
    <n v="5.8887328944001274"/>
    <n v="10"/>
    <n v="12"/>
    <m/>
    <s v="C"/>
    <s v="S"/>
    <x v="0"/>
    <x v="4"/>
    <x v="0"/>
    <m/>
    <m/>
    <m/>
  </r>
  <r>
    <n v="2"/>
    <x v="2"/>
    <n v="3"/>
    <n v="38"/>
    <n v="40"/>
    <s v="Lamiaceae"/>
    <s v="Vitex gaumeri"/>
    <s v="Ya'axnik"/>
    <n v="50"/>
    <n v="15.915494309189533"/>
    <n v="8"/>
    <n v="14"/>
    <m/>
    <s v="C"/>
    <s v="S"/>
    <x v="0"/>
    <x v="5"/>
    <x v="2"/>
    <n v="17"/>
    <s v="Vol = Exp(-9.52375084+1.81551953*LN(DIAMETRO)+1.03039019*LN(ALTURATOTAL))"/>
    <n v="0.16856778033591691"/>
  </r>
  <r>
    <n v="3"/>
    <x v="2"/>
    <n v="3"/>
    <n v="38"/>
    <n v="40"/>
    <s v="Lamiaceae"/>
    <s v="Vitex gaumeri"/>
    <s v="Ya'axnik"/>
    <n v="36"/>
    <n v="11.459155902616464"/>
    <n v="6"/>
    <n v="11"/>
    <m/>
    <s v="C"/>
    <s v="S"/>
    <x v="0"/>
    <x v="1"/>
    <x v="1"/>
    <n v="17"/>
    <s v="Vol = Exp(-9.52375084+1.81551953*LN(DIAMETRO)+1.03039019*LN(ALTURATOTAL))"/>
    <n v="7.2417020336136742E-2"/>
  </r>
  <r>
    <n v="5"/>
    <x v="2"/>
    <n v="4"/>
    <n v="38"/>
    <n v="40"/>
    <s v="Lamiaceae"/>
    <s v="Vitex gaumeri"/>
    <s v="Ya'axnik"/>
    <n v="36"/>
    <n v="11.459155902616464"/>
    <n v="7"/>
    <n v="11"/>
    <m/>
    <s v="C"/>
    <s v="S"/>
    <x v="0"/>
    <x v="1"/>
    <x v="1"/>
    <n v="17"/>
    <s v="Vol = Exp(-9.52375084+1.81551953*LN(DIAMETRO)+1.03039019*LN(ALTURATOTAL))"/>
    <n v="7.2417020336136742E-2"/>
  </r>
  <r>
    <n v="3"/>
    <x v="2"/>
    <n v="3"/>
    <n v="39"/>
    <n v="41"/>
    <s v="Lamiaceae"/>
    <s v="Vitex gaumeri"/>
    <s v="Ya'axnik"/>
    <n v="49"/>
    <n v="15.597184423005743"/>
    <n v="9"/>
    <n v="13"/>
    <m/>
    <s v="C"/>
    <s v="S"/>
    <x v="0"/>
    <x v="4"/>
    <x v="2"/>
    <n v="17"/>
    <s v="Vol = Exp(-9.52375084+1.81551953*LN(DIAMETRO)+1.03039019*LN(ALTURATOTAL))"/>
    <n v="0.15055062236980352"/>
  </r>
  <r>
    <n v="3"/>
    <x v="2"/>
    <n v="3"/>
    <n v="41"/>
    <n v="43"/>
    <s v="Lamiaceae"/>
    <s v="Vitex gaumeri"/>
    <s v="Ya'axnik"/>
    <n v="52"/>
    <n v="16.552114081557114"/>
    <n v="6"/>
    <n v="13"/>
    <m/>
    <s v="C"/>
    <s v="S"/>
    <x v="0"/>
    <x v="4"/>
    <x v="2"/>
    <n v="17"/>
    <s v="Vol = Exp(-9.52375084+1.81551953*LN(DIAMETRO)+1.03039019*LN(ALTURATOTAL))"/>
    <n v="0.16770119075276024"/>
  </r>
  <r>
    <n v="4"/>
    <x v="2"/>
    <n v="4"/>
    <n v="42"/>
    <n v="44"/>
    <s v="Lamiaceae"/>
    <s v="Vitex gaumeri"/>
    <s v="Ya'axnik"/>
    <n v="37"/>
    <n v="11.777465788800255"/>
    <n v="1.6"/>
    <n v="12"/>
    <m/>
    <s v="C"/>
    <s v="S"/>
    <x v="0"/>
    <x v="4"/>
    <x v="1"/>
    <n v="17"/>
    <s v="Vol = Exp(-9.52375084+1.81551953*LN(DIAMETRO)+1.03039019*LN(ALTURATOTAL))"/>
    <n v="8.3249356682039422E-2"/>
  </r>
  <r>
    <n v="3"/>
    <x v="2"/>
    <n v="3"/>
    <n v="43"/>
    <n v="45"/>
    <s v="Lamiaceae"/>
    <s v="Vitex gaumeri"/>
    <s v="Ya'axnik"/>
    <n v="40"/>
    <n v="12.732395447351628"/>
    <n v="2.5"/>
    <n v="12"/>
    <m/>
    <s v="CB"/>
    <s v="S"/>
    <x v="0"/>
    <x v="4"/>
    <x v="2"/>
    <n v="17"/>
    <s v="Vol = Exp(-9.52375084+1.81551953*LN(DIAMETRO)+1.03039019*LN(ALTURATOTAL))"/>
    <n v="9.5907204328978965E-2"/>
  </r>
  <r>
    <n v="4"/>
    <x v="2"/>
    <n v="4"/>
    <n v="43"/>
    <n v="45"/>
    <s v="Lamiaceae"/>
    <s v="Vitex gaumeri"/>
    <s v="Ya'axnik"/>
    <n v="57"/>
    <n v="18.143663512476071"/>
    <n v="3.5"/>
    <n v="12"/>
    <m/>
    <s v="C"/>
    <s v="S"/>
    <x v="0"/>
    <x v="4"/>
    <x v="4"/>
    <n v="17"/>
    <s v="Vol = Exp(-9.52375084+1.81551953*LN(DIAMETRO)+1.03039019*LN(ALTURATOTAL))"/>
    <n v="0.18243372332483015"/>
  </r>
  <r>
    <n v="3"/>
    <x v="2"/>
    <n v="3"/>
    <s v="43A"/>
    <n v="46"/>
    <s v="Lamiaceae"/>
    <s v="Vitex gaumeri"/>
    <s v="Ya'axnik"/>
    <n v="50"/>
    <n v="15.915494309189533"/>
    <n v="3"/>
    <n v="13"/>
    <m/>
    <s v="C"/>
    <s v="S"/>
    <x v="1"/>
    <x v="4"/>
    <x v="2"/>
    <n v="17"/>
    <s v="Vol = Exp(-9.52375084+1.81551953*LN(DIAMETRO)+1.03039019*LN(ALTURATOTAL))"/>
    <n v="0.15617509764181392"/>
  </r>
  <r>
    <n v="2"/>
    <x v="2"/>
    <n v="3"/>
    <n v="45"/>
    <n v="47"/>
    <s v="Lamiaceae"/>
    <s v="Vitex gaumeri"/>
    <s v="Ya'axnik"/>
    <n v="58.5"/>
    <n v="18.621128341751756"/>
    <n v="6"/>
    <n v="13"/>
    <m/>
    <s v="CB"/>
    <s v="S"/>
    <x v="0"/>
    <x v="4"/>
    <x v="4"/>
    <n v="17"/>
    <s v="Vol = Exp(-9.52375084+1.81551953*LN(DIAMETRO)+1.03039019*LN(ALTURATOTAL))"/>
    <n v="0.20768472214000741"/>
  </r>
  <r>
    <n v="3"/>
    <x v="2"/>
    <n v="3"/>
    <s v="43B"/>
    <n v="47"/>
    <s v="Lamiaceae"/>
    <s v="Vitex gaumeri"/>
    <s v="Ya'axnik"/>
    <n v="58"/>
    <n v="18.461973398659861"/>
    <n v="4"/>
    <n v="11"/>
    <m/>
    <s v="C"/>
    <s v="S"/>
    <x v="1"/>
    <x v="1"/>
    <x v="4"/>
    <n v="17"/>
    <s v="Vol = Exp(-9.52375084+1.81551953*LN(DIAMETRO)+1.03039019*LN(ALTURATOTAL))"/>
    <n v="0.17213969484156214"/>
  </r>
  <r>
    <n v="2"/>
    <x v="2"/>
    <n v="3"/>
    <s v="45A"/>
    <n v="48"/>
    <s v="Lamiaceae"/>
    <s v="Vitex gaumeri"/>
    <s v="Ya'axnik"/>
    <n v="51"/>
    <n v="16.233804195373324"/>
    <n v="4"/>
    <n v="12"/>
    <m/>
    <s v="C"/>
    <s v="S"/>
    <x v="1"/>
    <x v="4"/>
    <x v="2"/>
    <n v="17"/>
    <s v="Vol = Exp(-9.52375084+1.81551953*LN(DIAMETRO)+1.03039019*LN(ALTURATOTAL))"/>
    <n v="0.14907576019673047"/>
  </r>
  <r>
    <n v="3"/>
    <x v="2"/>
    <n v="3"/>
    <s v="43C"/>
    <n v="48"/>
    <s v="Lamiaceae"/>
    <s v="Vitex gaumeri"/>
    <s v="Ya'axnik"/>
    <n v="46"/>
    <n v="14.642254764454371"/>
    <n v="8"/>
    <n v="12"/>
    <m/>
    <s v="C"/>
    <s v="S"/>
    <x v="1"/>
    <x v="4"/>
    <x v="2"/>
    <n v="17"/>
    <s v="Vol = Exp(-9.52375084+1.81551953*LN(DIAMETRO)+1.03039019*LN(ALTURATOTAL))"/>
    <n v="0.12360878744721161"/>
  </r>
  <r>
    <n v="3"/>
    <x v="2"/>
    <n v="3"/>
    <s v="43D"/>
    <n v="49"/>
    <s v="Lamiaceae"/>
    <s v="Vitex gaumeri"/>
    <s v="Ya'axnik"/>
    <n v="47"/>
    <n v="14.960564650638162"/>
    <n v="7"/>
    <n v="11"/>
    <m/>
    <s v="C"/>
    <s v="S"/>
    <x v="1"/>
    <x v="1"/>
    <x v="2"/>
    <n v="17"/>
    <s v="Vol = Exp(-9.52375084+1.81551953*LN(DIAMETRO)+1.03039019*LN(ALTURATOTAL))"/>
    <n v="0.11750852741246427"/>
  </r>
  <r>
    <n v="3"/>
    <x v="2"/>
    <n v="3"/>
    <s v="43E"/>
    <n v="50"/>
    <s v="Lamiaceae"/>
    <s v="Vitex gaumeri"/>
    <s v="Ya'axnik"/>
    <n v="54"/>
    <n v="17.188733853924695"/>
    <n v="6"/>
    <n v="11"/>
    <m/>
    <s v="C"/>
    <s v="S"/>
    <x v="1"/>
    <x v="1"/>
    <x v="2"/>
    <n v="17"/>
    <s v="Vol = Exp(-9.52375084+1.81551953*LN(DIAMETRO)+1.03039019*LN(ALTURATOTAL))"/>
    <n v="0.15119511904599825"/>
  </r>
  <r>
    <n v="3"/>
    <x v="2"/>
    <n v="3"/>
    <s v="43F"/>
    <n v="51"/>
    <s v="Lamiaceae"/>
    <s v="Vitex gaumeri"/>
    <s v="Ya'axnik"/>
    <n v="40"/>
    <n v="12.732395447351628"/>
    <n v="7"/>
    <n v="12"/>
    <m/>
    <s v="C"/>
    <s v="S"/>
    <x v="1"/>
    <x v="4"/>
    <x v="2"/>
    <n v="17"/>
    <s v="Vol = Exp(-9.52375084+1.81551953*LN(DIAMETRO)+1.03039019*LN(ALTURATOTAL))"/>
    <n v="9.5907204328978965E-2"/>
  </r>
  <r>
    <n v="3"/>
    <x v="2"/>
    <n v="3"/>
    <s v="43G"/>
    <n v="52"/>
    <s v="Lamiaceae"/>
    <s v="Vitex gaumeri"/>
    <s v="Ya'axnik"/>
    <n v="49.5"/>
    <n v="15.756339366097638"/>
    <n v="4"/>
    <n v="13"/>
    <m/>
    <s v="C"/>
    <s v="S"/>
    <x v="1"/>
    <x v="4"/>
    <x v="2"/>
    <n v="17"/>
    <s v="Vol = Exp(-9.52375084+1.81551953*LN(DIAMETRO)+1.03039019*LN(ALTURATOTAL))"/>
    <n v="0.15335127695104184"/>
  </r>
  <r>
    <n v="3"/>
    <x v="2"/>
    <n v="3"/>
    <n v="44"/>
    <n v="53"/>
    <s v="Lamiaceae"/>
    <s v="Vitex gaumeri"/>
    <s v="Ya'axnik"/>
    <n v="59.5"/>
    <n v="18.939438227935547"/>
    <n v="3"/>
    <n v="14"/>
    <m/>
    <s v="C"/>
    <s v="S"/>
    <x v="0"/>
    <x v="5"/>
    <x v="4"/>
    <n v="17"/>
    <s v="Vol = Exp(-9.52375084+1.81551953*LN(DIAMETRO)+1.03039019*LN(ALTURATOTAL))"/>
    <n v="0.2311700420480558"/>
  </r>
  <r>
    <n v="3"/>
    <x v="2"/>
    <n v="4"/>
    <n v="52"/>
    <n v="61"/>
    <s v="Lamiaceae"/>
    <s v="Vitex gaumeri"/>
    <s v="Ya'axnik"/>
    <n v="36"/>
    <n v="11.459155902616464"/>
    <n v="6"/>
    <n v="10"/>
    <m/>
    <s v="C"/>
    <s v="S"/>
    <x v="0"/>
    <x v="1"/>
    <x v="1"/>
    <n v="17"/>
    <s v="Vol = Exp(-9.52375084+1.81551953*LN(DIAMETRO)+1.03039019*LN(ALTURATOTAL))"/>
    <n v="6.5643243928823439E-2"/>
  </r>
  <r>
    <n v="5"/>
    <x v="2"/>
    <n v="1"/>
    <n v="1"/>
    <n v="1"/>
    <s v="Rutaceae "/>
    <s v="Casimiroa sapota "/>
    <s v="Zapote blanco"/>
    <n v="31.5"/>
    <n v="10.026761414789407"/>
    <n v="4.5"/>
    <n v="9"/>
    <m/>
    <s v="C"/>
    <s v="S"/>
    <x v="0"/>
    <x v="1"/>
    <x v="1"/>
    <n v="17"/>
    <s v="Vol = Exp(-9.52375084+1.81551953*LN(DIAMETRO)+1.03039019*LN(ALTURATOTAL))"/>
    <n v="4.6212179647431767E-2"/>
  </r>
  <r>
    <n v="2"/>
    <x v="2"/>
    <n v="3"/>
    <n v="33"/>
    <n v="34"/>
    <s v="Sapotaceae"/>
    <s v="Sideroxylon salicifolium"/>
    <s v="Zapote faisán"/>
    <n v="65.5"/>
    <n v="20.84929754503829"/>
    <n v="8"/>
    <n v="14"/>
    <m/>
    <s v="C"/>
    <s v="S"/>
    <x v="0"/>
    <x v="5"/>
    <x v="4"/>
    <n v="17"/>
    <s v="Vol = Exp(-9.52375084+1.81551953*LN(DIAMETRO)+1.03039019*LN(ALTURATOTAL))"/>
    <n v="0.27522184108988007"/>
  </r>
  <r>
    <n v="3"/>
    <x v="2"/>
    <n v="4"/>
    <n v="46"/>
    <n v="55"/>
    <s v="Sapotaceae"/>
    <s v="Sideroxylon salicifolium"/>
    <s v="Zapote faisán"/>
    <n v="36"/>
    <n v="11.459155902616464"/>
    <n v="7"/>
    <n v="10"/>
    <m/>
    <s v="C"/>
    <s v="S"/>
    <x v="0"/>
    <x v="1"/>
    <x v="1"/>
    <n v="17"/>
    <s v="Vol = Exp(-9.52375084+1.81551953*LN(DIAMETRO)+1.03039019*LN(ALTURATOTAL))"/>
    <n v="6.564324392882343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B11" firstHeaderRow="1" firstDataRow="1" firstDataCol="1" rowPageCount="2" colPageCount="1"/>
  <pivotFields count="21">
    <pivotField subtotalTop="0" showAll="0"/>
    <pivotField axis="axisPage" subtotalTop="0" showAll="0">
      <items count="4">
        <item x="1"/>
        <item x="0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Page" subtotalTop="0" showAll="0">
      <items count="3">
        <item x="0"/>
        <item x="1"/>
        <item t="default"/>
      </items>
    </pivotField>
    <pivotField axis="axisRow" dataField="1" subtotalTop="0" showAll="0">
      <items count="8">
        <item x="3"/>
        <item x="2"/>
        <item x="0"/>
        <item x="1"/>
        <item x="4"/>
        <item x="5"/>
        <item x="6"/>
        <item t="default"/>
      </items>
    </pivotField>
    <pivotField subtotalTop="0" showAll="0"/>
    <pivotField subtotalTop="0" showAll="0"/>
    <pivotField subtotalTop="0" showAll="0"/>
    <pivotField subtotalTop="0" showAll="0"/>
  </pivotFields>
  <rowFields count="1">
    <field x="16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2">
    <pageField fld="1" item="2" hier="-1"/>
    <pageField fld="15" item="0" hier="-1"/>
  </pageFields>
  <dataFields count="1">
    <dataField name="Cuenta de ALT CAT" fld="16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5:B25" firstHeaderRow="1" firstDataRow="1" firstDataCol="1" rowPageCount="2" colPageCount="1"/>
  <pivotFields count="21">
    <pivotField subtotalTop="0" showAll="0"/>
    <pivotField axis="axisPage" dataField="1" subtotalTop="0" showAll="0">
      <items count="4">
        <item x="1"/>
        <item x="0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Page" subtotalTop="0" showAll="0">
      <items count="3">
        <item x="0"/>
        <item x="1"/>
        <item t="default"/>
      </items>
    </pivotField>
    <pivotField subtotalTop="0" showAll="0"/>
    <pivotField axis="axisRow" subtotalTop="0" showAll="0">
      <items count="11">
        <item x="0"/>
        <item x="1"/>
        <item x="2"/>
        <item x="4"/>
        <item x="3"/>
        <item x="5"/>
        <item x="7"/>
        <item x="8"/>
        <item x="6"/>
        <item x="9"/>
        <item t="default"/>
      </items>
    </pivotField>
    <pivotField subtotalTop="0" showAll="0"/>
    <pivotField subtotalTop="0" showAll="0"/>
    <pivotField subtotalTop="0" showAll="0"/>
  </pivotFields>
  <rowFields count="1">
    <field x="17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2">
    <pageField fld="1" item="2" hier="-1"/>
    <pageField fld="15" item="0" hier="-1"/>
  </pageFields>
  <dataFields count="1">
    <dataField name="Cuenta de AREA" fld="1" subtotal="count" baseField="1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40" firstHeaderRow="1" firstDataRow="1" firstDataCol="1" rowPageCount="1" colPageCount="1"/>
  <pivotFields count="22">
    <pivotField showAll="0"/>
    <pivotField axis="axisPage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axis="axisRow" showAll="0" sortType="descending">
      <items count="76">
        <item x="62"/>
        <item x="71"/>
        <item x="44"/>
        <item x="47"/>
        <item x="64"/>
        <item x="16"/>
        <item x="58"/>
        <item x="6"/>
        <item x="57"/>
        <item x="45"/>
        <item x="43"/>
        <item x="56"/>
        <item x="34"/>
        <item x="19"/>
        <item x="72"/>
        <item x="14"/>
        <item x="36"/>
        <item x="32"/>
        <item x="22"/>
        <item x="13"/>
        <item x="54"/>
        <item x="33"/>
        <item x="26"/>
        <item x="65"/>
        <item x="17"/>
        <item x="28"/>
        <item x="51"/>
        <item x="67"/>
        <item x="46"/>
        <item x="1"/>
        <item x="21"/>
        <item x="20"/>
        <item x="23"/>
        <item x="15"/>
        <item x="27"/>
        <item x="4"/>
        <item x="29"/>
        <item x="52"/>
        <item x="31"/>
        <item x="53"/>
        <item x="68"/>
        <item x="49"/>
        <item x="18"/>
        <item x="25"/>
        <item x="7"/>
        <item x="12"/>
        <item x="0"/>
        <item x="66"/>
        <item x="69"/>
        <item x="24"/>
        <item x="2"/>
        <item x="11"/>
        <item x="41"/>
        <item x="38"/>
        <item x="48"/>
        <item x="35"/>
        <item x="10"/>
        <item x="60"/>
        <item x="61"/>
        <item x="42"/>
        <item x="3"/>
        <item x="73"/>
        <item x="59"/>
        <item x="50"/>
        <item x="55"/>
        <item x="30"/>
        <item x="40"/>
        <item x="37"/>
        <item x="9"/>
        <item x="63"/>
        <item x="8"/>
        <item x="70"/>
        <item x="39"/>
        <item x="5"/>
        <item x="7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35">
    <i>
      <x v="40"/>
    </i>
    <i>
      <x v="68"/>
    </i>
    <i>
      <x v="43"/>
    </i>
    <i>
      <x v="30"/>
    </i>
    <i>
      <x v="10"/>
    </i>
    <i>
      <x v="25"/>
    </i>
    <i>
      <x v="19"/>
    </i>
    <i>
      <x v="32"/>
    </i>
    <i>
      <x v="52"/>
    </i>
    <i>
      <x v="38"/>
    </i>
    <i>
      <x v="65"/>
    </i>
    <i>
      <x v="62"/>
    </i>
    <i>
      <x v="53"/>
    </i>
    <i>
      <x v="64"/>
    </i>
    <i>
      <x v="61"/>
    </i>
    <i>
      <x v="46"/>
    </i>
    <i>
      <x v="54"/>
    </i>
    <i>
      <x v="33"/>
    </i>
    <i>
      <x v="72"/>
    </i>
    <i>
      <x v="27"/>
    </i>
    <i>
      <x v="39"/>
    </i>
    <i>
      <x v="23"/>
    </i>
    <i>
      <x v="3"/>
    </i>
    <i>
      <x v="13"/>
    </i>
    <i>
      <x v="26"/>
    </i>
    <i>
      <x v="48"/>
    </i>
    <i>
      <x v="37"/>
    </i>
    <i>
      <x v="31"/>
    </i>
    <i>
      <x v="8"/>
    </i>
    <i>
      <x v="4"/>
    </i>
    <i>
      <x v="11"/>
    </i>
    <i>
      <x v="14"/>
    </i>
    <i>
      <x v="57"/>
    </i>
    <i>
      <x v="66"/>
    </i>
    <i t="grand">
      <x/>
    </i>
  </rowItems>
  <colItems count="1">
    <i/>
  </colItems>
  <pageFields count="1">
    <pageField fld="1" item="2" hier="-1"/>
  </pageFields>
  <dataFields count="1">
    <dataField name="Suma de Volumen" fld="20" baseField="6" baseItem="1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5:J40" firstHeaderRow="1" firstDataRow="1" firstDataCol="1" rowPageCount="1" colPageCount="1"/>
  <pivotFields count="22">
    <pivotField showAll="0"/>
    <pivotField axis="axisPage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axis="axisRow" showAll="0" sortType="descending">
      <items count="76">
        <item x="74"/>
        <item x="5"/>
        <item x="39"/>
        <item x="70"/>
        <item x="8"/>
        <item x="63"/>
        <item x="9"/>
        <item x="37"/>
        <item x="40"/>
        <item x="30"/>
        <item x="55"/>
        <item x="50"/>
        <item x="59"/>
        <item x="73"/>
        <item x="3"/>
        <item x="42"/>
        <item x="61"/>
        <item x="60"/>
        <item x="10"/>
        <item x="35"/>
        <item x="48"/>
        <item x="38"/>
        <item x="41"/>
        <item x="11"/>
        <item x="2"/>
        <item x="24"/>
        <item x="69"/>
        <item x="66"/>
        <item x="0"/>
        <item x="12"/>
        <item x="7"/>
        <item x="25"/>
        <item x="18"/>
        <item x="49"/>
        <item x="68"/>
        <item x="53"/>
        <item x="31"/>
        <item x="52"/>
        <item x="29"/>
        <item x="4"/>
        <item x="27"/>
        <item x="15"/>
        <item x="23"/>
        <item x="20"/>
        <item x="21"/>
        <item x="1"/>
        <item x="46"/>
        <item x="67"/>
        <item x="51"/>
        <item x="28"/>
        <item x="17"/>
        <item x="65"/>
        <item x="26"/>
        <item x="33"/>
        <item x="54"/>
        <item x="13"/>
        <item x="22"/>
        <item x="32"/>
        <item x="36"/>
        <item x="14"/>
        <item x="72"/>
        <item x="19"/>
        <item x="34"/>
        <item x="56"/>
        <item x="43"/>
        <item x="45"/>
        <item x="57"/>
        <item x="6"/>
        <item x="58"/>
        <item x="16"/>
        <item x="64"/>
        <item x="47"/>
        <item x="44"/>
        <item x="71"/>
        <item x="6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6"/>
  </rowFields>
  <rowItems count="35">
    <i>
      <x v="34"/>
    </i>
    <i>
      <x v="6"/>
    </i>
    <i>
      <x v="31"/>
    </i>
    <i>
      <x v="64"/>
    </i>
    <i>
      <x v="44"/>
    </i>
    <i>
      <x v="55"/>
    </i>
    <i>
      <x v="49"/>
    </i>
    <i>
      <x v="42"/>
    </i>
    <i>
      <x v="22"/>
    </i>
    <i>
      <x v="36"/>
    </i>
    <i>
      <x v="9"/>
    </i>
    <i>
      <x v="12"/>
    </i>
    <i>
      <x v="21"/>
    </i>
    <i>
      <x v="10"/>
    </i>
    <i>
      <x v="13"/>
    </i>
    <i>
      <x v="28"/>
    </i>
    <i>
      <x v="20"/>
    </i>
    <i>
      <x v="41"/>
    </i>
    <i>
      <x v="2"/>
    </i>
    <i>
      <x v="35"/>
    </i>
    <i>
      <x v="71"/>
    </i>
    <i>
      <x v="47"/>
    </i>
    <i>
      <x v="63"/>
    </i>
    <i>
      <x v="48"/>
    </i>
    <i>
      <x v="61"/>
    </i>
    <i>
      <x v="51"/>
    </i>
    <i>
      <x v="26"/>
    </i>
    <i>
      <x v="70"/>
    </i>
    <i>
      <x v="43"/>
    </i>
    <i>
      <x v="66"/>
    </i>
    <i>
      <x v="37"/>
    </i>
    <i>
      <x v="60"/>
    </i>
    <i>
      <x v="8"/>
    </i>
    <i>
      <x v="17"/>
    </i>
    <i t="grand">
      <x/>
    </i>
  </rowItems>
  <colItems count="1">
    <i/>
  </colItems>
  <pageFields count="1">
    <pageField fld="1" item="2" hier="-1"/>
  </pageFields>
  <dataFields count="1">
    <dataField name="Suma de AB" fld="21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ESPECIE">
  <location ref="A5:B40" firstHeaderRow="1" firstDataRow="1" firstDataCol="1" rowPageCount="2" colPageCount="1"/>
  <pivotFields count="21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axis="axisRow" dataField="1" showAll="0" sortType="descending">
      <items count="75">
        <item x="62"/>
        <item x="71"/>
        <item x="44"/>
        <item x="47"/>
        <item x="64"/>
        <item x="16"/>
        <item x="58"/>
        <item x="6"/>
        <item x="57"/>
        <item x="45"/>
        <item x="43"/>
        <item x="56"/>
        <item x="34"/>
        <item x="19"/>
        <item x="72"/>
        <item x="14"/>
        <item x="36"/>
        <item x="32"/>
        <item x="22"/>
        <item x="13"/>
        <item x="54"/>
        <item x="33"/>
        <item x="26"/>
        <item x="65"/>
        <item x="17"/>
        <item x="28"/>
        <item x="51"/>
        <item x="67"/>
        <item x="46"/>
        <item x="1"/>
        <item x="21"/>
        <item x="20"/>
        <item x="23"/>
        <item x="15"/>
        <item x="27"/>
        <item x="4"/>
        <item x="29"/>
        <item x="52"/>
        <item x="31"/>
        <item x="53"/>
        <item x="68"/>
        <item x="49"/>
        <item x="18"/>
        <item x="25"/>
        <item x="7"/>
        <item x="12"/>
        <item x="0"/>
        <item x="66"/>
        <item x="69"/>
        <item x="24"/>
        <item x="2"/>
        <item x="11"/>
        <item x="41"/>
        <item x="38"/>
        <item x="48"/>
        <item x="35"/>
        <item x="10"/>
        <item x="60"/>
        <item x="61"/>
        <item x="42"/>
        <item x="3"/>
        <item x="73"/>
        <item x="59"/>
        <item x="50"/>
        <item x="55"/>
        <item x="30"/>
        <item x="40"/>
        <item x="37"/>
        <item x="9"/>
        <item x="63"/>
        <item x="8"/>
        <item x="70"/>
        <item x="39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5">
    <i>
      <x v="10"/>
    </i>
    <i>
      <x v="40"/>
    </i>
    <i>
      <x v="19"/>
    </i>
    <i>
      <x v="43"/>
    </i>
    <i>
      <x v="25"/>
    </i>
    <i>
      <x v="68"/>
    </i>
    <i>
      <x v="30"/>
    </i>
    <i>
      <x v="32"/>
    </i>
    <i>
      <x v="57"/>
    </i>
    <i>
      <x v="65"/>
    </i>
    <i>
      <x v="38"/>
    </i>
    <i>
      <x v="52"/>
    </i>
    <i>
      <x v="62"/>
    </i>
    <i>
      <x v="64"/>
    </i>
    <i>
      <x v="46"/>
    </i>
    <i>
      <x v="53"/>
    </i>
    <i>
      <x v="33"/>
    </i>
    <i>
      <x v="27"/>
    </i>
    <i>
      <x v="72"/>
    </i>
    <i>
      <x v="61"/>
    </i>
    <i>
      <x v="39"/>
    </i>
    <i>
      <x v="3"/>
    </i>
    <i>
      <x v="11"/>
    </i>
    <i>
      <x v="48"/>
    </i>
    <i>
      <x v="66"/>
    </i>
    <i>
      <x v="14"/>
    </i>
    <i>
      <x v="26"/>
    </i>
    <i>
      <x v="8"/>
    </i>
    <i>
      <x v="13"/>
    </i>
    <i>
      <x v="54"/>
    </i>
    <i>
      <x v="31"/>
    </i>
    <i>
      <x v="23"/>
    </i>
    <i>
      <x v="4"/>
    </i>
    <i>
      <x v="37"/>
    </i>
    <i t="grand">
      <x/>
    </i>
  </rowItems>
  <colItems count="1">
    <i/>
  </colItems>
  <pageFields count="2">
    <pageField fld="1" item="2" hier="-1"/>
    <pageField fld="15" item="0" hier="-1"/>
  </pageFields>
  <dataFields count="1">
    <dataField name="NOMBRE CIENTÍFIC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3:N56"/>
  <sheetViews>
    <sheetView workbookViewId="0">
      <selection activeCell="G13" sqref="G13"/>
    </sheetView>
  </sheetViews>
  <sheetFormatPr baseColWidth="10" defaultRowHeight="14.3" x14ac:dyDescent="0.25"/>
  <cols>
    <col min="7" max="7" width="5.5" bestFit="1" customWidth="1"/>
    <col min="8" max="8" width="68.125" bestFit="1" customWidth="1"/>
  </cols>
  <sheetData>
    <row r="3" spans="2:14" x14ac:dyDescent="0.25">
      <c r="B3">
        <v>4</v>
      </c>
      <c r="C3" t="s">
        <v>255</v>
      </c>
      <c r="D3" t="s">
        <v>267</v>
      </c>
      <c r="E3" s="25" t="s">
        <v>257</v>
      </c>
      <c r="I3" t="str">
        <f t="shared" ref="I3:I11" si="0">C3&amp;D3&amp;E3&amp;C3</f>
        <v>"Vol = Exp(-9.67348922+1.86887607*LN(DIAMETRO)+1.01858126*LN(ALTURATOTAL))."</v>
      </c>
    </row>
    <row r="4" spans="2:14" x14ac:dyDescent="0.25">
      <c r="B4" s="25">
        <v>5</v>
      </c>
      <c r="C4" t="s">
        <v>255</v>
      </c>
      <c r="D4" t="s">
        <v>267</v>
      </c>
      <c r="E4" s="25" t="s">
        <v>258</v>
      </c>
      <c r="I4" t="str">
        <f t="shared" si="0"/>
        <v>"Vol = Exp(-9.5208709+1.85580925*LN(DIAMETRO)+0.96207943*LN(ALTURATOTAL))"</v>
      </c>
      <c r="M4" s="25" t="s">
        <v>259</v>
      </c>
    </row>
    <row r="5" spans="2:14" x14ac:dyDescent="0.25">
      <c r="B5" s="25">
        <v>6</v>
      </c>
      <c r="C5" t="s">
        <v>255</v>
      </c>
      <c r="D5" t="s">
        <v>267</v>
      </c>
      <c r="E5" s="25" t="s">
        <v>260</v>
      </c>
      <c r="I5" t="str">
        <f t="shared" si="0"/>
        <v>"Vol = Exp(-9.75894522+1.90722681*LN(DIAMETRO)+1.01257027*LN(ALTURATOTAL))"</v>
      </c>
      <c r="N5" s="25" t="s">
        <v>259</v>
      </c>
    </row>
    <row r="6" spans="2:14" x14ac:dyDescent="0.25">
      <c r="B6" s="25">
        <v>7</v>
      </c>
      <c r="C6" t="s">
        <v>255</v>
      </c>
      <c r="D6" t="s">
        <v>267</v>
      </c>
      <c r="E6" s="25" t="s">
        <v>261</v>
      </c>
      <c r="I6" t="str">
        <f t="shared" si="0"/>
        <v>"Vol = Exp(-9.89061571+1.924447818*LN(DIAMETRO)+1.04545276*LN(ALTURATOTAL))"</v>
      </c>
    </row>
    <row r="7" spans="2:14" x14ac:dyDescent="0.25">
      <c r="B7" s="25">
        <v>8</v>
      </c>
      <c r="C7" t="s">
        <v>255</v>
      </c>
      <c r="D7" t="s">
        <v>267</v>
      </c>
      <c r="E7" s="25" t="s">
        <v>262</v>
      </c>
      <c r="I7" t="str">
        <f t="shared" si="0"/>
        <v>"Vol = Exp(-9.68220947+1.89488929*LN(DIAMETRO)+1.01453225*LN(ALTURATOTAL))"</v>
      </c>
      <c r="N7" s="25" t="s">
        <v>259</v>
      </c>
    </row>
    <row r="8" spans="2:14" x14ac:dyDescent="0.25">
      <c r="B8" s="25">
        <v>9</v>
      </c>
      <c r="C8" t="s">
        <v>255</v>
      </c>
      <c r="D8" t="s">
        <v>267</v>
      </c>
      <c r="E8" s="25" t="s">
        <v>263</v>
      </c>
      <c r="I8" t="str">
        <f t="shared" si="0"/>
        <v>"Vol = Exp(-9.45811109+1.82568462*LN(DIAMETRO)+1.00281859*LN(ALTURATOTAL))"</v>
      </c>
      <c r="N8" s="25" t="s">
        <v>259</v>
      </c>
    </row>
    <row r="9" spans="2:14" x14ac:dyDescent="0.25">
      <c r="B9" s="25">
        <v>11</v>
      </c>
      <c r="C9" t="s">
        <v>255</v>
      </c>
      <c r="D9" t="s">
        <v>267</v>
      </c>
      <c r="E9" s="25" t="s">
        <v>264</v>
      </c>
      <c r="I9" t="str">
        <f t="shared" si="0"/>
        <v>"Vol = Exp(-9.88332368+1.9131735*LN(DIAMETRO)+1.07391062*LN(ALTURATOTAL))"</v>
      </c>
      <c r="N9" s="25" t="s">
        <v>259</v>
      </c>
    </row>
    <row r="10" spans="2:14" x14ac:dyDescent="0.25">
      <c r="B10" s="25">
        <v>13</v>
      </c>
      <c r="C10" t="s">
        <v>255</v>
      </c>
      <c r="D10" t="s">
        <v>267</v>
      </c>
      <c r="E10" s="25" t="s">
        <v>265</v>
      </c>
      <c r="I10" t="str">
        <f t="shared" si="0"/>
        <v>"Vol = Exp(-9.84052491+1.92716537*LN(DIAMETRO)+1.00282618*LN(ALTURATOTAL))."</v>
      </c>
    </row>
    <row r="11" spans="2:14" x14ac:dyDescent="0.25">
      <c r="B11" s="25">
        <v>14</v>
      </c>
      <c r="C11" t="s">
        <v>255</v>
      </c>
      <c r="D11" t="s">
        <v>267</v>
      </c>
      <c r="E11" t="s">
        <v>266</v>
      </c>
      <c r="I11" t="str">
        <f t="shared" si="0"/>
        <v>"Vol = Exp(-9.52375084+1.81551953*LN(DIAMETRO)+1.03039019*LN(ALTURATOTAL))"</v>
      </c>
    </row>
    <row r="14" spans="2:14" x14ac:dyDescent="0.25">
      <c r="B14" t="s">
        <v>150</v>
      </c>
      <c r="C14">
        <v>4</v>
      </c>
      <c r="D14" t="s">
        <v>255</v>
      </c>
      <c r="E14" t="str">
        <f t="shared" ref="E14:E56" si="1">"If Cells(i, 7) =" &amp;D14 &amp;B14&amp;D14&amp; " Then cells(i,19)="&amp;C14&amp;" End if"</f>
        <v>If Cells(i, 7) ="Swartzia cubensis" Then cells(i,19)=4 End if</v>
      </c>
    </row>
    <row r="15" spans="2:14" x14ac:dyDescent="0.25">
      <c r="B15" t="s">
        <v>65</v>
      </c>
      <c r="C15">
        <v>5</v>
      </c>
      <c r="D15" t="s">
        <v>255</v>
      </c>
      <c r="E15" t="str">
        <f t="shared" si="1"/>
        <v>If Cells(i, 7) ="Lonchocarpus rugosus" Then cells(i,19)=5 End if</v>
      </c>
    </row>
    <row r="16" spans="2:14" x14ac:dyDescent="0.25">
      <c r="B16" t="s">
        <v>221</v>
      </c>
      <c r="C16">
        <v>5</v>
      </c>
      <c r="D16" t="s">
        <v>255</v>
      </c>
      <c r="E16" t="str">
        <f t="shared" si="1"/>
        <v>If Cells(i, 7) ="Lonchocarpus guatemalensis" Then cells(i,19)=5 End if</v>
      </c>
    </row>
    <row r="17" spans="2:5" x14ac:dyDescent="0.25">
      <c r="B17" t="s">
        <v>79</v>
      </c>
      <c r="C17">
        <v>5</v>
      </c>
      <c r="D17" t="s">
        <v>255</v>
      </c>
      <c r="E17" t="str">
        <f t="shared" si="1"/>
        <v>If Cells(i, 7) ="Bauhinia divaricata" Then cells(i,19)=5 End if</v>
      </c>
    </row>
    <row r="18" spans="2:5" x14ac:dyDescent="0.25">
      <c r="B18" t="s">
        <v>60</v>
      </c>
      <c r="C18">
        <v>3</v>
      </c>
      <c r="D18" t="s">
        <v>255</v>
      </c>
      <c r="E18" t="str">
        <f t="shared" si="1"/>
        <v>If Cells(i, 7) ="Lysiloma latisiliquum" Then cells(i,19)=3 End if</v>
      </c>
    </row>
    <row r="19" spans="2:5" x14ac:dyDescent="0.25">
      <c r="B19" t="s">
        <v>56</v>
      </c>
      <c r="C19">
        <v>5</v>
      </c>
      <c r="D19" t="s">
        <v>255</v>
      </c>
      <c r="E19" t="str">
        <f t="shared" si="1"/>
        <v>If Cells(i, 7) ="Caesalpinia gaumeri" Then cells(i,19)=5 End if</v>
      </c>
    </row>
    <row r="20" spans="2:5" x14ac:dyDescent="0.25">
      <c r="B20" t="s">
        <v>18</v>
      </c>
      <c r="C20">
        <v>5</v>
      </c>
      <c r="D20" t="s">
        <v>255</v>
      </c>
      <c r="E20" t="str">
        <f t="shared" si="1"/>
        <v>If Cells(i, 7) ="Piscidia piscipula" Then cells(i,19)=5 End if</v>
      </c>
    </row>
    <row r="21" spans="2:5" x14ac:dyDescent="0.25">
      <c r="B21" t="s">
        <v>82</v>
      </c>
      <c r="C21">
        <v>6</v>
      </c>
      <c r="D21" t="s">
        <v>255</v>
      </c>
      <c r="E21" t="str">
        <f t="shared" si="1"/>
        <v>If Cells(i, 7) ="Ficus cotinifolia" Then cells(i,19)=6 End if</v>
      </c>
    </row>
    <row r="22" spans="2:5" x14ac:dyDescent="0.25">
      <c r="B22" t="s">
        <v>120</v>
      </c>
      <c r="C22">
        <v>17</v>
      </c>
      <c r="D22" t="s">
        <v>255</v>
      </c>
      <c r="E22" t="str">
        <f t="shared" si="1"/>
        <v>If Cells(i, 7) ="Ficus pertusa" Then cells(i,19)=17 End if</v>
      </c>
    </row>
    <row r="23" spans="2:5" x14ac:dyDescent="0.25">
      <c r="B23" t="s">
        <v>174</v>
      </c>
      <c r="C23">
        <v>17</v>
      </c>
      <c r="D23" t="s">
        <v>255</v>
      </c>
      <c r="E23" t="str">
        <f t="shared" si="1"/>
        <v>If Cells(i, 7) ="Ficus maxima" Then cells(i,19)=17 End if</v>
      </c>
    </row>
    <row r="24" spans="2:5" x14ac:dyDescent="0.25">
      <c r="B24" t="s">
        <v>14</v>
      </c>
      <c r="C24">
        <v>9</v>
      </c>
      <c r="D24" t="s">
        <v>255</v>
      </c>
      <c r="E24" t="str">
        <f t="shared" si="1"/>
        <v>If Cells(i, 7) ="Nectandra coriacea" Then cells(i,19)=9 End if</v>
      </c>
    </row>
    <row r="25" spans="2:5" x14ac:dyDescent="0.25">
      <c r="B25" t="s">
        <v>122</v>
      </c>
      <c r="C25">
        <v>9</v>
      </c>
      <c r="D25" t="s">
        <v>255</v>
      </c>
      <c r="E25" t="str">
        <f t="shared" si="1"/>
        <v>If Cells(i, 7) ="Chrysophyllum mexicanum" Then cells(i,19)=9 End if</v>
      </c>
    </row>
    <row r="26" spans="2:5" x14ac:dyDescent="0.25">
      <c r="B26" t="s">
        <v>111</v>
      </c>
      <c r="C26">
        <v>11</v>
      </c>
      <c r="D26" t="s">
        <v>255</v>
      </c>
      <c r="E26" t="str">
        <f t="shared" si="1"/>
        <v>If Cells(i, 7) ="Pouteria campechiana" Then cells(i,19)=11 End if</v>
      </c>
    </row>
    <row r="27" spans="2:5" x14ac:dyDescent="0.25">
      <c r="B27" t="s">
        <v>88</v>
      </c>
      <c r="C27">
        <v>9</v>
      </c>
      <c r="D27" t="s">
        <v>255</v>
      </c>
      <c r="E27" t="str">
        <f t="shared" si="1"/>
        <v>If Cells(i, 7) ="Diospyros yucatanensis" Then cells(i,19)=9 End if</v>
      </c>
    </row>
    <row r="28" spans="2:5" x14ac:dyDescent="0.25">
      <c r="B28" t="s">
        <v>31</v>
      </c>
      <c r="C28">
        <v>12</v>
      </c>
      <c r="D28" t="s">
        <v>255</v>
      </c>
      <c r="E28" t="str">
        <f t="shared" si="1"/>
        <v>If Cells(i, 7) ="Bursera simaruba" Then cells(i,19)=12 End if</v>
      </c>
    </row>
    <row r="29" spans="2:5" x14ac:dyDescent="0.25">
      <c r="B29" t="s">
        <v>106</v>
      </c>
      <c r="C29">
        <v>13</v>
      </c>
      <c r="D29" t="s">
        <v>255</v>
      </c>
      <c r="E29" t="str">
        <f t="shared" si="1"/>
        <v>If Cells(i, 7) ="Simarouba amara" Then cells(i,19)=13 End if</v>
      </c>
    </row>
    <row r="30" spans="2:5" x14ac:dyDescent="0.25">
      <c r="B30" t="s">
        <v>71</v>
      </c>
      <c r="C30">
        <v>14</v>
      </c>
      <c r="D30" t="s">
        <v>255</v>
      </c>
      <c r="E30" t="str">
        <f t="shared" si="1"/>
        <v>If Cells(i, 7) ="Spondias mombin " Then cells(i,19)=14 End if</v>
      </c>
    </row>
    <row r="31" spans="2:5" x14ac:dyDescent="0.25">
      <c r="B31" t="s">
        <v>199</v>
      </c>
      <c r="C31">
        <v>16</v>
      </c>
      <c r="D31" t="s">
        <v>255</v>
      </c>
      <c r="E31" t="str">
        <f t="shared" si="1"/>
        <v>If Cells(i, 7) ="Sebastiania adenophora" Then cells(i,19)=16 End if</v>
      </c>
    </row>
    <row r="32" spans="2:5" x14ac:dyDescent="0.25">
      <c r="B32" t="s">
        <v>27</v>
      </c>
      <c r="C32">
        <v>16</v>
      </c>
      <c r="D32" t="s">
        <v>255</v>
      </c>
      <c r="E32" t="str">
        <f t="shared" si="1"/>
        <v>If Cells(i, 7) ="Coccoloba spicata" Then cells(i,19)=16 End if</v>
      </c>
    </row>
    <row r="33" spans="2:5" x14ac:dyDescent="0.25">
      <c r="B33" t="s">
        <v>249</v>
      </c>
      <c r="C33">
        <v>17</v>
      </c>
      <c r="D33" t="s">
        <v>255</v>
      </c>
      <c r="E33" t="str">
        <f t="shared" si="1"/>
        <v>If Cells(i, 7) ="Zuelania guidoniai" Then cells(i,19)=17 End if</v>
      </c>
    </row>
    <row r="34" spans="2:5" x14ac:dyDescent="0.25">
      <c r="B34" t="s">
        <v>24</v>
      </c>
      <c r="C34">
        <v>15</v>
      </c>
      <c r="D34" t="s">
        <v>255</v>
      </c>
      <c r="E34" t="str">
        <f t="shared" si="1"/>
        <v>If Cells(i, 7) ="Metopium brownei" Then cells(i,19)=15 End if</v>
      </c>
    </row>
    <row r="35" spans="2:5" x14ac:dyDescent="0.25">
      <c r="B35" t="s">
        <v>74</v>
      </c>
      <c r="C35">
        <v>17</v>
      </c>
      <c r="D35" t="s">
        <v>255</v>
      </c>
      <c r="E35" t="str">
        <f t="shared" si="1"/>
        <v>If Cells(i, 7) ="Vitex gaumeri" Then cells(i,19)=17 End if</v>
      </c>
    </row>
    <row r="36" spans="2:5" x14ac:dyDescent="0.25">
      <c r="B36" t="s">
        <v>250</v>
      </c>
      <c r="C36">
        <v>17</v>
      </c>
      <c r="D36" t="s">
        <v>255</v>
      </c>
      <c r="E36" t="str">
        <f t="shared" si="1"/>
        <v>If Cells(i, 7) ="Sabal yapa" Then cells(i,19)=17 End if</v>
      </c>
    </row>
    <row r="37" spans="2:5" x14ac:dyDescent="0.25">
      <c r="B37" t="s">
        <v>161</v>
      </c>
      <c r="C37">
        <v>17</v>
      </c>
      <c r="D37" t="s">
        <v>255</v>
      </c>
      <c r="E37" t="str">
        <f t="shared" si="1"/>
        <v>If Cells(i, 7) ="Luehea speciosa" Then cells(i,19)=17 End if</v>
      </c>
    </row>
    <row r="38" spans="2:5" x14ac:dyDescent="0.25">
      <c r="B38" t="s">
        <v>128</v>
      </c>
      <c r="C38">
        <v>17</v>
      </c>
      <c r="D38" t="s">
        <v>255</v>
      </c>
      <c r="E38" t="str">
        <f t="shared" si="1"/>
        <v>If Cells(i, 7) ="Allophyllus cominia" Then cells(i,19)=17 End if</v>
      </c>
    </row>
    <row r="39" spans="2:5" x14ac:dyDescent="0.25">
      <c r="B39" t="s">
        <v>184</v>
      </c>
      <c r="C39">
        <v>17</v>
      </c>
      <c r="D39" t="s">
        <v>255</v>
      </c>
      <c r="E39" t="str">
        <f t="shared" si="1"/>
        <v>If Cells(i, 7) ="Allophylus cominia" Then cells(i,19)=17 End if</v>
      </c>
    </row>
    <row r="40" spans="2:5" x14ac:dyDescent="0.25">
      <c r="B40" t="s">
        <v>207</v>
      </c>
      <c r="C40">
        <v>17</v>
      </c>
      <c r="D40" t="s">
        <v>255</v>
      </c>
      <c r="E40" t="str">
        <f t="shared" si="1"/>
        <v>If Cells(i, 7) ="Andira inermis " Then cells(i,19)=17 End if</v>
      </c>
    </row>
    <row r="41" spans="2:5" x14ac:dyDescent="0.25">
      <c r="B41" t="s">
        <v>251</v>
      </c>
      <c r="C41">
        <v>17</v>
      </c>
      <c r="D41" t="s">
        <v>255</v>
      </c>
      <c r="E41" t="str">
        <f t="shared" si="1"/>
        <v>If Cells(i, 7) ="Casimiroa sapota" Then cells(i,19)=17 End if</v>
      </c>
    </row>
    <row r="42" spans="2:5" x14ac:dyDescent="0.25">
      <c r="B42" t="s">
        <v>41</v>
      </c>
      <c r="C42">
        <v>17</v>
      </c>
      <c r="D42" t="s">
        <v>255</v>
      </c>
      <c r="E42" t="str">
        <f t="shared" si="1"/>
        <v>If Cells(i, 7) ="Cascabela gaumeri" Then cells(i,19)=17 End if</v>
      </c>
    </row>
    <row r="43" spans="2:5" x14ac:dyDescent="0.25">
      <c r="B43" t="s">
        <v>148</v>
      </c>
      <c r="C43">
        <v>17</v>
      </c>
      <c r="D43" t="s">
        <v>255</v>
      </c>
      <c r="E43" t="str">
        <f t="shared" si="1"/>
        <v>If Cells(i, 7) ="Dalbergia glabra" Then cells(i,19)=17 End if</v>
      </c>
    </row>
    <row r="44" spans="2:5" x14ac:dyDescent="0.25">
      <c r="B44" t="s">
        <v>22</v>
      </c>
      <c r="C44">
        <v>17</v>
      </c>
      <c r="D44" t="s">
        <v>255</v>
      </c>
      <c r="E44" t="str">
        <f t="shared" si="1"/>
        <v>If Cells(i, 7) ="Dendropanax arboreus" Then cells(i,19)=17 End if</v>
      </c>
    </row>
    <row r="45" spans="2:5" x14ac:dyDescent="0.25">
      <c r="B45" t="s">
        <v>252</v>
      </c>
      <c r="C45">
        <v>17</v>
      </c>
      <c r="D45" t="s">
        <v>255</v>
      </c>
      <c r="E45" t="str">
        <f t="shared" si="1"/>
        <v>If Cells(i, 7) ="Ottoschulzia pallidas" Then cells(i,19)=17 End if</v>
      </c>
    </row>
    <row r="46" spans="2:5" x14ac:dyDescent="0.25">
      <c r="B46" t="s">
        <v>253</v>
      </c>
      <c r="C46">
        <v>17</v>
      </c>
      <c r="D46" t="s">
        <v>255</v>
      </c>
      <c r="E46" t="str">
        <f t="shared" si="1"/>
        <v>If Cells(i, 7) ="Protium confusum" Then cells(i,19)=17 End if</v>
      </c>
    </row>
    <row r="47" spans="2:5" x14ac:dyDescent="0.25">
      <c r="B47" t="s">
        <v>109</v>
      </c>
      <c r="C47">
        <v>17</v>
      </c>
      <c r="D47" t="s">
        <v>255</v>
      </c>
      <c r="E47" t="str">
        <f t="shared" si="1"/>
        <v>If Cells(i, 7) ="Sideroxylon salicifolium" Then cells(i,19)=17 End if</v>
      </c>
    </row>
    <row r="48" spans="2:5" x14ac:dyDescent="0.25">
      <c r="B48" t="s">
        <v>54</v>
      </c>
      <c r="C48">
        <v>17</v>
      </c>
      <c r="D48" t="s">
        <v>255</v>
      </c>
      <c r="E48" t="str">
        <f t="shared" si="1"/>
        <v>If Cells(i, 7) ="Zygia cognata" Then cells(i,19)=17 End if</v>
      </c>
    </row>
    <row r="49" spans="2:5" x14ac:dyDescent="0.25">
      <c r="B49" t="s">
        <v>227</v>
      </c>
      <c r="C49">
        <v>17</v>
      </c>
      <c r="D49" t="s">
        <v>255</v>
      </c>
      <c r="E49" t="str">
        <f t="shared" si="1"/>
        <v>If Cells(i, 7) ="Semialarium mexicanum" Then cells(i,19)=17 End if</v>
      </c>
    </row>
    <row r="50" spans="2:5" x14ac:dyDescent="0.25">
      <c r="B50" t="s">
        <v>156</v>
      </c>
      <c r="C50">
        <v>17</v>
      </c>
      <c r="D50" t="s">
        <v>255</v>
      </c>
      <c r="E50" t="str">
        <f t="shared" si="1"/>
        <v>If Cells(i, 7) ="Cynophalla verrucosa" Then cells(i,19)=17 End if</v>
      </c>
    </row>
    <row r="51" spans="2:5" x14ac:dyDescent="0.25">
      <c r="B51" t="s">
        <v>254</v>
      </c>
      <c r="C51">
        <v>17</v>
      </c>
      <c r="D51" t="s">
        <v>255</v>
      </c>
      <c r="E51" t="str">
        <f t="shared" si="1"/>
        <v>If Cells(i, 7) ="Guettarda combsii" Then cells(i,19)=17 End if</v>
      </c>
    </row>
    <row r="52" spans="2:5" x14ac:dyDescent="0.25">
      <c r="B52" t="s">
        <v>63</v>
      </c>
      <c r="C52">
        <v>17</v>
      </c>
      <c r="D52" t="s">
        <v>255</v>
      </c>
      <c r="E52" t="str">
        <f t="shared" si="1"/>
        <v>If Cells(i, 7) ="Mosannona depressa" Then cells(i,19)=17 End if</v>
      </c>
    </row>
    <row r="53" spans="2:5" x14ac:dyDescent="0.25">
      <c r="B53" t="s">
        <v>99</v>
      </c>
      <c r="C53">
        <v>17</v>
      </c>
      <c r="D53" t="s">
        <v>255</v>
      </c>
      <c r="E53" t="str">
        <f t="shared" si="1"/>
        <v>If Cells(i, 7) ="Cupania dentata" Then cells(i,19)=17 End if</v>
      </c>
    </row>
    <row r="54" spans="2:5" x14ac:dyDescent="0.25">
      <c r="B54" t="s">
        <v>49</v>
      </c>
      <c r="C54">
        <v>17</v>
      </c>
      <c r="D54" t="s">
        <v>255</v>
      </c>
      <c r="E54" t="str">
        <f t="shared" si="1"/>
        <v>If Cells(i, 7) ="Hampea trilobata" Then cells(i,19)=17 End if</v>
      </c>
    </row>
    <row r="55" spans="2:5" x14ac:dyDescent="0.25">
      <c r="B55" t="s">
        <v>94</v>
      </c>
      <c r="C55">
        <v>17</v>
      </c>
      <c r="D55" t="s">
        <v>255</v>
      </c>
      <c r="E55" t="str">
        <f t="shared" si="1"/>
        <v>If Cells(i, 7) ="Neea psychotrioides" Then cells(i,19)=17 End if</v>
      </c>
    </row>
    <row r="56" spans="2:5" x14ac:dyDescent="0.25">
      <c r="B56" t="s">
        <v>210</v>
      </c>
      <c r="C56">
        <v>17</v>
      </c>
      <c r="D56" t="s">
        <v>255</v>
      </c>
      <c r="E56" t="str">
        <f t="shared" si="1"/>
        <v>If Cells(i, 7) ="Diphysa carthagenensis" Then cells(i,19)=17 End if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Y1153"/>
  <sheetViews>
    <sheetView topLeftCell="H1" zoomScale="85" zoomScaleNormal="85" workbookViewId="0">
      <selection sqref="A1:U1152"/>
    </sheetView>
  </sheetViews>
  <sheetFormatPr baseColWidth="10" defaultRowHeight="14.3" x14ac:dyDescent="0.25"/>
  <cols>
    <col min="5" max="5" width="12.5" customWidth="1"/>
    <col min="6" max="6" width="13" bestFit="1" customWidth="1"/>
    <col min="7" max="7" width="22.875" customWidth="1"/>
    <col min="8" max="8" width="18.5" bestFit="1" customWidth="1"/>
    <col min="16" max="16" width="14.5" style="57" bestFit="1" customWidth="1"/>
    <col min="19" max="19" width="8.25" bestFit="1" customWidth="1"/>
    <col min="20" max="20" width="72.375" bestFit="1" customWidth="1"/>
  </cols>
  <sheetData>
    <row r="1" spans="1:25" ht="27.2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3" t="s">
        <v>5</v>
      </c>
      <c r="G1" s="4" t="s">
        <v>312</v>
      </c>
      <c r="H1" s="3" t="s">
        <v>6</v>
      </c>
      <c r="I1" s="5" t="s">
        <v>7</v>
      </c>
      <c r="J1" s="1" t="s">
        <v>8</v>
      </c>
      <c r="K1" s="1" t="s">
        <v>9</v>
      </c>
      <c r="L1" s="1" t="s">
        <v>10</v>
      </c>
      <c r="M1" s="1" t="s">
        <v>281</v>
      </c>
      <c r="N1" s="6" t="s">
        <v>11</v>
      </c>
      <c r="O1" s="6" t="s">
        <v>12</v>
      </c>
      <c r="P1" s="57" t="s">
        <v>302</v>
      </c>
      <c r="Q1" s="46" t="s">
        <v>300</v>
      </c>
      <c r="R1" s="46" t="s">
        <v>301</v>
      </c>
      <c r="S1" s="24" t="s">
        <v>248</v>
      </c>
      <c r="T1" s="24" t="s">
        <v>279</v>
      </c>
      <c r="U1" s="27" t="s">
        <v>256</v>
      </c>
      <c r="V1" s="24"/>
      <c r="W1" s="24"/>
      <c r="X1" s="24"/>
      <c r="Y1" s="24"/>
    </row>
    <row r="2" spans="1:25" x14ac:dyDescent="0.25">
      <c r="A2" s="7">
        <v>6</v>
      </c>
      <c r="B2" s="7">
        <v>100</v>
      </c>
      <c r="C2" s="7">
        <v>1</v>
      </c>
      <c r="D2" s="8">
        <v>1</v>
      </c>
      <c r="E2" s="7">
        <v>1</v>
      </c>
      <c r="F2" s="9" t="s">
        <v>13</v>
      </c>
      <c r="G2" s="13" t="s">
        <v>14</v>
      </c>
      <c r="H2" s="11" t="s">
        <v>15</v>
      </c>
      <c r="I2" s="7">
        <v>22</v>
      </c>
      <c r="J2" s="15">
        <v>7.0028174960433951</v>
      </c>
      <c r="K2" s="7">
        <v>3.5</v>
      </c>
      <c r="L2" s="7">
        <v>7.5</v>
      </c>
      <c r="M2" s="7"/>
      <c r="N2" s="12" t="s">
        <v>20</v>
      </c>
      <c r="O2" s="12" t="s">
        <v>16</v>
      </c>
      <c r="P2" s="57" t="str">
        <f>IF((D2/D2)=1,"un fuste","bifurcado")</f>
        <v>un fuste</v>
      </c>
      <c r="Q2">
        <f>IF(L2&lt;3.75,2.5,IF(L2&lt;6.25,5,IF(L2&lt;8.74,7.5,IF(L2&lt;11.24,10,IF(L2&lt;13.75,12.5,IF(L2&lt;16.25,15,IF(L2&lt;18.75,17.5,IF(L2&lt;21.25,20,IF(L2&lt;23.75,22.5,IF(L2&lt;26.25,25,IF(L2&lt;28.75,27.5,IF(L2&lt;31.25,30,IF(L2&lt;33.75,32.5,IF(L2&lt;36.25,35,IF(L2&lt;38.75,37.5,IF(L2&lt;41.24,40,IF(L2&lt;43.75,42.5,IF(L2&lt;46.25,45," "))))))))))))))))))</f>
        <v>7.5</v>
      </c>
      <c r="R2">
        <f>IF(J2&lt;7.5,5,IF(J2&lt;12.5,10,IF(J2&lt;17.5,15,IF(J2&lt;22.5,20,IF(J2&lt;27.5,25,IF(J2&lt;32.5,30,IF(J2&lt;37.5,35,IF(J2&lt;42.5,40,IF(J2&lt;47.5,45,IF(J2&lt;52.5,50,IF(J2&lt;57.5,55,0)))))))))))</f>
        <v>5</v>
      </c>
    </row>
    <row r="3" spans="1:25" x14ac:dyDescent="0.25">
      <c r="A3" s="7">
        <v>7</v>
      </c>
      <c r="B3" s="7">
        <v>100</v>
      </c>
      <c r="C3" s="8">
        <v>1</v>
      </c>
      <c r="D3" s="8">
        <v>1</v>
      </c>
      <c r="E3" s="8">
        <v>1</v>
      </c>
      <c r="F3" s="9" t="s">
        <v>13</v>
      </c>
      <c r="G3" s="13" t="s">
        <v>14</v>
      </c>
      <c r="H3" s="14" t="s">
        <v>15</v>
      </c>
      <c r="I3" s="8">
        <v>30</v>
      </c>
      <c r="J3" s="15">
        <v>9.5492965855137211</v>
      </c>
      <c r="K3" s="8">
        <v>6</v>
      </c>
      <c r="L3" s="8">
        <v>9</v>
      </c>
      <c r="M3" s="7"/>
      <c r="N3" s="12" t="s">
        <v>20</v>
      </c>
      <c r="O3" s="12" t="s">
        <v>16</v>
      </c>
      <c r="P3" s="57" t="str">
        <f t="shared" ref="P3:P66" si="0">IF((D3/D3)=1,"un fuste","bifurcado")</f>
        <v>un fuste</v>
      </c>
      <c r="Q3">
        <f t="shared" ref="Q3:Q66" si="1">IF(L3&lt;3.75,2.5,IF(L3&lt;6.25,5,IF(L3&lt;8.74,7.5,IF(L3&lt;11.24,10,IF(L3&lt;13.75,12.5,IF(L3&lt;16.25,15,IF(L3&lt;18.75,17.5,IF(L3&lt;21.25,20,IF(L3&lt;23.75,22.5,IF(L3&lt;26.25,25,IF(L3&lt;28.75,27.5,IF(L3&lt;31.25,30,IF(L3&lt;33.75,32.5,IF(L3&lt;36.25,35,IF(L3&lt;38.75,37.5,IF(L3&lt;41.24,40,IF(L3&lt;43.75,42.5,IF(L3&lt;46.25,45," "))))))))))))))))))</f>
        <v>10</v>
      </c>
      <c r="R3">
        <f t="shared" ref="R3:R66" si="2">IF(J3&lt;7.5,5,IF(J3&lt;12.5,10,IF(J3&lt;17.5,15,IF(J3&lt;22.5,20,IF(J3&lt;27.5,25,IF(J3&lt;32.5,30,IF(J3&lt;37.5,35,IF(J3&lt;42.5,40,IF(J3&lt;47.5,45,IF(J3&lt;52.5,50,IF(J3&lt;57.5,55,0)))))))))))</f>
        <v>10</v>
      </c>
    </row>
    <row r="4" spans="1:25" x14ac:dyDescent="0.25">
      <c r="A4" s="7">
        <v>1</v>
      </c>
      <c r="B4" s="7">
        <v>5</v>
      </c>
      <c r="C4" s="7"/>
      <c r="D4" s="7">
        <v>1</v>
      </c>
      <c r="E4" s="7">
        <v>1</v>
      </c>
      <c r="F4" s="9" t="s">
        <v>13</v>
      </c>
      <c r="G4" s="10" t="s">
        <v>14</v>
      </c>
      <c r="H4" s="11" t="s">
        <v>15</v>
      </c>
      <c r="I4" s="7"/>
      <c r="J4" s="7"/>
      <c r="K4" s="7"/>
      <c r="L4" s="7">
        <v>6</v>
      </c>
      <c r="M4" s="7" t="e">
        <v>#REF!</v>
      </c>
      <c r="N4" s="12"/>
      <c r="O4" s="12" t="s">
        <v>16</v>
      </c>
      <c r="P4" s="57" t="str">
        <f t="shared" si="0"/>
        <v>un fuste</v>
      </c>
      <c r="Q4">
        <f t="shared" si="1"/>
        <v>5</v>
      </c>
      <c r="R4">
        <f t="shared" si="2"/>
        <v>5</v>
      </c>
    </row>
    <row r="5" spans="1:25" x14ac:dyDescent="0.25">
      <c r="A5" s="7">
        <v>1</v>
      </c>
      <c r="B5" s="7">
        <v>5</v>
      </c>
      <c r="C5" s="8"/>
      <c r="D5" s="7">
        <v>2</v>
      </c>
      <c r="E5" s="7">
        <v>2</v>
      </c>
      <c r="F5" s="9" t="s">
        <v>13</v>
      </c>
      <c r="G5" s="13" t="s">
        <v>14</v>
      </c>
      <c r="H5" s="11" t="s">
        <v>15</v>
      </c>
      <c r="I5" s="7"/>
      <c r="J5" s="7"/>
      <c r="K5" s="7"/>
      <c r="L5" s="7">
        <v>0.7</v>
      </c>
      <c r="M5" s="7" t="e">
        <v>#REF!</v>
      </c>
      <c r="N5" s="12"/>
      <c r="O5" s="12" t="s">
        <v>16</v>
      </c>
      <c r="P5" s="57" t="str">
        <f t="shared" si="0"/>
        <v>un fuste</v>
      </c>
      <c r="Q5">
        <f t="shared" si="1"/>
        <v>2.5</v>
      </c>
      <c r="R5">
        <f t="shared" si="2"/>
        <v>5</v>
      </c>
    </row>
    <row r="6" spans="1:25" x14ac:dyDescent="0.25">
      <c r="A6" s="7">
        <v>1</v>
      </c>
      <c r="B6" s="7">
        <v>5</v>
      </c>
      <c r="C6" s="8"/>
      <c r="D6" s="8">
        <v>3</v>
      </c>
      <c r="E6" s="8">
        <v>3</v>
      </c>
      <c r="F6" s="9" t="s">
        <v>13</v>
      </c>
      <c r="G6" s="10" t="s">
        <v>14</v>
      </c>
      <c r="H6" s="11" t="s">
        <v>15</v>
      </c>
      <c r="I6" s="8"/>
      <c r="J6" s="7"/>
      <c r="K6" s="8"/>
      <c r="L6" s="8">
        <v>0.5</v>
      </c>
      <c r="M6" s="7" t="e">
        <v>#REF!</v>
      </c>
      <c r="N6" s="12"/>
      <c r="O6" s="12" t="s">
        <v>16</v>
      </c>
      <c r="P6" s="57" t="str">
        <f t="shared" si="0"/>
        <v>un fuste</v>
      </c>
      <c r="Q6">
        <f t="shared" si="1"/>
        <v>2.5</v>
      </c>
      <c r="R6">
        <f t="shared" si="2"/>
        <v>5</v>
      </c>
    </row>
    <row r="7" spans="1:25" x14ac:dyDescent="0.25">
      <c r="A7" s="7">
        <v>1</v>
      </c>
      <c r="B7" s="7">
        <v>5</v>
      </c>
      <c r="C7" s="8"/>
      <c r="D7" s="8">
        <v>4</v>
      </c>
      <c r="E7" s="8">
        <v>4</v>
      </c>
      <c r="F7" s="9" t="s">
        <v>13</v>
      </c>
      <c r="G7" s="10" t="s">
        <v>14</v>
      </c>
      <c r="H7" s="11" t="s">
        <v>15</v>
      </c>
      <c r="I7" s="8"/>
      <c r="J7" s="7"/>
      <c r="K7" s="8"/>
      <c r="L7" s="8">
        <v>0.2</v>
      </c>
      <c r="M7" s="7" t="e">
        <v>#REF!</v>
      </c>
      <c r="N7" s="12"/>
      <c r="O7" s="12" t="s">
        <v>16</v>
      </c>
      <c r="P7" s="57" t="str">
        <f t="shared" si="0"/>
        <v>un fuste</v>
      </c>
      <c r="Q7">
        <f t="shared" si="1"/>
        <v>2.5</v>
      </c>
      <c r="R7">
        <f t="shared" si="2"/>
        <v>5</v>
      </c>
    </row>
    <row r="8" spans="1:25" x14ac:dyDescent="0.25">
      <c r="A8" s="7">
        <v>1</v>
      </c>
      <c r="B8" s="7">
        <v>5</v>
      </c>
      <c r="C8" s="8"/>
      <c r="D8" s="8">
        <v>5</v>
      </c>
      <c r="E8" s="8">
        <v>5</v>
      </c>
      <c r="F8" s="9" t="s">
        <v>36</v>
      </c>
      <c r="G8" s="13" t="s">
        <v>37</v>
      </c>
      <c r="H8" s="11" t="s">
        <v>38</v>
      </c>
      <c r="I8" s="7"/>
      <c r="J8" s="7"/>
      <c r="K8" s="7"/>
      <c r="L8" s="8">
        <v>0.5</v>
      </c>
      <c r="M8" s="7" t="e">
        <v>#REF!</v>
      </c>
      <c r="N8" s="12"/>
      <c r="O8" s="12" t="s">
        <v>16</v>
      </c>
      <c r="P8" s="57" t="str">
        <f t="shared" si="0"/>
        <v>un fuste</v>
      </c>
      <c r="Q8">
        <f t="shared" si="1"/>
        <v>2.5</v>
      </c>
      <c r="R8">
        <f t="shared" si="2"/>
        <v>5</v>
      </c>
    </row>
    <row r="9" spans="1:25" x14ac:dyDescent="0.25">
      <c r="A9" s="7">
        <v>6</v>
      </c>
      <c r="B9" s="7">
        <v>100</v>
      </c>
      <c r="C9" s="7">
        <v>1</v>
      </c>
      <c r="D9" s="8">
        <v>2</v>
      </c>
      <c r="E9" s="7">
        <v>2</v>
      </c>
      <c r="F9" s="9" t="s">
        <v>13</v>
      </c>
      <c r="G9" s="13" t="s">
        <v>14</v>
      </c>
      <c r="H9" s="11" t="s">
        <v>15</v>
      </c>
      <c r="I9" s="7">
        <v>22</v>
      </c>
      <c r="J9" s="15">
        <v>7.0028174960433951</v>
      </c>
      <c r="K9" s="7">
        <v>4</v>
      </c>
      <c r="L9" s="7">
        <v>7.5</v>
      </c>
      <c r="M9" s="7"/>
      <c r="N9" s="12" t="s">
        <v>20</v>
      </c>
      <c r="O9" s="12" t="s">
        <v>16</v>
      </c>
      <c r="P9" s="57" t="str">
        <f t="shared" si="0"/>
        <v>un fuste</v>
      </c>
      <c r="Q9">
        <f t="shared" si="1"/>
        <v>7.5</v>
      </c>
      <c r="R9">
        <f t="shared" si="2"/>
        <v>5</v>
      </c>
    </row>
    <row r="10" spans="1:25" x14ac:dyDescent="0.25">
      <c r="A10" s="7">
        <v>10</v>
      </c>
      <c r="B10" s="7">
        <v>100</v>
      </c>
      <c r="C10" s="8">
        <v>1</v>
      </c>
      <c r="D10" s="8">
        <v>2</v>
      </c>
      <c r="E10" s="8">
        <v>2</v>
      </c>
      <c r="F10" s="9" t="s">
        <v>13</v>
      </c>
      <c r="G10" s="10" t="s">
        <v>14</v>
      </c>
      <c r="H10" s="11" t="s">
        <v>15</v>
      </c>
      <c r="I10" s="7">
        <v>17.5</v>
      </c>
      <c r="J10" s="15">
        <v>5.5704230082163368</v>
      </c>
      <c r="K10" s="7">
        <v>5</v>
      </c>
      <c r="L10" s="7">
        <v>8</v>
      </c>
      <c r="M10" s="7"/>
      <c r="N10" s="12" t="s">
        <v>20</v>
      </c>
      <c r="O10" s="12" t="s">
        <v>16</v>
      </c>
      <c r="P10" s="57" t="str">
        <f t="shared" si="0"/>
        <v>un fuste</v>
      </c>
      <c r="Q10">
        <f t="shared" si="1"/>
        <v>7.5</v>
      </c>
      <c r="R10">
        <f t="shared" si="2"/>
        <v>5</v>
      </c>
    </row>
    <row r="11" spans="1:25" x14ac:dyDescent="0.25">
      <c r="A11" s="7">
        <v>1</v>
      </c>
      <c r="B11" s="7">
        <v>5</v>
      </c>
      <c r="C11" s="7"/>
      <c r="D11" s="8">
        <v>6</v>
      </c>
      <c r="E11" s="7">
        <v>6</v>
      </c>
      <c r="F11" s="9" t="s">
        <v>43</v>
      </c>
      <c r="G11" s="10" t="s">
        <v>44</v>
      </c>
      <c r="H11" s="16" t="s">
        <v>45</v>
      </c>
      <c r="I11" s="7"/>
      <c r="J11" s="7"/>
      <c r="K11" s="7"/>
      <c r="L11" s="7">
        <v>0.7</v>
      </c>
      <c r="M11" s="7" t="e">
        <v>#REF!</v>
      </c>
      <c r="N11" s="12"/>
      <c r="O11" s="12" t="s">
        <v>16</v>
      </c>
      <c r="P11" s="57" t="str">
        <f t="shared" si="0"/>
        <v>un fuste</v>
      </c>
      <c r="Q11">
        <f t="shared" si="1"/>
        <v>2.5</v>
      </c>
      <c r="R11">
        <f t="shared" si="2"/>
        <v>5</v>
      </c>
    </row>
    <row r="12" spans="1:25" x14ac:dyDescent="0.25">
      <c r="A12" s="7">
        <v>1</v>
      </c>
      <c r="B12" s="7">
        <v>5</v>
      </c>
      <c r="C12" s="7"/>
      <c r="D12" s="8">
        <v>7</v>
      </c>
      <c r="E12" s="7">
        <v>7</v>
      </c>
      <c r="F12" s="9" t="s">
        <v>43</v>
      </c>
      <c r="G12" s="10" t="s">
        <v>46</v>
      </c>
      <c r="H12" s="11" t="s">
        <v>47</v>
      </c>
      <c r="I12" s="7"/>
      <c r="J12" s="7"/>
      <c r="K12" s="7"/>
      <c r="L12" s="7">
        <v>1.7</v>
      </c>
      <c r="M12" s="7" t="e">
        <v>#REF!</v>
      </c>
      <c r="N12" s="12"/>
      <c r="O12" s="12" t="s">
        <v>16</v>
      </c>
      <c r="P12" s="57" t="str">
        <f t="shared" si="0"/>
        <v>un fuste</v>
      </c>
      <c r="Q12">
        <f t="shared" si="1"/>
        <v>2.5</v>
      </c>
      <c r="R12">
        <f t="shared" si="2"/>
        <v>5</v>
      </c>
    </row>
    <row r="13" spans="1:25" x14ac:dyDescent="0.25">
      <c r="A13" s="7">
        <v>1</v>
      </c>
      <c r="B13" s="7">
        <v>5</v>
      </c>
      <c r="C13" s="8"/>
      <c r="D13" s="8">
        <v>8</v>
      </c>
      <c r="E13" s="8">
        <v>8</v>
      </c>
      <c r="F13" s="9" t="s">
        <v>51</v>
      </c>
      <c r="G13" s="10" t="s">
        <v>52</v>
      </c>
      <c r="H13" s="11" t="s">
        <v>53</v>
      </c>
      <c r="I13" s="7"/>
      <c r="J13" s="7"/>
      <c r="K13" s="7"/>
      <c r="L13" s="7">
        <v>2.5</v>
      </c>
      <c r="M13" s="7" t="e">
        <v>#REF!</v>
      </c>
      <c r="N13" s="12"/>
      <c r="O13" s="12" t="s">
        <v>16</v>
      </c>
      <c r="P13" s="57" t="str">
        <f t="shared" si="0"/>
        <v>un fuste</v>
      </c>
      <c r="Q13">
        <f t="shared" si="1"/>
        <v>2.5</v>
      </c>
      <c r="R13">
        <f t="shared" si="2"/>
        <v>5</v>
      </c>
    </row>
    <row r="14" spans="1:25" x14ac:dyDescent="0.25">
      <c r="A14" s="7">
        <v>1</v>
      </c>
      <c r="B14" s="7">
        <v>5</v>
      </c>
      <c r="C14" s="8"/>
      <c r="D14" s="8">
        <v>9</v>
      </c>
      <c r="E14" s="8">
        <v>9</v>
      </c>
      <c r="F14" s="9" t="s">
        <v>17</v>
      </c>
      <c r="G14" s="10" t="s">
        <v>54</v>
      </c>
      <c r="H14" s="11" t="s">
        <v>55</v>
      </c>
      <c r="I14" s="7"/>
      <c r="J14" s="7"/>
      <c r="K14" s="7"/>
      <c r="L14" s="7">
        <v>2</v>
      </c>
      <c r="M14" s="7" t="e">
        <v>#REF!</v>
      </c>
      <c r="N14" s="12"/>
      <c r="O14" s="12" t="s">
        <v>16</v>
      </c>
      <c r="P14" s="57" t="str">
        <f t="shared" si="0"/>
        <v>un fuste</v>
      </c>
      <c r="Q14">
        <f t="shared" si="1"/>
        <v>2.5</v>
      </c>
      <c r="R14">
        <f t="shared" si="2"/>
        <v>5</v>
      </c>
    </row>
    <row r="15" spans="1:25" x14ac:dyDescent="0.25">
      <c r="A15" s="7">
        <v>1</v>
      </c>
      <c r="B15" s="7">
        <v>5</v>
      </c>
      <c r="C15" s="7"/>
      <c r="D15" s="8">
        <v>10</v>
      </c>
      <c r="E15" s="7">
        <v>10</v>
      </c>
      <c r="F15" s="9" t="s">
        <v>17</v>
      </c>
      <c r="G15" s="13" t="s">
        <v>58</v>
      </c>
      <c r="H15" s="11" t="s">
        <v>59</v>
      </c>
      <c r="I15" s="7"/>
      <c r="J15" s="7"/>
      <c r="K15" s="7"/>
      <c r="L15" s="7">
        <v>0.8</v>
      </c>
      <c r="M15" s="7" t="e">
        <v>#REF!</v>
      </c>
      <c r="N15" s="12"/>
      <c r="O15" s="12" t="s">
        <v>16</v>
      </c>
      <c r="P15" s="57" t="str">
        <f t="shared" si="0"/>
        <v>un fuste</v>
      </c>
      <c r="Q15">
        <f t="shared" si="1"/>
        <v>2.5</v>
      </c>
      <c r="R15">
        <f t="shared" si="2"/>
        <v>5</v>
      </c>
    </row>
    <row r="16" spans="1:25" x14ac:dyDescent="0.25">
      <c r="A16" s="7">
        <v>1</v>
      </c>
      <c r="B16" s="7">
        <v>5</v>
      </c>
      <c r="C16" s="8"/>
      <c r="D16" s="8">
        <v>11</v>
      </c>
      <c r="E16" s="8">
        <v>11</v>
      </c>
      <c r="F16" s="9" t="s">
        <v>17</v>
      </c>
      <c r="G16" s="13" t="s">
        <v>54</v>
      </c>
      <c r="H16" s="11" t="s">
        <v>55</v>
      </c>
      <c r="I16" s="7"/>
      <c r="J16" s="7"/>
      <c r="K16" s="7"/>
      <c r="L16" s="7">
        <v>0.9</v>
      </c>
      <c r="M16" s="7" t="e">
        <v>#REF!</v>
      </c>
      <c r="N16" s="12"/>
      <c r="O16" s="12" t="s">
        <v>16</v>
      </c>
      <c r="P16" s="57" t="str">
        <f t="shared" si="0"/>
        <v>un fuste</v>
      </c>
      <c r="Q16">
        <f t="shared" si="1"/>
        <v>2.5</v>
      </c>
      <c r="R16">
        <f t="shared" si="2"/>
        <v>5</v>
      </c>
    </row>
    <row r="17" spans="1:18" x14ac:dyDescent="0.25">
      <c r="A17" s="7">
        <v>3</v>
      </c>
      <c r="B17" s="7">
        <v>100</v>
      </c>
      <c r="C17" s="8">
        <v>1</v>
      </c>
      <c r="D17" s="8">
        <v>3</v>
      </c>
      <c r="E17" s="8">
        <v>3</v>
      </c>
      <c r="F17" s="9" t="s">
        <v>13</v>
      </c>
      <c r="G17" s="13" t="s">
        <v>14</v>
      </c>
      <c r="H17" s="14" t="s">
        <v>15</v>
      </c>
      <c r="I17" s="7">
        <v>17.5</v>
      </c>
      <c r="J17" s="15">
        <v>5.5704230082163368</v>
      </c>
      <c r="K17" s="7">
        <v>3</v>
      </c>
      <c r="L17" s="7">
        <v>8</v>
      </c>
      <c r="M17" s="7"/>
      <c r="N17" s="12" t="s">
        <v>20</v>
      </c>
      <c r="O17" s="12" t="s">
        <v>16</v>
      </c>
      <c r="P17" s="57" t="str">
        <f t="shared" si="0"/>
        <v>un fuste</v>
      </c>
      <c r="Q17">
        <f t="shared" si="1"/>
        <v>7.5</v>
      </c>
      <c r="R17">
        <f t="shared" si="2"/>
        <v>5</v>
      </c>
    </row>
    <row r="18" spans="1:18" x14ac:dyDescent="0.25">
      <c r="A18" s="7">
        <v>7</v>
      </c>
      <c r="B18" s="7">
        <v>100</v>
      </c>
      <c r="C18" s="7">
        <v>1</v>
      </c>
      <c r="D18" s="8">
        <v>3</v>
      </c>
      <c r="E18" s="7">
        <v>3</v>
      </c>
      <c r="F18" s="9" t="s">
        <v>13</v>
      </c>
      <c r="G18" s="10" t="s">
        <v>14</v>
      </c>
      <c r="H18" s="11" t="s">
        <v>15</v>
      </c>
      <c r="I18" s="7">
        <v>18</v>
      </c>
      <c r="J18" s="15">
        <v>5.7295779513082321</v>
      </c>
      <c r="K18" s="7">
        <v>5</v>
      </c>
      <c r="L18" s="7">
        <v>9</v>
      </c>
      <c r="M18" s="7"/>
      <c r="N18" s="12" t="s">
        <v>20</v>
      </c>
      <c r="O18" s="12" t="s">
        <v>16</v>
      </c>
      <c r="P18" s="57" t="str">
        <f t="shared" si="0"/>
        <v>un fuste</v>
      </c>
      <c r="Q18">
        <f t="shared" si="1"/>
        <v>10</v>
      </c>
      <c r="R18">
        <f t="shared" si="2"/>
        <v>5</v>
      </c>
    </row>
    <row r="19" spans="1:18" x14ac:dyDescent="0.25">
      <c r="A19" s="7">
        <v>11</v>
      </c>
      <c r="B19" s="7">
        <v>100</v>
      </c>
      <c r="C19" s="8">
        <v>1</v>
      </c>
      <c r="D19" s="8">
        <v>3</v>
      </c>
      <c r="E19" s="8">
        <v>3</v>
      </c>
      <c r="F19" s="9" t="s">
        <v>13</v>
      </c>
      <c r="G19" s="13" t="s">
        <v>14</v>
      </c>
      <c r="H19" s="11" t="s">
        <v>15</v>
      </c>
      <c r="I19" s="7">
        <v>17.5</v>
      </c>
      <c r="J19" s="15">
        <v>5.5704230082163368</v>
      </c>
      <c r="K19" s="7">
        <v>3.3</v>
      </c>
      <c r="L19" s="8">
        <v>7</v>
      </c>
      <c r="M19" s="7"/>
      <c r="N19" s="12" t="s">
        <v>20</v>
      </c>
      <c r="O19" s="12" t="s">
        <v>16</v>
      </c>
      <c r="P19" s="57" t="str">
        <f t="shared" si="0"/>
        <v>un fuste</v>
      </c>
      <c r="Q19">
        <f t="shared" si="1"/>
        <v>7.5</v>
      </c>
      <c r="R19">
        <f t="shared" si="2"/>
        <v>5</v>
      </c>
    </row>
    <row r="20" spans="1:18" x14ac:dyDescent="0.25">
      <c r="A20" s="7">
        <v>1</v>
      </c>
      <c r="B20" s="7">
        <v>5</v>
      </c>
      <c r="C20" s="7"/>
      <c r="D20" s="8">
        <v>12</v>
      </c>
      <c r="E20" s="7">
        <v>12</v>
      </c>
      <c r="F20" s="9" t="s">
        <v>62</v>
      </c>
      <c r="G20" s="13" t="s">
        <v>63</v>
      </c>
      <c r="H20" s="11" t="s">
        <v>64</v>
      </c>
      <c r="I20" s="7"/>
      <c r="J20" s="7"/>
      <c r="K20" s="7"/>
      <c r="L20" s="7">
        <v>0.7</v>
      </c>
      <c r="M20" s="7" t="e">
        <v>#REF!</v>
      </c>
      <c r="N20" s="12"/>
      <c r="O20" s="12" t="s">
        <v>16</v>
      </c>
      <c r="P20" s="57" t="str">
        <f t="shared" si="0"/>
        <v>un fuste</v>
      </c>
      <c r="Q20">
        <f t="shared" si="1"/>
        <v>2.5</v>
      </c>
      <c r="R20">
        <f t="shared" si="2"/>
        <v>5</v>
      </c>
    </row>
    <row r="21" spans="1:18" x14ac:dyDescent="0.25">
      <c r="A21" s="7">
        <v>1</v>
      </c>
      <c r="B21" s="7">
        <v>5</v>
      </c>
      <c r="C21" s="8"/>
      <c r="D21" s="8">
        <v>13</v>
      </c>
      <c r="E21" s="8">
        <v>13</v>
      </c>
      <c r="F21" s="9" t="s">
        <v>67</v>
      </c>
      <c r="G21" s="13" t="s">
        <v>68</v>
      </c>
      <c r="H21" s="14" t="s">
        <v>69</v>
      </c>
      <c r="I21" s="7"/>
      <c r="J21" s="7"/>
      <c r="K21" s="7"/>
      <c r="L21" s="8">
        <v>0.15</v>
      </c>
      <c r="M21" s="7" t="e">
        <v>#REF!</v>
      </c>
      <c r="N21" s="12"/>
      <c r="O21" s="12" t="s">
        <v>16</v>
      </c>
      <c r="P21" s="57" t="str">
        <f t="shared" si="0"/>
        <v>un fuste</v>
      </c>
      <c r="Q21">
        <f t="shared" si="1"/>
        <v>2.5</v>
      </c>
      <c r="R21">
        <f t="shared" si="2"/>
        <v>5</v>
      </c>
    </row>
    <row r="22" spans="1:18" x14ac:dyDescent="0.25">
      <c r="A22" s="7">
        <v>1</v>
      </c>
      <c r="B22" s="7">
        <v>5</v>
      </c>
      <c r="C22" s="7"/>
      <c r="D22" s="8">
        <v>14</v>
      </c>
      <c r="E22" s="7">
        <v>14</v>
      </c>
      <c r="F22" s="9" t="s">
        <v>13</v>
      </c>
      <c r="G22" s="13" t="s">
        <v>14</v>
      </c>
      <c r="H22" s="14" t="s">
        <v>15</v>
      </c>
      <c r="I22" s="7"/>
      <c r="J22" s="7"/>
      <c r="K22" s="7"/>
      <c r="L22" s="7">
        <v>0.3</v>
      </c>
      <c r="M22" s="7" t="e">
        <v>#REF!</v>
      </c>
      <c r="N22" s="12"/>
      <c r="O22" s="12" t="s">
        <v>16</v>
      </c>
      <c r="P22" s="57" t="str">
        <f t="shared" si="0"/>
        <v>un fuste</v>
      </c>
      <c r="Q22">
        <f t="shared" si="1"/>
        <v>2.5</v>
      </c>
      <c r="R22">
        <f t="shared" si="2"/>
        <v>5</v>
      </c>
    </row>
    <row r="23" spans="1:18" x14ac:dyDescent="0.25">
      <c r="A23" s="7">
        <v>1</v>
      </c>
      <c r="B23" s="7">
        <v>5</v>
      </c>
      <c r="C23" s="8"/>
      <c r="D23" s="8">
        <v>15</v>
      </c>
      <c r="E23" s="8">
        <v>15</v>
      </c>
      <c r="F23" s="9" t="s">
        <v>13</v>
      </c>
      <c r="G23" s="10" t="s">
        <v>14</v>
      </c>
      <c r="H23" s="11" t="s">
        <v>15</v>
      </c>
      <c r="I23" s="7"/>
      <c r="J23" s="7"/>
      <c r="K23" s="7"/>
      <c r="L23" s="7">
        <v>2</v>
      </c>
      <c r="M23" s="7" t="e">
        <v>#REF!</v>
      </c>
      <c r="N23" s="12"/>
      <c r="O23" s="12" t="s">
        <v>16</v>
      </c>
      <c r="P23" s="57" t="str">
        <f t="shared" si="0"/>
        <v>un fuste</v>
      </c>
      <c r="Q23">
        <f t="shared" si="1"/>
        <v>2.5</v>
      </c>
      <c r="R23">
        <f t="shared" si="2"/>
        <v>5</v>
      </c>
    </row>
    <row r="24" spans="1:18" x14ac:dyDescent="0.25">
      <c r="A24" s="7">
        <v>1</v>
      </c>
      <c r="B24" s="7">
        <v>5</v>
      </c>
      <c r="C24" s="8"/>
      <c r="D24" s="8">
        <v>16</v>
      </c>
      <c r="E24" s="8">
        <v>16</v>
      </c>
      <c r="F24" s="9" t="s">
        <v>17</v>
      </c>
      <c r="G24" s="13" t="s">
        <v>54</v>
      </c>
      <c r="H24" s="14" t="s">
        <v>55</v>
      </c>
      <c r="I24" s="8"/>
      <c r="J24" s="7"/>
      <c r="K24" s="8"/>
      <c r="L24" s="8">
        <v>4</v>
      </c>
      <c r="M24" s="7" t="e">
        <v>#REF!</v>
      </c>
      <c r="N24" s="12"/>
      <c r="O24" s="12" t="s">
        <v>16</v>
      </c>
      <c r="P24" s="57" t="str">
        <f t="shared" si="0"/>
        <v>un fuste</v>
      </c>
      <c r="Q24">
        <f t="shared" si="1"/>
        <v>5</v>
      </c>
      <c r="R24">
        <f t="shared" si="2"/>
        <v>5</v>
      </c>
    </row>
    <row r="25" spans="1:18" x14ac:dyDescent="0.25">
      <c r="A25" s="7">
        <v>1</v>
      </c>
      <c r="B25" s="7">
        <v>5</v>
      </c>
      <c r="C25" s="7"/>
      <c r="D25" s="8">
        <v>17</v>
      </c>
      <c r="E25" s="8">
        <v>17</v>
      </c>
      <c r="F25" s="9" t="s">
        <v>17</v>
      </c>
      <c r="G25" s="13" t="s">
        <v>54</v>
      </c>
      <c r="H25" s="14" t="s">
        <v>55</v>
      </c>
      <c r="I25" s="7"/>
      <c r="J25" s="7"/>
      <c r="K25" s="7"/>
      <c r="L25" s="7">
        <v>4</v>
      </c>
      <c r="M25" s="7" t="e">
        <v>#REF!</v>
      </c>
      <c r="N25" s="12"/>
      <c r="O25" s="12" t="s">
        <v>16</v>
      </c>
      <c r="P25" s="57" t="str">
        <f t="shared" si="0"/>
        <v>un fuste</v>
      </c>
      <c r="Q25">
        <f t="shared" si="1"/>
        <v>5</v>
      </c>
      <c r="R25">
        <f t="shared" si="2"/>
        <v>5</v>
      </c>
    </row>
    <row r="26" spans="1:18" x14ac:dyDescent="0.25">
      <c r="A26" s="7">
        <v>1</v>
      </c>
      <c r="B26" s="7">
        <v>5</v>
      </c>
      <c r="C26" s="7"/>
      <c r="D26" s="8">
        <v>18</v>
      </c>
      <c r="E26" s="7">
        <v>18</v>
      </c>
      <c r="F26" s="9" t="s">
        <v>13</v>
      </c>
      <c r="G26" s="10" t="s">
        <v>14</v>
      </c>
      <c r="H26" s="11" t="s">
        <v>15</v>
      </c>
      <c r="I26" s="7"/>
      <c r="J26" s="7"/>
      <c r="K26" s="7"/>
      <c r="L26" s="7">
        <v>0.15</v>
      </c>
      <c r="M26" s="7" t="e">
        <v>#REF!</v>
      </c>
      <c r="N26" s="12"/>
      <c r="O26" s="12" t="s">
        <v>16</v>
      </c>
      <c r="P26" s="57" t="str">
        <f t="shared" si="0"/>
        <v>un fuste</v>
      </c>
      <c r="Q26">
        <f t="shared" si="1"/>
        <v>2.5</v>
      </c>
      <c r="R26">
        <f t="shared" si="2"/>
        <v>5</v>
      </c>
    </row>
    <row r="27" spans="1:18" x14ac:dyDescent="0.25">
      <c r="A27" s="7">
        <v>1</v>
      </c>
      <c r="B27" s="7">
        <v>5</v>
      </c>
      <c r="C27" s="7"/>
      <c r="D27" s="8">
        <v>19</v>
      </c>
      <c r="E27" s="8">
        <v>19</v>
      </c>
      <c r="F27" s="9" t="s">
        <v>13</v>
      </c>
      <c r="G27" s="10" t="s">
        <v>14</v>
      </c>
      <c r="H27" s="11" t="s">
        <v>15</v>
      </c>
      <c r="I27" s="7"/>
      <c r="J27" s="7"/>
      <c r="K27" s="7"/>
      <c r="L27" s="7">
        <v>0.7</v>
      </c>
      <c r="M27" s="7" t="e">
        <v>#REF!</v>
      </c>
      <c r="N27" s="12"/>
      <c r="O27" s="12" t="s">
        <v>16</v>
      </c>
      <c r="P27" s="57" t="str">
        <f t="shared" si="0"/>
        <v>un fuste</v>
      </c>
      <c r="Q27">
        <f t="shared" si="1"/>
        <v>2.5</v>
      </c>
      <c r="R27">
        <f t="shared" si="2"/>
        <v>5</v>
      </c>
    </row>
    <row r="28" spans="1:18" x14ac:dyDescent="0.25">
      <c r="A28" s="7">
        <v>1</v>
      </c>
      <c r="B28" s="7">
        <v>5</v>
      </c>
      <c r="C28" s="8"/>
      <c r="D28" s="8">
        <v>20</v>
      </c>
      <c r="E28" s="8">
        <v>20</v>
      </c>
      <c r="F28" s="9" t="s">
        <v>13</v>
      </c>
      <c r="G28" s="10" t="s">
        <v>14</v>
      </c>
      <c r="H28" s="11" t="s">
        <v>15</v>
      </c>
      <c r="I28" s="7"/>
      <c r="J28" s="7"/>
      <c r="K28" s="7"/>
      <c r="L28" s="8">
        <v>0.3</v>
      </c>
      <c r="M28" s="7" t="e">
        <v>#REF!</v>
      </c>
      <c r="N28" s="12"/>
      <c r="O28" s="12" t="s">
        <v>16</v>
      </c>
      <c r="P28" s="57" t="str">
        <f t="shared" si="0"/>
        <v>un fuste</v>
      </c>
      <c r="Q28">
        <f t="shared" si="1"/>
        <v>2.5</v>
      </c>
      <c r="R28">
        <f t="shared" si="2"/>
        <v>5</v>
      </c>
    </row>
    <row r="29" spans="1:18" x14ac:dyDescent="0.25">
      <c r="A29" s="7">
        <v>1</v>
      </c>
      <c r="B29" s="7">
        <v>5</v>
      </c>
      <c r="C29" s="7"/>
      <c r="D29" s="8">
        <v>21</v>
      </c>
      <c r="E29" s="8">
        <v>21</v>
      </c>
      <c r="F29" s="9" t="s">
        <v>73</v>
      </c>
      <c r="G29" s="13" t="s">
        <v>74</v>
      </c>
      <c r="H29" s="11" t="s">
        <v>75</v>
      </c>
      <c r="I29" s="7"/>
      <c r="J29" s="7"/>
      <c r="K29" s="7"/>
      <c r="L29" s="7">
        <v>0.1</v>
      </c>
      <c r="M29" s="7" t="e">
        <v>#REF!</v>
      </c>
      <c r="N29" s="12"/>
      <c r="O29" s="12" t="s">
        <v>16</v>
      </c>
      <c r="P29" s="57" t="str">
        <f t="shared" si="0"/>
        <v>un fuste</v>
      </c>
      <c r="Q29">
        <f t="shared" si="1"/>
        <v>2.5</v>
      </c>
      <c r="R29">
        <f t="shared" si="2"/>
        <v>5</v>
      </c>
    </row>
    <row r="30" spans="1:18" x14ac:dyDescent="0.25">
      <c r="A30" s="7">
        <v>1</v>
      </c>
      <c r="B30" s="7">
        <v>100</v>
      </c>
      <c r="C30" s="8">
        <v>2</v>
      </c>
      <c r="D30" s="8">
        <v>8</v>
      </c>
      <c r="E30" s="8">
        <v>8</v>
      </c>
      <c r="F30" s="9" t="s">
        <v>13</v>
      </c>
      <c r="G30" s="13" t="s">
        <v>14</v>
      </c>
      <c r="H30" s="11" t="s">
        <v>15</v>
      </c>
      <c r="I30" s="7">
        <v>18</v>
      </c>
      <c r="J30" s="15">
        <v>5.7295779513082321</v>
      </c>
      <c r="K30" s="7">
        <v>4.5</v>
      </c>
      <c r="L30" s="7">
        <v>8</v>
      </c>
      <c r="M30" s="7"/>
      <c r="N30" s="12" t="s">
        <v>20</v>
      </c>
      <c r="O30" s="12" t="s">
        <v>16</v>
      </c>
      <c r="P30" s="57" t="str">
        <f t="shared" si="0"/>
        <v>un fuste</v>
      </c>
      <c r="Q30">
        <f t="shared" si="1"/>
        <v>7.5</v>
      </c>
      <c r="R30">
        <f t="shared" si="2"/>
        <v>5</v>
      </c>
    </row>
    <row r="31" spans="1:18" x14ac:dyDescent="0.25">
      <c r="A31" s="7">
        <v>2</v>
      </c>
      <c r="B31" s="7">
        <v>5</v>
      </c>
      <c r="C31" s="8"/>
      <c r="D31" s="8">
        <v>1</v>
      </c>
      <c r="E31" s="8">
        <v>1</v>
      </c>
      <c r="F31" s="17" t="s">
        <v>13</v>
      </c>
      <c r="G31" s="18" t="s">
        <v>14</v>
      </c>
      <c r="H31" s="11" t="s">
        <v>15</v>
      </c>
      <c r="I31" s="7"/>
      <c r="J31" s="7"/>
      <c r="K31" s="7"/>
      <c r="L31" s="8">
        <v>1.7</v>
      </c>
      <c r="M31" s="7" t="e">
        <v>#REF!</v>
      </c>
      <c r="N31" s="12"/>
      <c r="O31" s="12"/>
      <c r="P31" s="57" t="str">
        <f t="shared" si="0"/>
        <v>un fuste</v>
      </c>
      <c r="Q31">
        <f t="shared" si="1"/>
        <v>2.5</v>
      </c>
      <c r="R31">
        <f t="shared" si="2"/>
        <v>5</v>
      </c>
    </row>
    <row r="32" spans="1:18" x14ac:dyDescent="0.25">
      <c r="A32" s="7">
        <v>7</v>
      </c>
      <c r="B32" s="7">
        <v>100</v>
      </c>
      <c r="C32" s="7">
        <v>4</v>
      </c>
      <c r="D32" s="8">
        <v>9</v>
      </c>
      <c r="E32" s="7">
        <v>9</v>
      </c>
      <c r="F32" s="9" t="s">
        <v>13</v>
      </c>
      <c r="G32" s="13" t="s">
        <v>14</v>
      </c>
      <c r="H32" s="11" t="s">
        <v>15</v>
      </c>
      <c r="I32" s="7">
        <v>17</v>
      </c>
      <c r="J32" s="15">
        <v>5.4112680651244416</v>
      </c>
      <c r="K32" s="7">
        <v>3</v>
      </c>
      <c r="L32" s="7">
        <v>5</v>
      </c>
      <c r="M32" s="7"/>
      <c r="N32" s="12" t="s">
        <v>20</v>
      </c>
      <c r="O32" s="12" t="s">
        <v>16</v>
      </c>
      <c r="P32" s="57" t="str">
        <f t="shared" si="0"/>
        <v>un fuste</v>
      </c>
      <c r="Q32">
        <f t="shared" si="1"/>
        <v>5</v>
      </c>
      <c r="R32">
        <f t="shared" si="2"/>
        <v>5</v>
      </c>
    </row>
    <row r="33" spans="1:18" x14ac:dyDescent="0.25">
      <c r="A33" s="7">
        <v>2</v>
      </c>
      <c r="B33" s="7">
        <v>5</v>
      </c>
      <c r="C33" s="7"/>
      <c r="D33" s="8">
        <v>2</v>
      </c>
      <c r="E33" s="8">
        <v>2</v>
      </c>
      <c r="F33" s="9" t="s">
        <v>13</v>
      </c>
      <c r="G33" s="10" t="s">
        <v>14</v>
      </c>
      <c r="H33" s="11" t="s">
        <v>15</v>
      </c>
      <c r="I33" s="7"/>
      <c r="J33" s="7"/>
      <c r="K33" s="7"/>
      <c r="L33" s="7">
        <v>3.5</v>
      </c>
      <c r="M33" s="7" t="e">
        <v>#REF!</v>
      </c>
      <c r="N33" s="12"/>
      <c r="O33" s="12"/>
      <c r="P33" s="57" t="str">
        <f t="shared" si="0"/>
        <v>un fuste</v>
      </c>
      <c r="Q33">
        <f t="shared" si="1"/>
        <v>2.5</v>
      </c>
      <c r="R33">
        <f t="shared" si="2"/>
        <v>5</v>
      </c>
    </row>
    <row r="34" spans="1:18" x14ac:dyDescent="0.25">
      <c r="A34" s="7">
        <v>2</v>
      </c>
      <c r="B34" s="7">
        <v>5</v>
      </c>
      <c r="C34" s="8"/>
      <c r="D34" s="8">
        <v>3</v>
      </c>
      <c r="E34" s="8">
        <v>3</v>
      </c>
      <c r="F34" s="9" t="s">
        <v>17</v>
      </c>
      <c r="G34" s="13" t="s">
        <v>54</v>
      </c>
      <c r="H34" s="11" t="s">
        <v>55</v>
      </c>
      <c r="I34" s="7"/>
      <c r="J34" s="7"/>
      <c r="K34" s="7"/>
      <c r="L34" s="8">
        <v>3</v>
      </c>
      <c r="M34" s="7" t="e">
        <v>#REF!</v>
      </c>
      <c r="N34" s="12"/>
      <c r="O34" s="12"/>
      <c r="P34" s="57" t="str">
        <f t="shared" si="0"/>
        <v>un fuste</v>
      </c>
      <c r="Q34">
        <f t="shared" si="1"/>
        <v>2.5</v>
      </c>
      <c r="R34">
        <f t="shared" si="2"/>
        <v>5</v>
      </c>
    </row>
    <row r="35" spans="1:18" x14ac:dyDescent="0.25">
      <c r="A35" s="7">
        <v>2</v>
      </c>
      <c r="B35" s="7">
        <v>5</v>
      </c>
      <c r="C35" s="8"/>
      <c r="D35" s="8">
        <v>4</v>
      </c>
      <c r="E35" s="8">
        <v>4</v>
      </c>
      <c r="F35" s="9" t="s">
        <v>13</v>
      </c>
      <c r="G35" s="10" t="s">
        <v>14</v>
      </c>
      <c r="H35" s="11" t="s">
        <v>15</v>
      </c>
      <c r="I35" s="7"/>
      <c r="J35" s="7"/>
      <c r="K35" s="7"/>
      <c r="L35" s="7">
        <v>1.7</v>
      </c>
      <c r="M35" s="7" t="e">
        <v>#REF!</v>
      </c>
      <c r="N35" s="12"/>
      <c r="O35" s="12"/>
      <c r="P35" s="57" t="str">
        <f t="shared" si="0"/>
        <v>un fuste</v>
      </c>
      <c r="Q35">
        <f t="shared" si="1"/>
        <v>2.5</v>
      </c>
      <c r="R35">
        <f t="shared" si="2"/>
        <v>5</v>
      </c>
    </row>
    <row r="36" spans="1:18" x14ac:dyDescent="0.25">
      <c r="A36" s="7">
        <v>2</v>
      </c>
      <c r="B36" s="7">
        <v>5</v>
      </c>
      <c r="C36" s="8"/>
      <c r="D36" s="8">
        <v>5</v>
      </c>
      <c r="E36" s="8">
        <v>5</v>
      </c>
      <c r="F36" s="9" t="s">
        <v>17</v>
      </c>
      <c r="G36" s="10" t="s">
        <v>54</v>
      </c>
      <c r="H36" s="11" t="s">
        <v>55</v>
      </c>
      <c r="I36" s="7"/>
      <c r="J36" s="7"/>
      <c r="K36" s="7"/>
      <c r="L36" s="7">
        <v>3.5</v>
      </c>
      <c r="M36" s="7" t="e">
        <v>#REF!</v>
      </c>
      <c r="N36" s="12"/>
      <c r="O36" s="12"/>
      <c r="P36" s="57" t="str">
        <f t="shared" si="0"/>
        <v>un fuste</v>
      </c>
      <c r="Q36">
        <f t="shared" si="1"/>
        <v>2.5</v>
      </c>
      <c r="R36">
        <f t="shared" si="2"/>
        <v>5</v>
      </c>
    </row>
    <row r="37" spans="1:18" x14ac:dyDescent="0.25">
      <c r="A37" s="7">
        <v>2</v>
      </c>
      <c r="B37" s="7">
        <v>100</v>
      </c>
      <c r="C37" s="8">
        <v>3</v>
      </c>
      <c r="D37" s="8">
        <v>10</v>
      </c>
      <c r="E37" s="8">
        <v>10</v>
      </c>
      <c r="F37" s="9" t="s">
        <v>13</v>
      </c>
      <c r="G37" s="10" t="s">
        <v>14</v>
      </c>
      <c r="H37" s="11" t="s">
        <v>15</v>
      </c>
      <c r="I37" s="7">
        <v>18.5</v>
      </c>
      <c r="J37" s="15">
        <v>5.8887328944001274</v>
      </c>
      <c r="K37" s="7">
        <v>4</v>
      </c>
      <c r="L37" s="8">
        <v>8</v>
      </c>
      <c r="M37" s="7"/>
      <c r="N37" s="12" t="s">
        <v>20</v>
      </c>
      <c r="O37" s="12" t="s">
        <v>16</v>
      </c>
      <c r="P37" s="57" t="str">
        <f t="shared" si="0"/>
        <v>un fuste</v>
      </c>
      <c r="Q37">
        <f t="shared" si="1"/>
        <v>7.5</v>
      </c>
      <c r="R37">
        <f t="shared" si="2"/>
        <v>5</v>
      </c>
    </row>
    <row r="38" spans="1:18" x14ac:dyDescent="0.25">
      <c r="A38" s="7">
        <v>10</v>
      </c>
      <c r="B38" s="7">
        <v>100</v>
      </c>
      <c r="C38" s="8">
        <v>1</v>
      </c>
      <c r="D38" s="8">
        <v>10</v>
      </c>
      <c r="E38" s="8">
        <v>10</v>
      </c>
      <c r="F38" s="9" t="s">
        <v>13</v>
      </c>
      <c r="G38" s="13" t="s">
        <v>14</v>
      </c>
      <c r="H38" s="14" t="s">
        <v>15</v>
      </c>
      <c r="I38" s="8">
        <v>16</v>
      </c>
      <c r="J38" s="15">
        <v>5.0929581789406511</v>
      </c>
      <c r="K38" s="8">
        <v>3.5</v>
      </c>
      <c r="L38" s="8">
        <v>7</v>
      </c>
      <c r="M38" s="7"/>
      <c r="N38" s="12" t="s">
        <v>20</v>
      </c>
      <c r="O38" s="12" t="s">
        <v>16</v>
      </c>
      <c r="P38" s="57" t="str">
        <f t="shared" si="0"/>
        <v>un fuste</v>
      </c>
      <c r="Q38">
        <f t="shared" si="1"/>
        <v>7.5</v>
      </c>
      <c r="R38">
        <f t="shared" si="2"/>
        <v>5</v>
      </c>
    </row>
    <row r="39" spans="1:18" x14ac:dyDescent="0.25">
      <c r="A39" s="7">
        <v>2</v>
      </c>
      <c r="B39" s="7">
        <v>5</v>
      </c>
      <c r="C39" s="8"/>
      <c r="D39" s="7">
        <v>6</v>
      </c>
      <c r="E39" s="7">
        <v>6</v>
      </c>
      <c r="F39" s="9" t="s">
        <v>90</v>
      </c>
      <c r="G39" s="10" t="s">
        <v>91</v>
      </c>
      <c r="H39" s="11" t="s">
        <v>92</v>
      </c>
      <c r="I39" s="7"/>
      <c r="J39" s="7"/>
      <c r="K39" s="7"/>
      <c r="L39" s="7">
        <v>1.8</v>
      </c>
      <c r="M39" s="7" t="e">
        <v>#REF!</v>
      </c>
      <c r="N39" s="12"/>
      <c r="O39" s="12"/>
      <c r="P39" s="57" t="str">
        <f t="shared" si="0"/>
        <v>un fuste</v>
      </c>
      <c r="Q39">
        <f t="shared" si="1"/>
        <v>2.5</v>
      </c>
      <c r="R39">
        <f t="shared" si="2"/>
        <v>5</v>
      </c>
    </row>
    <row r="40" spans="1:18" x14ac:dyDescent="0.25">
      <c r="A40" s="7">
        <v>2</v>
      </c>
      <c r="B40" s="7">
        <v>5</v>
      </c>
      <c r="C40" s="7"/>
      <c r="D40" s="8">
        <v>7</v>
      </c>
      <c r="E40" s="7">
        <v>7</v>
      </c>
      <c r="F40" s="9" t="s">
        <v>90</v>
      </c>
      <c r="G40" s="13" t="s">
        <v>91</v>
      </c>
      <c r="H40" s="11" t="s">
        <v>92</v>
      </c>
      <c r="I40" s="7"/>
      <c r="J40" s="7"/>
      <c r="K40" s="7"/>
      <c r="L40" s="7">
        <v>1.8</v>
      </c>
      <c r="M40" s="7" t="e">
        <v>#REF!</v>
      </c>
      <c r="N40" s="12"/>
      <c r="O40" s="12"/>
      <c r="P40" s="57" t="str">
        <f t="shared" si="0"/>
        <v>un fuste</v>
      </c>
      <c r="Q40">
        <f t="shared" si="1"/>
        <v>2.5</v>
      </c>
      <c r="R40">
        <f t="shared" si="2"/>
        <v>5</v>
      </c>
    </row>
    <row r="41" spans="1:18" x14ac:dyDescent="0.25">
      <c r="A41" s="7">
        <v>2</v>
      </c>
      <c r="B41" s="7">
        <v>5</v>
      </c>
      <c r="C41" s="7"/>
      <c r="D41" s="7">
        <v>8</v>
      </c>
      <c r="E41" s="7">
        <v>8</v>
      </c>
      <c r="F41" s="9" t="s">
        <v>96</v>
      </c>
      <c r="G41" s="10" t="s">
        <v>97</v>
      </c>
      <c r="H41" s="11" t="s">
        <v>98</v>
      </c>
      <c r="I41" s="7"/>
      <c r="J41" s="7"/>
      <c r="K41" s="7"/>
      <c r="L41" s="7">
        <v>4</v>
      </c>
      <c r="M41" s="7" t="e">
        <v>#REF!</v>
      </c>
      <c r="N41" s="12"/>
      <c r="O41" s="12"/>
      <c r="P41" s="57" t="str">
        <f t="shared" si="0"/>
        <v>un fuste</v>
      </c>
      <c r="Q41">
        <f t="shared" si="1"/>
        <v>5</v>
      </c>
      <c r="R41">
        <f t="shared" si="2"/>
        <v>5</v>
      </c>
    </row>
    <row r="42" spans="1:18" x14ac:dyDescent="0.25">
      <c r="A42" s="7">
        <v>2</v>
      </c>
      <c r="B42" s="7">
        <v>5</v>
      </c>
      <c r="C42" s="8"/>
      <c r="D42" s="8">
        <v>9</v>
      </c>
      <c r="E42" s="8">
        <v>9</v>
      </c>
      <c r="F42" s="9" t="s">
        <v>17</v>
      </c>
      <c r="G42" s="10" t="s">
        <v>54</v>
      </c>
      <c r="H42" s="11" t="s">
        <v>55</v>
      </c>
      <c r="I42" s="7"/>
      <c r="J42" s="7"/>
      <c r="K42" s="7"/>
      <c r="L42" s="8">
        <v>1</v>
      </c>
      <c r="M42" s="7" t="e">
        <v>#REF!</v>
      </c>
      <c r="N42" s="12"/>
      <c r="O42" s="12"/>
      <c r="P42" s="57" t="str">
        <f t="shared" si="0"/>
        <v>un fuste</v>
      </c>
      <c r="Q42">
        <f t="shared" si="1"/>
        <v>2.5</v>
      </c>
      <c r="R42">
        <f t="shared" si="2"/>
        <v>5</v>
      </c>
    </row>
    <row r="43" spans="1:18" x14ac:dyDescent="0.25">
      <c r="A43" s="7">
        <v>5</v>
      </c>
      <c r="B43" s="7">
        <v>100</v>
      </c>
      <c r="C43" s="8">
        <v>1</v>
      </c>
      <c r="D43" s="8">
        <v>10</v>
      </c>
      <c r="E43" s="8">
        <v>11</v>
      </c>
      <c r="F43" s="9" t="s">
        <v>13</v>
      </c>
      <c r="G43" s="10" t="s">
        <v>14</v>
      </c>
      <c r="H43" s="11" t="s">
        <v>15</v>
      </c>
      <c r="I43" s="8">
        <v>17</v>
      </c>
      <c r="J43" s="15">
        <v>5.4112680651244416</v>
      </c>
      <c r="K43" s="8">
        <v>4</v>
      </c>
      <c r="L43" s="8">
        <v>8</v>
      </c>
      <c r="M43" s="7"/>
      <c r="N43" s="12" t="s">
        <v>20</v>
      </c>
      <c r="O43" s="12" t="s">
        <v>16</v>
      </c>
      <c r="P43" s="57" t="str">
        <f t="shared" si="0"/>
        <v>un fuste</v>
      </c>
      <c r="Q43">
        <f t="shared" si="1"/>
        <v>7.5</v>
      </c>
      <c r="R43">
        <f t="shared" si="2"/>
        <v>5</v>
      </c>
    </row>
    <row r="44" spans="1:18" x14ac:dyDescent="0.25">
      <c r="A44" s="7">
        <v>2</v>
      </c>
      <c r="B44" s="7">
        <v>5</v>
      </c>
      <c r="C44" s="7"/>
      <c r="D44" s="8">
        <v>10</v>
      </c>
      <c r="E44" s="7">
        <v>10</v>
      </c>
      <c r="F44" s="9" t="s">
        <v>90</v>
      </c>
      <c r="G44" s="10" t="s">
        <v>91</v>
      </c>
      <c r="H44" s="11" t="s">
        <v>92</v>
      </c>
      <c r="I44" s="7"/>
      <c r="J44" s="7"/>
      <c r="K44" s="7"/>
      <c r="L44" s="7">
        <v>2.2999999999999998</v>
      </c>
      <c r="M44" s="7" t="e">
        <v>#REF!</v>
      </c>
      <c r="N44" s="12"/>
      <c r="O44" s="12"/>
      <c r="P44" s="57" t="str">
        <f t="shared" si="0"/>
        <v>un fuste</v>
      </c>
      <c r="Q44">
        <f t="shared" si="1"/>
        <v>2.5</v>
      </c>
      <c r="R44">
        <f t="shared" si="2"/>
        <v>5</v>
      </c>
    </row>
    <row r="45" spans="1:18" x14ac:dyDescent="0.25">
      <c r="A45" s="7">
        <v>2</v>
      </c>
      <c r="B45" s="7">
        <v>5</v>
      </c>
      <c r="C45" s="8"/>
      <c r="D45" s="8">
        <v>11</v>
      </c>
      <c r="E45" s="8">
        <v>11</v>
      </c>
      <c r="F45" s="9" t="s">
        <v>17</v>
      </c>
      <c r="G45" s="13" t="s">
        <v>54</v>
      </c>
      <c r="H45" s="11" t="s">
        <v>55</v>
      </c>
      <c r="I45" s="8"/>
      <c r="J45" s="7"/>
      <c r="K45" s="8"/>
      <c r="L45" s="8">
        <v>1</v>
      </c>
      <c r="M45" s="7" t="e">
        <v>#REF!</v>
      </c>
      <c r="N45" s="12"/>
      <c r="O45" s="12"/>
      <c r="P45" s="57" t="str">
        <f t="shared" si="0"/>
        <v>un fuste</v>
      </c>
      <c r="Q45">
        <f t="shared" si="1"/>
        <v>2.5</v>
      </c>
      <c r="R45">
        <f t="shared" si="2"/>
        <v>5</v>
      </c>
    </row>
    <row r="46" spans="1:18" x14ac:dyDescent="0.25">
      <c r="A46" s="7">
        <v>2</v>
      </c>
      <c r="B46" s="7">
        <v>5</v>
      </c>
      <c r="C46" s="7"/>
      <c r="D46" s="8">
        <v>12</v>
      </c>
      <c r="E46" s="7">
        <v>12</v>
      </c>
      <c r="F46" s="17" t="s">
        <v>43</v>
      </c>
      <c r="G46" s="10" t="s">
        <v>44</v>
      </c>
      <c r="H46" s="11" t="s">
        <v>45</v>
      </c>
      <c r="I46" s="7"/>
      <c r="J46" s="7"/>
      <c r="K46" s="7"/>
      <c r="L46" s="7">
        <v>1.7</v>
      </c>
      <c r="M46" s="7" t="e">
        <v>#REF!</v>
      </c>
      <c r="N46" s="12"/>
      <c r="O46" s="12"/>
      <c r="P46" s="57" t="str">
        <f t="shared" si="0"/>
        <v>un fuste</v>
      </c>
      <c r="Q46">
        <f t="shared" si="1"/>
        <v>2.5</v>
      </c>
      <c r="R46">
        <f t="shared" si="2"/>
        <v>5</v>
      </c>
    </row>
    <row r="47" spans="1:18" x14ac:dyDescent="0.25">
      <c r="A47" s="7">
        <v>2</v>
      </c>
      <c r="B47" s="7">
        <v>5</v>
      </c>
      <c r="C47" s="8"/>
      <c r="D47" s="8">
        <v>13</v>
      </c>
      <c r="E47" s="8">
        <v>13</v>
      </c>
      <c r="F47" s="9" t="s">
        <v>43</v>
      </c>
      <c r="G47" s="10" t="s">
        <v>44</v>
      </c>
      <c r="H47" s="11" t="s">
        <v>45</v>
      </c>
      <c r="I47" s="7"/>
      <c r="J47" s="7"/>
      <c r="K47" s="7"/>
      <c r="L47" s="7">
        <v>7</v>
      </c>
      <c r="M47" s="7" t="e">
        <v>#REF!</v>
      </c>
      <c r="N47" s="12"/>
      <c r="O47" s="12"/>
      <c r="P47" s="57" t="str">
        <f t="shared" si="0"/>
        <v>un fuste</v>
      </c>
      <c r="Q47">
        <f t="shared" si="1"/>
        <v>7.5</v>
      </c>
      <c r="R47">
        <f t="shared" si="2"/>
        <v>5</v>
      </c>
    </row>
    <row r="48" spans="1:18" x14ac:dyDescent="0.25">
      <c r="A48" s="7">
        <v>2</v>
      </c>
      <c r="B48" s="7">
        <v>100</v>
      </c>
      <c r="C48" s="7">
        <v>4</v>
      </c>
      <c r="D48" s="8">
        <v>12</v>
      </c>
      <c r="E48" s="7">
        <v>12</v>
      </c>
      <c r="F48" s="9" t="s">
        <v>13</v>
      </c>
      <c r="G48" s="10" t="s">
        <v>14</v>
      </c>
      <c r="H48" s="11" t="s">
        <v>15</v>
      </c>
      <c r="I48" s="7">
        <v>21</v>
      </c>
      <c r="J48" s="15">
        <v>6.6845076098596046</v>
      </c>
      <c r="K48" s="7">
        <v>4</v>
      </c>
      <c r="L48" s="7">
        <v>9</v>
      </c>
      <c r="M48" s="7"/>
      <c r="N48" s="12" t="s">
        <v>20</v>
      </c>
      <c r="O48" s="12" t="s">
        <v>16</v>
      </c>
      <c r="P48" s="57" t="str">
        <f t="shared" si="0"/>
        <v>un fuste</v>
      </c>
      <c r="Q48">
        <f t="shared" si="1"/>
        <v>10</v>
      </c>
      <c r="R48">
        <f t="shared" si="2"/>
        <v>5</v>
      </c>
    </row>
    <row r="49" spans="1:18" x14ac:dyDescent="0.25">
      <c r="A49" s="7">
        <v>2</v>
      </c>
      <c r="B49" s="7">
        <v>5</v>
      </c>
      <c r="C49" s="8"/>
      <c r="D49" s="8">
        <v>14</v>
      </c>
      <c r="E49" s="8">
        <v>14</v>
      </c>
      <c r="F49" s="9" t="s">
        <v>36</v>
      </c>
      <c r="G49" s="10" t="s">
        <v>101</v>
      </c>
      <c r="H49" s="11" t="s">
        <v>102</v>
      </c>
      <c r="I49" s="7"/>
      <c r="J49" s="7"/>
      <c r="K49" s="7"/>
      <c r="L49" s="7">
        <v>0.6</v>
      </c>
      <c r="M49" s="7" t="e">
        <v>#REF!</v>
      </c>
      <c r="N49" s="12"/>
      <c r="O49" s="12"/>
      <c r="P49" s="57" t="str">
        <f t="shared" si="0"/>
        <v>un fuste</v>
      </c>
      <c r="Q49">
        <f t="shared" si="1"/>
        <v>2.5</v>
      </c>
      <c r="R49">
        <f t="shared" si="2"/>
        <v>5</v>
      </c>
    </row>
    <row r="50" spans="1:18" x14ac:dyDescent="0.25">
      <c r="A50" s="7">
        <v>2</v>
      </c>
      <c r="B50" s="7">
        <v>5</v>
      </c>
      <c r="C50" s="8"/>
      <c r="D50" s="8">
        <v>15</v>
      </c>
      <c r="E50" s="8">
        <v>15</v>
      </c>
      <c r="F50" s="9" t="s">
        <v>36</v>
      </c>
      <c r="G50" s="13" t="s">
        <v>101</v>
      </c>
      <c r="H50" s="11" t="s">
        <v>102</v>
      </c>
      <c r="I50" s="7"/>
      <c r="J50" s="7"/>
      <c r="K50" s="7"/>
      <c r="L50" s="7">
        <v>0.4</v>
      </c>
      <c r="M50" s="7" t="e">
        <v>#REF!</v>
      </c>
      <c r="N50" s="12"/>
      <c r="O50" s="12"/>
      <c r="P50" s="57" t="str">
        <f t="shared" si="0"/>
        <v>un fuste</v>
      </c>
      <c r="Q50">
        <f t="shared" si="1"/>
        <v>2.5</v>
      </c>
      <c r="R50">
        <f t="shared" si="2"/>
        <v>5</v>
      </c>
    </row>
    <row r="51" spans="1:18" x14ac:dyDescent="0.25">
      <c r="A51" s="7">
        <v>2</v>
      </c>
      <c r="B51" s="7">
        <v>5</v>
      </c>
      <c r="C51" s="7"/>
      <c r="D51" s="8">
        <v>16</v>
      </c>
      <c r="E51" s="7">
        <v>16</v>
      </c>
      <c r="F51" s="9" t="s">
        <v>36</v>
      </c>
      <c r="G51" s="10" t="s">
        <v>101</v>
      </c>
      <c r="H51" s="11" t="s">
        <v>102</v>
      </c>
      <c r="I51" s="7"/>
      <c r="J51" s="7"/>
      <c r="K51" s="7"/>
      <c r="L51" s="7">
        <v>0.15</v>
      </c>
      <c r="M51" s="7" t="e">
        <v>#REF!</v>
      </c>
      <c r="N51" s="12"/>
      <c r="O51" s="12"/>
      <c r="P51" s="57" t="str">
        <f t="shared" si="0"/>
        <v>un fuste</v>
      </c>
      <c r="Q51">
        <f t="shared" si="1"/>
        <v>2.5</v>
      </c>
      <c r="R51">
        <f t="shared" si="2"/>
        <v>5</v>
      </c>
    </row>
    <row r="52" spans="1:18" x14ac:dyDescent="0.25">
      <c r="A52" s="7">
        <v>2</v>
      </c>
      <c r="B52" s="7">
        <v>5</v>
      </c>
      <c r="C52" s="8"/>
      <c r="D52" s="8">
        <v>17</v>
      </c>
      <c r="E52" s="8">
        <v>17</v>
      </c>
      <c r="F52" s="9" t="s">
        <v>36</v>
      </c>
      <c r="G52" s="13" t="s">
        <v>101</v>
      </c>
      <c r="H52" s="14" t="s">
        <v>102</v>
      </c>
      <c r="I52" s="7"/>
      <c r="J52" s="7"/>
      <c r="K52" s="7"/>
      <c r="L52" s="8">
        <v>0.4</v>
      </c>
      <c r="M52" s="7" t="e">
        <v>#REF!</v>
      </c>
      <c r="N52" s="12"/>
      <c r="O52" s="12"/>
      <c r="P52" s="57" t="str">
        <f t="shared" si="0"/>
        <v>un fuste</v>
      </c>
      <c r="Q52">
        <f t="shared" si="1"/>
        <v>2.5</v>
      </c>
      <c r="R52">
        <f t="shared" si="2"/>
        <v>5</v>
      </c>
    </row>
    <row r="53" spans="1:18" x14ac:dyDescent="0.25">
      <c r="A53" s="7">
        <v>2</v>
      </c>
      <c r="B53" s="7">
        <v>5</v>
      </c>
      <c r="C53" s="7"/>
      <c r="D53" s="8">
        <v>18</v>
      </c>
      <c r="E53" s="7">
        <v>18</v>
      </c>
      <c r="F53" s="9" t="s">
        <v>26</v>
      </c>
      <c r="G53" s="13" t="s">
        <v>27</v>
      </c>
      <c r="H53" s="11" t="s">
        <v>28</v>
      </c>
      <c r="I53" s="7"/>
      <c r="J53" s="7"/>
      <c r="K53" s="7"/>
      <c r="L53" s="7">
        <v>0.6</v>
      </c>
      <c r="M53" s="7" t="e">
        <v>#REF!</v>
      </c>
      <c r="N53" s="12"/>
      <c r="O53" s="12"/>
      <c r="P53" s="57" t="str">
        <f t="shared" si="0"/>
        <v>un fuste</v>
      </c>
      <c r="Q53">
        <f t="shared" si="1"/>
        <v>2.5</v>
      </c>
      <c r="R53">
        <f t="shared" si="2"/>
        <v>5</v>
      </c>
    </row>
    <row r="54" spans="1:18" x14ac:dyDescent="0.25">
      <c r="A54" s="7">
        <v>2</v>
      </c>
      <c r="B54" s="7">
        <v>5</v>
      </c>
      <c r="C54" s="8"/>
      <c r="D54" s="8">
        <v>19</v>
      </c>
      <c r="E54" s="8">
        <v>19</v>
      </c>
      <c r="F54" s="9" t="s">
        <v>13</v>
      </c>
      <c r="G54" s="10" t="s">
        <v>14</v>
      </c>
      <c r="H54" s="11" t="s">
        <v>15</v>
      </c>
      <c r="I54" s="7"/>
      <c r="J54" s="7"/>
      <c r="K54" s="7"/>
      <c r="L54" s="7">
        <v>0.6</v>
      </c>
      <c r="M54" s="7" t="e">
        <v>#REF!</v>
      </c>
      <c r="N54" s="12"/>
      <c r="O54" s="12"/>
      <c r="P54" s="57" t="str">
        <f t="shared" si="0"/>
        <v>un fuste</v>
      </c>
      <c r="Q54">
        <f t="shared" si="1"/>
        <v>2.5</v>
      </c>
      <c r="R54">
        <f t="shared" si="2"/>
        <v>5</v>
      </c>
    </row>
    <row r="55" spans="1:18" x14ac:dyDescent="0.25">
      <c r="A55" s="7">
        <v>1</v>
      </c>
      <c r="B55" s="7">
        <v>100</v>
      </c>
      <c r="C55" s="8">
        <v>3</v>
      </c>
      <c r="D55" s="8">
        <v>14</v>
      </c>
      <c r="E55" s="8">
        <v>14</v>
      </c>
      <c r="F55" s="9" t="s">
        <v>13</v>
      </c>
      <c r="G55" s="13" t="s">
        <v>14</v>
      </c>
      <c r="H55" s="11" t="s">
        <v>15</v>
      </c>
      <c r="I55" s="7">
        <v>18</v>
      </c>
      <c r="J55" s="15">
        <v>5.7295779513082321</v>
      </c>
      <c r="K55" s="7">
        <v>1.5</v>
      </c>
      <c r="L55" s="7">
        <v>5</v>
      </c>
      <c r="M55" s="7"/>
      <c r="N55" s="12" t="s">
        <v>20</v>
      </c>
      <c r="O55" s="12" t="s">
        <v>16</v>
      </c>
      <c r="P55" s="57" t="str">
        <f t="shared" si="0"/>
        <v>un fuste</v>
      </c>
      <c r="Q55">
        <f t="shared" si="1"/>
        <v>5</v>
      </c>
      <c r="R55">
        <f t="shared" si="2"/>
        <v>5</v>
      </c>
    </row>
    <row r="56" spans="1:18" x14ac:dyDescent="0.25">
      <c r="A56" s="7">
        <v>2</v>
      </c>
      <c r="B56" s="7">
        <v>5</v>
      </c>
      <c r="C56" s="8"/>
      <c r="D56" s="8">
        <v>20</v>
      </c>
      <c r="E56" s="8">
        <v>20</v>
      </c>
      <c r="F56" s="9" t="s">
        <v>13</v>
      </c>
      <c r="G56" s="10" t="s">
        <v>14</v>
      </c>
      <c r="H56" s="11" t="s">
        <v>15</v>
      </c>
      <c r="I56" s="7"/>
      <c r="J56" s="7"/>
      <c r="K56" s="7"/>
      <c r="L56" s="7">
        <v>0.4</v>
      </c>
      <c r="M56" s="7" t="e">
        <v>#REF!</v>
      </c>
      <c r="N56" s="12"/>
      <c r="O56" s="12"/>
      <c r="P56" s="57" t="str">
        <f t="shared" si="0"/>
        <v>un fuste</v>
      </c>
      <c r="Q56">
        <f t="shared" si="1"/>
        <v>2.5</v>
      </c>
      <c r="R56">
        <f t="shared" si="2"/>
        <v>5</v>
      </c>
    </row>
    <row r="57" spans="1:18" x14ac:dyDescent="0.25">
      <c r="A57" s="7">
        <v>2</v>
      </c>
      <c r="B57" s="7">
        <v>5</v>
      </c>
      <c r="C57" s="8"/>
      <c r="D57" s="8">
        <v>21</v>
      </c>
      <c r="E57" s="8">
        <v>21</v>
      </c>
      <c r="F57" s="9" t="s">
        <v>13</v>
      </c>
      <c r="G57" s="10" t="s">
        <v>14</v>
      </c>
      <c r="H57" s="11" t="s">
        <v>15</v>
      </c>
      <c r="I57" s="7"/>
      <c r="J57" s="7"/>
      <c r="K57" s="7"/>
      <c r="L57" s="8">
        <v>0.3</v>
      </c>
      <c r="M57" s="7" t="e">
        <v>#REF!</v>
      </c>
      <c r="N57" s="12"/>
      <c r="O57" s="12"/>
      <c r="P57" s="57" t="str">
        <f t="shared" si="0"/>
        <v>un fuste</v>
      </c>
      <c r="Q57">
        <f t="shared" si="1"/>
        <v>2.5</v>
      </c>
      <c r="R57">
        <f t="shared" si="2"/>
        <v>5</v>
      </c>
    </row>
    <row r="58" spans="1:18" x14ac:dyDescent="0.25">
      <c r="A58" s="7">
        <v>2</v>
      </c>
      <c r="B58" s="7">
        <v>5</v>
      </c>
      <c r="C58" s="8"/>
      <c r="D58" s="8">
        <v>22</v>
      </c>
      <c r="E58" s="8">
        <v>22</v>
      </c>
      <c r="F58" s="9" t="s">
        <v>90</v>
      </c>
      <c r="G58" s="13" t="s">
        <v>103</v>
      </c>
      <c r="H58" s="11" t="s">
        <v>104</v>
      </c>
      <c r="I58" s="8"/>
      <c r="J58" s="7"/>
      <c r="K58" s="8"/>
      <c r="L58" s="8">
        <v>13</v>
      </c>
      <c r="M58" s="7" t="e">
        <v>#REF!</v>
      </c>
      <c r="N58" s="12"/>
      <c r="O58" s="12"/>
      <c r="P58" s="57" t="str">
        <f t="shared" si="0"/>
        <v>un fuste</v>
      </c>
      <c r="Q58">
        <f t="shared" si="1"/>
        <v>12.5</v>
      </c>
      <c r="R58">
        <f t="shared" si="2"/>
        <v>5</v>
      </c>
    </row>
    <row r="59" spans="1:18" x14ac:dyDescent="0.25">
      <c r="A59" s="7">
        <v>3</v>
      </c>
      <c r="B59" s="7">
        <v>5</v>
      </c>
      <c r="C59" s="7"/>
      <c r="D59" s="8">
        <v>1</v>
      </c>
      <c r="E59" s="7">
        <v>1</v>
      </c>
      <c r="F59" s="9" t="s">
        <v>13</v>
      </c>
      <c r="G59" s="13" t="s">
        <v>14</v>
      </c>
      <c r="H59" s="14" t="s">
        <v>15</v>
      </c>
      <c r="I59" s="7"/>
      <c r="J59" s="7"/>
      <c r="K59" s="7"/>
      <c r="L59" s="7">
        <v>8</v>
      </c>
      <c r="M59" s="7" t="e">
        <v>#REF!</v>
      </c>
      <c r="N59" s="12"/>
      <c r="O59" s="12" t="s">
        <v>16</v>
      </c>
      <c r="P59" s="57" t="str">
        <f t="shared" si="0"/>
        <v>un fuste</v>
      </c>
      <c r="Q59">
        <f t="shared" si="1"/>
        <v>7.5</v>
      </c>
      <c r="R59">
        <f t="shared" si="2"/>
        <v>5</v>
      </c>
    </row>
    <row r="60" spans="1:18" x14ac:dyDescent="0.25">
      <c r="A60" s="7">
        <v>10</v>
      </c>
      <c r="B60" s="7">
        <v>100</v>
      </c>
      <c r="C60" s="7">
        <v>1</v>
      </c>
      <c r="D60" s="8">
        <v>15</v>
      </c>
      <c r="E60" s="8">
        <v>15</v>
      </c>
      <c r="F60" s="9" t="s">
        <v>13</v>
      </c>
      <c r="G60" s="10" t="s">
        <v>14</v>
      </c>
      <c r="H60" s="11" t="s">
        <v>15</v>
      </c>
      <c r="I60" s="7">
        <v>26.5</v>
      </c>
      <c r="J60" s="15">
        <v>8.4352119838704525</v>
      </c>
      <c r="K60" s="7">
        <v>6</v>
      </c>
      <c r="L60" s="7">
        <v>12</v>
      </c>
      <c r="M60" s="7"/>
      <c r="N60" s="12" t="s">
        <v>20</v>
      </c>
      <c r="O60" s="12" t="s">
        <v>16</v>
      </c>
      <c r="P60" s="57" t="str">
        <f t="shared" si="0"/>
        <v>un fuste</v>
      </c>
      <c r="Q60">
        <f t="shared" si="1"/>
        <v>12.5</v>
      </c>
      <c r="R60">
        <f t="shared" si="2"/>
        <v>10</v>
      </c>
    </row>
    <row r="61" spans="1:18" x14ac:dyDescent="0.25">
      <c r="A61" s="7">
        <v>3</v>
      </c>
      <c r="B61" s="7">
        <v>5</v>
      </c>
      <c r="C61" s="7"/>
      <c r="D61" s="8">
        <v>2</v>
      </c>
      <c r="E61" s="7">
        <v>2</v>
      </c>
      <c r="F61" s="9" t="s">
        <v>13</v>
      </c>
      <c r="G61" s="10" t="s">
        <v>14</v>
      </c>
      <c r="H61" s="11" t="s">
        <v>15</v>
      </c>
      <c r="I61" s="7"/>
      <c r="J61" s="7"/>
      <c r="K61" s="7"/>
      <c r="L61" s="7">
        <v>8</v>
      </c>
      <c r="M61" s="7" t="e">
        <v>#REF!</v>
      </c>
      <c r="N61" s="12"/>
      <c r="O61" s="12" t="s">
        <v>16</v>
      </c>
      <c r="P61" s="57" t="str">
        <f t="shared" si="0"/>
        <v>un fuste</v>
      </c>
      <c r="Q61">
        <f t="shared" si="1"/>
        <v>7.5</v>
      </c>
      <c r="R61">
        <f t="shared" si="2"/>
        <v>5</v>
      </c>
    </row>
    <row r="62" spans="1:18" x14ac:dyDescent="0.25">
      <c r="A62" s="7">
        <v>3</v>
      </c>
      <c r="B62" s="7">
        <v>5</v>
      </c>
      <c r="C62" s="7"/>
      <c r="D62" s="8">
        <v>3</v>
      </c>
      <c r="E62" s="7">
        <v>3</v>
      </c>
      <c r="F62" s="9" t="s">
        <v>62</v>
      </c>
      <c r="G62" s="10" t="s">
        <v>63</v>
      </c>
      <c r="H62" s="11" t="s">
        <v>64</v>
      </c>
      <c r="I62" s="7"/>
      <c r="J62" s="7"/>
      <c r="K62" s="7"/>
      <c r="L62" s="7">
        <v>3.5</v>
      </c>
      <c r="M62" s="7" t="e">
        <v>#REF!</v>
      </c>
      <c r="N62" s="12"/>
      <c r="O62" s="12" t="s">
        <v>16</v>
      </c>
      <c r="P62" s="57" t="str">
        <f t="shared" si="0"/>
        <v>un fuste</v>
      </c>
      <c r="Q62">
        <f t="shared" si="1"/>
        <v>2.5</v>
      </c>
      <c r="R62">
        <f t="shared" si="2"/>
        <v>5</v>
      </c>
    </row>
    <row r="63" spans="1:18" x14ac:dyDescent="0.25">
      <c r="A63" s="7">
        <v>3</v>
      </c>
      <c r="B63" s="7">
        <v>5</v>
      </c>
      <c r="C63" s="7"/>
      <c r="D63" s="8">
        <v>4</v>
      </c>
      <c r="E63" s="8">
        <v>4</v>
      </c>
      <c r="F63" s="9" t="s">
        <v>90</v>
      </c>
      <c r="G63" s="10" t="s">
        <v>282</v>
      </c>
      <c r="H63" s="11" t="s">
        <v>124</v>
      </c>
      <c r="I63" s="7"/>
      <c r="J63" s="7"/>
      <c r="K63" s="7"/>
      <c r="L63" s="7">
        <v>3.5</v>
      </c>
      <c r="M63" s="7" t="e">
        <v>#REF!</v>
      </c>
      <c r="N63" s="12"/>
      <c r="O63" s="12" t="s">
        <v>16</v>
      </c>
      <c r="P63" s="57" t="str">
        <f t="shared" si="0"/>
        <v>un fuste</v>
      </c>
      <c r="Q63">
        <f t="shared" si="1"/>
        <v>2.5</v>
      </c>
      <c r="R63">
        <f t="shared" si="2"/>
        <v>5</v>
      </c>
    </row>
    <row r="64" spans="1:18" x14ac:dyDescent="0.25">
      <c r="A64" s="7">
        <v>3</v>
      </c>
      <c r="B64" s="7">
        <v>100</v>
      </c>
      <c r="C64" s="8">
        <v>4</v>
      </c>
      <c r="D64" s="8">
        <v>16</v>
      </c>
      <c r="E64" s="8">
        <v>16</v>
      </c>
      <c r="F64" s="9" t="s">
        <v>13</v>
      </c>
      <c r="G64" s="10" t="s">
        <v>14</v>
      </c>
      <c r="H64" s="11" t="s">
        <v>15</v>
      </c>
      <c r="I64" s="7">
        <v>17.5</v>
      </c>
      <c r="J64" s="15">
        <v>5.5704230082163368</v>
      </c>
      <c r="K64" s="7">
        <v>3.5</v>
      </c>
      <c r="L64" s="8">
        <v>9</v>
      </c>
      <c r="M64" s="7"/>
      <c r="N64" s="12" t="s">
        <v>20</v>
      </c>
      <c r="O64" s="12" t="s">
        <v>16</v>
      </c>
      <c r="P64" s="57" t="str">
        <f t="shared" si="0"/>
        <v>un fuste</v>
      </c>
      <c r="Q64">
        <f t="shared" si="1"/>
        <v>10</v>
      </c>
      <c r="R64">
        <f t="shared" si="2"/>
        <v>5</v>
      </c>
    </row>
    <row r="65" spans="1:21" x14ac:dyDescent="0.25">
      <c r="A65" s="7">
        <v>3</v>
      </c>
      <c r="B65" s="7">
        <v>5</v>
      </c>
      <c r="C65" s="7"/>
      <c r="D65" s="8">
        <v>5</v>
      </c>
      <c r="E65" s="8">
        <v>5</v>
      </c>
      <c r="F65" s="9" t="s">
        <v>13</v>
      </c>
      <c r="G65" s="10" t="s">
        <v>14</v>
      </c>
      <c r="H65" s="11" t="s">
        <v>15</v>
      </c>
      <c r="I65" s="7"/>
      <c r="J65" s="7"/>
      <c r="K65" s="7"/>
      <c r="L65" s="7">
        <v>5</v>
      </c>
      <c r="M65" s="7" t="e">
        <v>#REF!</v>
      </c>
      <c r="N65" s="12"/>
      <c r="O65" s="12" t="s">
        <v>16</v>
      </c>
      <c r="P65" s="57" t="str">
        <f t="shared" si="0"/>
        <v>un fuste</v>
      </c>
      <c r="Q65">
        <f t="shared" si="1"/>
        <v>5</v>
      </c>
      <c r="R65">
        <f t="shared" si="2"/>
        <v>5</v>
      </c>
    </row>
    <row r="66" spans="1:21" x14ac:dyDescent="0.25">
      <c r="A66" s="7">
        <v>3</v>
      </c>
      <c r="B66" s="7">
        <v>5</v>
      </c>
      <c r="C66" s="8"/>
      <c r="D66" s="8">
        <v>6</v>
      </c>
      <c r="E66" s="8">
        <v>6</v>
      </c>
      <c r="F66" s="17" t="s">
        <v>13</v>
      </c>
      <c r="G66" s="10" t="s">
        <v>14</v>
      </c>
      <c r="H66" s="11" t="s">
        <v>15</v>
      </c>
      <c r="I66" s="7"/>
      <c r="J66" s="7"/>
      <c r="K66" s="7"/>
      <c r="L66" s="7">
        <v>4</v>
      </c>
      <c r="M66" s="7" t="e">
        <v>#REF!</v>
      </c>
      <c r="N66" s="12"/>
      <c r="O66" s="12" t="s">
        <v>16</v>
      </c>
      <c r="P66" s="57" t="str">
        <f t="shared" si="0"/>
        <v>un fuste</v>
      </c>
      <c r="Q66">
        <f t="shared" si="1"/>
        <v>5</v>
      </c>
      <c r="R66">
        <f t="shared" si="2"/>
        <v>5</v>
      </c>
    </row>
    <row r="67" spans="1:21" x14ac:dyDescent="0.25">
      <c r="A67" s="7">
        <v>3</v>
      </c>
      <c r="B67" s="7">
        <v>5</v>
      </c>
      <c r="C67" s="8"/>
      <c r="D67" s="8">
        <v>7</v>
      </c>
      <c r="E67" s="8">
        <v>7</v>
      </c>
      <c r="F67" s="17" t="s">
        <v>36</v>
      </c>
      <c r="G67" s="18" t="s">
        <v>37</v>
      </c>
      <c r="H67" s="11" t="s">
        <v>38</v>
      </c>
      <c r="I67" s="7"/>
      <c r="J67" s="7"/>
      <c r="K67" s="7"/>
      <c r="L67" s="8">
        <v>0.6</v>
      </c>
      <c r="M67" s="7" t="e">
        <v>#REF!</v>
      </c>
      <c r="N67" s="12"/>
      <c r="O67" s="12" t="s">
        <v>16</v>
      </c>
      <c r="P67" s="57" t="str">
        <f t="shared" ref="P67:P130" si="3">IF((D67/D67)=1,"un fuste","bifurcado")</f>
        <v>un fuste</v>
      </c>
      <c r="Q67">
        <f t="shared" ref="Q67:Q130" si="4">IF(L67&lt;3.75,2.5,IF(L67&lt;6.25,5,IF(L67&lt;8.74,7.5,IF(L67&lt;11.24,10,IF(L67&lt;13.75,12.5,IF(L67&lt;16.25,15,IF(L67&lt;18.75,17.5,IF(L67&lt;21.25,20,IF(L67&lt;23.75,22.5,IF(L67&lt;26.25,25,IF(L67&lt;28.75,27.5,IF(L67&lt;31.25,30,IF(L67&lt;33.75,32.5,IF(L67&lt;36.25,35,IF(L67&lt;38.75,37.5,IF(L67&lt;41.24,40,IF(L67&lt;43.75,42.5,IF(L67&lt;46.25,45," "))))))))))))))))))</f>
        <v>2.5</v>
      </c>
      <c r="R67">
        <f t="shared" ref="R67:R130" si="5">IF(J67&lt;7.5,5,IF(J67&lt;12.5,10,IF(J67&lt;17.5,15,IF(J67&lt;22.5,20,IF(J67&lt;27.5,25,IF(J67&lt;32.5,30,IF(J67&lt;37.5,35,IF(J67&lt;42.5,40,IF(J67&lt;47.5,45,IF(J67&lt;52.5,50,IF(J67&lt;57.5,55,0)))))))))))</f>
        <v>5</v>
      </c>
    </row>
    <row r="68" spans="1:21" x14ac:dyDescent="0.25">
      <c r="A68" s="7">
        <v>3</v>
      </c>
      <c r="B68" s="7">
        <v>5</v>
      </c>
      <c r="C68" s="7"/>
      <c r="D68" s="8">
        <v>8</v>
      </c>
      <c r="E68" s="7">
        <v>8</v>
      </c>
      <c r="F68" s="9" t="s">
        <v>125</v>
      </c>
      <c r="G68" s="13" t="s">
        <v>126</v>
      </c>
      <c r="H68" s="11" t="s">
        <v>127</v>
      </c>
      <c r="I68" s="7"/>
      <c r="J68" s="7"/>
      <c r="K68" s="7"/>
      <c r="L68" s="7">
        <v>0.15</v>
      </c>
      <c r="M68" s="7" t="e">
        <v>#REF!</v>
      </c>
      <c r="N68" s="12"/>
      <c r="O68" s="12" t="s">
        <v>16</v>
      </c>
      <c r="P68" s="57" t="str">
        <f t="shared" si="3"/>
        <v>un fuste</v>
      </c>
      <c r="Q68">
        <f t="shared" si="4"/>
        <v>2.5</v>
      </c>
      <c r="R68">
        <f t="shared" si="5"/>
        <v>5</v>
      </c>
    </row>
    <row r="69" spans="1:21" x14ac:dyDescent="0.25">
      <c r="A69" s="7">
        <v>3</v>
      </c>
      <c r="B69" s="7">
        <v>5</v>
      </c>
      <c r="C69" s="7"/>
      <c r="D69" s="8">
        <v>9</v>
      </c>
      <c r="E69" s="8">
        <v>9</v>
      </c>
      <c r="F69" s="9" t="s">
        <v>36</v>
      </c>
      <c r="G69" s="10" t="s">
        <v>101</v>
      </c>
      <c r="H69" s="11" t="s">
        <v>102</v>
      </c>
      <c r="I69" s="7"/>
      <c r="J69" s="7"/>
      <c r="K69" s="7"/>
      <c r="L69" s="7">
        <v>0.8</v>
      </c>
      <c r="M69" s="7" t="e">
        <v>#REF!</v>
      </c>
      <c r="N69" s="12"/>
      <c r="O69" s="12" t="s">
        <v>16</v>
      </c>
      <c r="P69" s="57" t="str">
        <f t="shared" si="3"/>
        <v>un fuste</v>
      </c>
      <c r="Q69">
        <f t="shared" si="4"/>
        <v>2.5</v>
      </c>
      <c r="R69">
        <f t="shared" si="5"/>
        <v>5</v>
      </c>
    </row>
    <row r="70" spans="1:21" x14ac:dyDescent="0.25">
      <c r="A70" s="7">
        <v>3</v>
      </c>
      <c r="B70" s="7">
        <v>5</v>
      </c>
      <c r="C70" s="8"/>
      <c r="D70" s="8">
        <v>10</v>
      </c>
      <c r="E70" s="8">
        <v>10</v>
      </c>
      <c r="F70" s="9" t="s">
        <v>13</v>
      </c>
      <c r="G70" s="13" t="s">
        <v>14</v>
      </c>
      <c r="H70" s="11" t="s">
        <v>15</v>
      </c>
      <c r="I70" s="7"/>
      <c r="J70" s="7"/>
      <c r="K70" s="7"/>
      <c r="L70" s="8">
        <v>0.2</v>
      </c>
      <c r="M70" s="7" t="e">
        <v>#REF!</v>
      </c>
      <c r="N70" s="12"/>
      <c r="O70" s="12" t="s">
        <v>16</v>
      </c>
      <c r="P70" s="57" t="str">
        <f t="shared" si="3"/>
        <v>un fuste</v>
      </c>
      <c r="Q70">
        <f t="shared" si="4"/>
        <v>2.5</v>
      </c>
      <c r="R70">
        <f t="shared" si="5"/>
        <v>5</v>
      </c>
    </row>
    <row r="71" spans="1:21" x14ac:dyDescent="0.25">
      <c r="A71" s="7">
        <v>1</v>
      </c>
      <c r="B71" s="7">
        <v>100</v>
      </c>
      <c r="C71" s="8">
        <v>3</v>
      </c>
      <c r="D71" s="8">
        <v>19</v>
      </c>
      <c r="E71" s="8">
        <v>19</v>
      </c>
      <c r="F71" s="9" t="s">
        <v>13</v>
      </c>
      <c r="G71" s="13" t="s">
        <v>14</v>
      </c>
      <c r="H71" s="11" t="s">
        <v>15</v>
      </c>
      <c r="I71" s="7">
        <v>24</v>
      </c>
      <c r="J71" s="15">
        <v>7.6394372684109761</v>
      </c>
      <c r="K71" s="7">
        <v>6</v>
      </c>
      <c r="L71" s="7">
        <v>10</v>
      </c>
      <c r="M71" s="7"/>
      <c r="N71" s="12" t="s">
        <v>20</v>
      </c>
      <c r="O71" s="12" t="s">
        <v>16</v>
      </c>
      <c r="P71" s="57" t="str">
        <f t="shared" si="3"/>
        <v>un fuste</v>
      </c>
      <c r="Q71">
        <f t="shared" si="4"/>
        <v>10</v>
      </c>
      <c r="R71">
        <f t="shared" si="5"/>
        <v>10</v>
      </c>
    </row>
    <row r="72" spans="1:21" x14ac:dyDescent="0.25">
      <c r="A72" s="7">
        <v>9</v>
      </c>
      <c r="B72" s="7">
        <v>100</v>
      </c>
      <c r="C72" s="8">
        <v>2</v>
      </c>
      <c r="D72" s="8">
        <v>19</v>
      </c>
      <c r="E72" s="8">
        <v>19</v>
      </c>
      <c r="F72" s="9" t="s">
        <v>13</v>
      </c>
      <c r="G72" s="13" t="s">
        <v>14</v>
      </c>
      <c r="H72" s="11" t="s">
        <v>15</v>
      </c>
      <c r="I72" s="7">
        <v>20.5</v>
      </c>
      <c r="J72" s="15">
        <v>6.5253526667677093</v>
      </c>
      <c r="K72" s="7">
        <v>3.5</v>
      </c>
      <c r="L72" s="7">
        <v>8</v>
      </c>
      <c r="M72" s="7"/>
      <c r="N72" s="12" t="s">
        <v>20</v>
      </c>
      <c r="O72" s="12" t="s">
        <v>16</v>
      </c>
      <c r="P72" s="57" t="str">
        <f t="shared" si="3"/>
        <v>un fuste</v>
      </c>
      <c r="Q72">
        <f t="shared" si="4"/>
        <v>7.5</v>
      </c>
      <c r="R72">
        <f t="shared" si="5"/>
        <v>5</v>
      </c>
    </row>
    <row r="73" spans="1:21" x14ac:dyDescent="0.25">
      <c r="A73" s="7">
        <v>3</v>
      </c>
      <c r="B73" s="7">
        <v>5</v>
      </c>
      <c r="C73" s="8"/>
      <c r="D73" s="8">
        <v>11</v>
      </c>
      <c r="E73" s="8">
        <v>11</v>
      </c>
      <c r="F73" s="9" t="s">
        <v>13</v>
      </c>
      <c r="G73" s="10" t="s">
        <v>14</v>
      </c>
      <c r="H73" s="11" t="s">
        <v>15</v>
      </c>
      <c r="I73" s="7"/>
      <c r="J73" s="7"/>
      <c r="K73" s="7"/>
      <c r="L73" s="8">
        <v>0.2</v>
      </c>
      <c r="M73" s="7" t="e">
        <v>#REF!</v>
      </c>
      <c r="N73" s="12"/>
      <c r="O73" s="12" t="s">
        <v>16</v>
      </c>
      <c r="P73" s="57" t="str">
        <f t="shared" si="3"/>
        <v>un fuste</v>
      </c>
      <c r="Q73">
        <f t="shared" si="4"/>
        <v>2.5</v>
      </c>
      <c r="R73">
        <f t="shared" si="5"/>
        <v>5</v>
      </c>
    </row>
    <row r="74" spans="1:21" x14ac:dyDescent="0.25">
      <c r="A74" s="7">
        <v>3</v>
      </c>
      <c r="B74" s="7">
        <v>5</v>
      </c>
      <c r="C74" s="8"/>
      <c r="D74" s="7">
        <v>12</v>
      </c>
      <c r="E74" s="7">
        <v>12</v>
      </c>
      <c r="F74" s="9" t="s">
        <v>13</v>
      </c>
      <c r="G74" s="13" t="s">
        <v>14</v>
      </c>
      <c r="H74" s="11" t="s">
        <v>15</v>
      </c>
      <c r="I74" s="7"/>
      <c r="J74" s="7"/>
      <c r="K74" s="7"/>
      <c r="L74" s="7">
        <v>0.2</v>
      </c>
      <c r="M74" s="7" t="e">
        <v>#REF!</v>
      </c>
      <c r="N74" s="12"/>
      <c r="O74" s="12" t="s">
        <v>16</v>
      </c>
      <c r="P74" s="57" t="str">
        <f t="shared" si="3"/>
        <v>un fuste</v>
      </c>
      <c r="Q74">
        <f t="shared" si="4"/>
        <v>2.5</v>
      </c>
      <c r="R74">
        <f t="shared" si="5"/>
        <v>5</v>
      </c>
    </row>
    <row r="75" spans="1:21" x14ac:dyDescent="0.25">
      <c r="A75" s="7">
        <v>3</v>
      </c>
      <c r="B75" s="7">
        <v>5</v>
      </c>
      <c r="C75" s="8"/>
      <c r="D75" s="8">
        <v>13</v>
      </c>
      <c r="E75" s="8">
        <v>13</v>
      </c>
      <c r="F75" s="9" t="s">
        <v>13</v>
      </c>
      <c r="G75" s="10" t="s">
        <v>14</v>
      </c>
      <c r="H75" s="11" t="s">
        <v>15</v>
      </c>
      <c r="I75" s="7"/>
      <c r="J75" s="7"/>
      <c r="K75" s="7"/>
      <c r="L75" s="8">
        <v>0.2</v>
      </c>
      <c r="M75" s="7" t="e">
        <v>#REF!</v>
      </c>
      <c r="N75" s="12"/>
      <c r="O75" s="12" t="s">
        <v>16</v>
      </c>
      <c r="P75" s="57" t="str">
        <f t="shared" si="3"/>
        <v>un fuste</v>
      </c>
      <c r="Q75">
        <f t="shared" si="4"/>
        <v>2.5</v>
      </c>
      <c r="R75">
        <f t="shared" si="5"/>
        <v>5</v>
      </c>
    </row>
    <row r="76" spans="1:21" x14ac:dyDescent="0.25">
      <c r="A76" s="7">
        <v>4</v>
      </c>
      <c r="B76" s="7">
        <v>500</v>
      </c>
      <c r="C76" s="8">
        <v>2</v>
      </c>
      <c r="D76" s="8">
        <v>19</v>
      </c>
      <c r="E76" s="8">
        <v>20</v>
      </c>
      <c r="F76" s="9" t="s">
        <v>13</v>
      </c>
      <c r="G76" s="10" t="s">
        <v>14</v>
      </c>
      <c r="H76" s="11" t="s">
        <v>15</v>
      </c>
      <c r="I76" s="7">
        <v>31.5</v>
      </c>
      <c r="J76" s="15">
        <v>10.026761414789407</v>
      </c>
      <c r="K76" s="7">
        <v>6</v>
      </c>
      <c r="L76" s="7">
        <v>9</v>
      </c>
      <c r="M76" s="7"/>
      <c r="N76" s="12" t="s">
        <v>20</v>
      </c>
      <c r="O76" s="12" t="s">
        <v>16</v>
      </c>
      <c r="P76" s="57" t="str">
        <f t="shared" si="3"/>
        <v>un fuste</v>
      </c>
      <c r="Q76">
        <f t="shared" si="4"/>
        <v>10</v>
      </c>
      <c r="R76">
        <f t="shared" si="5"/>
        <v>10</v>
      </c>
      <c r="S76">
        <v>9</v>
      </c>
      <c r="T76" t="s">
        <v>268</v>
      </c>
      <c r="U76">
        <v>4.7547789333731237E-2</v>
      </c>
    </row>
    <row r="77" spans="1:21" x14ac:dyDescent="0.25">
      <c r="A77" s="7">
        <v>8</v>
      </c>
      <c r="B77" s="7">
        <v>500</v>
      </c>
      <c r="C77" s="7">
        <v>2</v>
      </c>
      <c r="D77" s="8">
        <v>18</v>
      </c>
      <c r="E77" s="7">
        <v>20</v>
      </c>
      <c r="F77" s="9" t="s">
        <v>13</v>
      </c>
      <c r="G77" s="10" t="s">
        <v>14</v>
      </c>
      <c r="H77" s="11" t="s">
        <v>15</v>
      </c>
      <c r="I77" s="7">
        <v>34</v>
      </c>
      <c r="J77" s="15">
        <v>10.822536130248883</v>
      </c>
      <c r="K77" s="7">
        <v>4</v>
      </c>
      <c r="L77" s="7">
        <v>12</v>
      </c>
      <c r="M77" s="7"/>
      <c r="N77" s="12" t="s">
        <v>20</v>
      </c>
      <c r="O77" s="12" t="s">
        <v>16</v>
      </c>
      <c r="P77" s="57" t="str">
        <f t="shared" si="3"/>
        <v>un fuste</v>
      </c>
      <c r="Q77">
        <f t="shared" si="4"/>
        <v>12.5</v>
      </c>
      <c r="R77">
        <f t="shared" si="5"/>
        <v>10</v>
      </c>
      <c r="S77">
        <v>9</v>
      </c>
      <c r="T77" t="s">
        <v>268</v>
      </c>
      <c r="U77">
        <v>7.2941751612467562E-2</v>
      </c>
    </row>
    <row r="78" spans="1:21" x14ac:dyDescent="0.25">
      <c r="A78" s="7">
        <v>12</v>
      </c>
      <c r="B78" s="7">
        <v>100</v>
      </c>
      <c r="C78" s="7">
        <v>2</v>
      </c>
      <c r="D78" s="7">
        <v>15</v>
      </c>
      <c r="E78" s="7">
        <v>20</v>
      </c>
      <c r="F78" s="9" t="s">
        <v>13</v>
      </c>
      <c r="G78" s="13" t="s">
        <v>14</v>
      </c>
      <c r="H78" s="11" t="s">
        <v>15</v>
      </c>
      <c r="I78" s="7">
        <v>17.5</v>
      </c>
      <c r="J78" s="15">
        <v>5.5704230082163368</v>
      </c>
      <c r="K78" s="7">
        <v>6</v>
      </c>
      <c r="L78" s="7">
        <v>9</v>
      </c>
      <c r="M78" s="7"/>
      <c r="N78" s="12" t="s">
        <v>20</v>
      </c>
      <c r="O78" s="12" t="s">
        <v>16</v>
      </c>
      <c r="P78" s="57" t="str">
        <f t="shared" si="3"/>
        <v>un fuste</v>
      </c>
      <c r="Q78">
        <f t="shared" si="4"/>
        <v>10</v>
      </c>
      <c r="R78">
        <f t="shared" si="5"/>
        <v>5</v>
      </c>
    </row>
    <row r="79" spans="1:21" x14ac:dyDescent="0.25">
      <c r="A79" s="7">
        <v>3</v>
      </c>
      <c r="B79" s="7">
        <v>5</v>
      </c>
      <c r="C79" s="7"/>
      <c r="D79" s="8">
        <v>14</v>
      </c>
      <c r="E79" s="7">
        <v>14</v>
      </c>
      <c r="F79" s="9" t="s">
        <v>13</v>
      </c>
      <c r="G79" s="10" t="s">
        <v>14</v>
      </c>
      <c r="H79" s="11" t="s">
        <v>15</v>
      </c>
      <c r="I79" s="7"/>
      <c r="J79" s="7"/>
      <c r="K79" s="7"/>
      <c r="L79" s="7">
        <v>0.2</v>
      </c>
      <c r="M79" s="7" t="e">
        <v>#REF!</v>
      </c>
      <c r="N79" s="12"/>
      <c r="O79" s="12" t="s">
        <v>16</v>
      </c>
      <c r="P79" s="57" t="str">
        <f t="shared" si="3"/>
        <v>un fuste</v>
      </c>
      <c r="Q79">
        <f t="shared" si="4"/>
        <v>2.5</v>
      </c>
      <c r="R79">
        <f t="shared" si="5"/>
        <v>5</v>
      </c>
    </row>
    <row r="80" spans="1:21" x14ac:dyDescent="0.25">
      <c r="A80" s="7">
        <v>3</v>
      </c>
      <c r="B80" s="7">
        <v>5</v>
      </c>
      <c r="C80" s="8"/>
      <c r="D80" s="8">
        <v>15</v>
      </c>
      <c r="E80" s="8">
        <v>15</v>
      </c>
      <c r="F80" s="9" t="s">
        <v>13</v>
      </c>
      <c r="G80" s="13" t="s">
        <v>14</v>
      </c>
      <c r="H80" s="11" t="s">
        <v>15</v>
      </c>
      <c r="I80" s="8"/>
      <c r="J80" s="7"/>
      <c r="K80" s="8"/>
      <c r="L80" s="8">
        <v>0.2</v>
      </c>
      <c r="M80" s="7" t="e">
        <v>#REF!</v>
      </c>
      <c r="N80" s="12"/>
      <c r="O80" s="12" t="s">
        <v>16</v>
      </c>
      <c r="P80" s="57" t="str">
        <f t="shared" si="3"/>
        <v>un fuste</v>
      </c>
      <c r="Q80">
        <f t="shared" si="4"/>
        <v>2.5</v>
      </c>
      <c r="R80">
        <f t="shared" si="5"/>
        <v>5</v>
      </c>
    </row>
    <row r="81" spans="1:18" x14ac:dyDescent="0.25">
      <c r="A81" s="7">
        <v>3</v>
      </c>
      <c r="B81" s="7">
        <v>5</v>
      </c>
      <c r="C81" s="8"/>
      <c r="D81" s="8">
        <v>16</v>
      </c>
      <c r="E81" s="8">
        <v>16</v>
      </c>
      <c r="F81" s="9" t="s">
        <v>13</v>
      </c>
      <c r="G81" s="13" t="s">
        <v>14</v>
      </c>
      <c r="H81" s="14" t="s">
        <v>15</v>
      </c>
      <c r="I81" s="8"/>
      <c r="J81" s="7"/>
      <c r="K81" s="8"/>
      <c r="L81" s="8">
        <v>0.15</v>
      </c>
      <c r="M81" s="7" t="e">
        <v>#REF!</v>
      </c>
      <c r="N81" s="12"/>
      <c r="O81" s="12" t="s">
        <v>16</v>
      </c>
      <c r="P81" s="57" t="str">
        <f t="shared" si="3"/>
        <v>un fuste</v>
      </c>
      <c r="Q81">
        <f t="shared" si="4"/>
        <v>2.5</v>
      </c>
      <c r="R81">
        <f t="shared" si="5"/>
        <v>5</v>
      </c>
    </row>
    <row r="82" spans="1:18" x14ac:dyDescent="0.25">
      <c r="A82" s="7">
        <v>3</v>
      </c>
      <c r="B82" s="7">
        <v>5</v>
      </c>
      <c r="C82" s="8"/>
      <c r="D82" s="8">
        <v>17</v>
      </c>
      <c r="E82" s="8">
        <v>17</v>
      </c>
      <c r="F82" s="9" t="s">
        <v>13</v>
      </c>
      <c r="G82" s="13" t="s">
        <v>14</v>
      </c>
      <c r="H82" s="11" t="s">
        <v>15</v>
      </c>
      <c r="I82" s="8"/>
      <c r="J82" s="7"/>
      <c r="K82" s="8"/>
      <c r="L82" s="8">
        <v>0.15</v>
      </c>
      <c r="M82" s="7" t="e">
        <v>#REF!</v>
      </c>
      <c r="N82" s="12"/>
      <c r="O82" s="12" t="s">
        <v>16</v>
      </c>
      <c r="P82" s="57" t="str">
        <f t="shared" si="3"/>
        <v>un fuste</v>
      </c>
      <c r="Q82">
        <f t="shared" si="4"/>
        <v>2.5</v>
      </c>
      <c r="R82">
        <f t="shared" si="5"/>
        <v>5</v>
      </c>
    </row>
    <row r="83" spans="1:18" x14ac:dyDescent="0.25">
      <c r="A83" s="7">
        <v>3</v>
      </c>
      <c r="B83" s="7">
        <v>5</v>
      </c>
      <c r="C83" s="7"/>
      <c r="D83" s="8">
        <v>18</v>
      </c>
      <c r="E83" s="7">
        <v>18</v>
      </c>
      <c r="F83" s="9" t="s">
        <v>13</v>
      </c>
      <c r="G83" s="13" t="s">
        <v>14</v>
      </c>
      <c r="H83" s="11" t="s">
        <v>15</v>
      </c>
      <c r="I83" s="7"/>
      <c r="J83" s="7"/>
      <c r="K83" s="7"/>
      <c r="L83" s="7">
        <v>0.15</v>
      </c>
      <c r="M83" s="7" t="e">
        <v>#REF!</v>
      </c>
      <c r="N83" s="12"/>
      <c r="O83" s="12" t="s">
        <v>16</v>
      </c>
      <c r="P83" s="57" t="str">
        <f t="shared" si="3"/>
        <v>un fuste</v>
      </c>
      <c r="Q83">
        <f t="shared" si="4"/>
        <v>2.5</v>
      </c>
      <c r="R83">
        <f t="shared" si="5"/>
        <v>5</v>
      </c>
    </row>
    <row r="84" spans="1:18" x14ac:dyDescent="0.25">
      <c r="A84" s="7">
        <v>6</v>
      </c>
      <c r="B84" s="7">
        <v>100</v>
      </c>
      <c r="C84" s="7">
        <v>3</v>
      </c>
      <c r="D84" s="8">
        <v>19</v>
      </c>
      <c r="E84" s="7">
        <v>22</v>
      </c>
      <c r="F84" s="9" t="s">
        <v>13</v>
      </c>
      <c r="G84" s="13" t="s">
        <v>14</v>
      </c>
      <c r="H84" s="11" t="s">
        <v>15</v>
      </c>
      <c r="I84" s="7">
        <v>23.5</v>
      </c>
      <c r="J84" s="15">
        <v>7.4802823253190809</v>
      </c>
      <c r="K84" s="7">
        <v>3</v>
      </c>
      <c r="L84" s="7">
        <v>8</v>
      </c>
      <c r="M84" s="7"/>
      <c r="N84" s="12" t="s">
        <v>20</v>
      </c>
      <c r="O84" s="12" t="s">
        <v>16</v>
      </c>
      <c r="P84" s="57" t="str">
        <f t="shared" si="3"/>
        <v>un fuste</v>
      </c>
      <c r="Q84">
        <f t="shared" si="4"/>
        <v>7.5</v>
      </c>
      <c r="R84">
        <f t="shared" si="5"/>
        <v>5</v>
      </c>
    </row>
    <row r="85" spans="1:18" x14ac:dyDescent="0.25">
      <c r="A85" s="7">
        <v>3</v>
      </c>
      <c r="B85" s="7">
        <v>5</v>
      </c>
      <c r="C85" s="8"/>
      <c r="D85" s="8">
        <v>19</v>
      </c>
      <c r="E85" s="8">
        <v>19</v>
      </c>
      <c r="F85" s="9" t="s">
        <v>13</v>
      </c>
      <c r="G85" s="13" t="s">
        <v>14</v>
      </c>
      <c r="H85" s="11" t="s">
        <v>15</v>
      </c>
      <c r="I85" s="7"/>
      <c r="J85" s="7"/>
      <c r="K85" s="7"/>
      <c r="L85" s="7">
        <v>0.15</v>
      </c>
      <c r="M85" s="7" t="e">
        <v>#REF!</v>
      </c>
      <c r="N85" s="12"/>
      <c r="O85" s="12" t="s">
        <v>16</v>
      </c>
      <c r="P85" s="57" t="str">
        <f t="shared" si="3"/>
        <v>un fuste</v>
      </c>
      <c r="Q85">
        <f t="shared" si="4"/>
        <v>2.5</v>
      </c>
      <c r="R85">
        <f t="shared" si="5"/>
        <v>5</v>
      </c>
    </row>
    <row r="86" spans="1:18" x14ac:dyDescent="0.25">
      <c r="A86" s="7">
        <v>3</v>
      </c>
      <c r="B86" s="7">
        <v>5</v>
      </c>
      <c r="C86" s="8"/>
      <c r="D86" s="8">
        <v>20</v>
      </c>
      <c r="E86" s="8">
        <v>20</v>
      </c>
      <c r="F86" s="9" t="s">
        <v>13</v>
      </c>
      <c r="G86" s="10" t="s">
        <v>14</v>
      </c>
      <c r="H86" s="11" t="s">
        <v>15</v>
      </c>
      <c r="I86" s="7"/>
      <c r="J86" s="7"/>
      <c r="K86" s="7"/>
      <c r="L86" s="7">
        <v>0.2</v>
      </c>
      <c r="M86" s="7" t="e">
        <v>#REF!</v>
      </c>
      <c r="N86" s="12"/>
      <c r="O86" s="12" t="s">
        <v>16</v>
      </c>
      <c r="P86" s="57" t="str">
        <f t="shared" si="3"/>
        <v>un fuste</v>
      </c>
      <c r="Q86">
        <f t="shared" si="4"/>
        <v>2.5</v>
      </c>
      <c r="R86">
        <f t="shared" si="5"/>
        <v>5</v>
      </c>
    </row>
    <row r="87" spans="1:18" x14ac:dyDescent="0.25">
      <c r="A87" s="7">
        <v>3</v>
      </c>
      <c r="B87" s="7">
        <v>5</v>
      </c>
      <c r="C87" s="8"/>
      <c r="D87" s="8">
        <v>21</v>
      </c>
      <c r="E87" s="8">
        <v>21</v>
      </c>
      <c r="F87" s="9" t="s">
        <v>13</v>
      </c>
      <c r="G87" s="10" t="s">
        <v>14</v>
      </c>
      <c r="H87" s="11" t="s">
        <v>15</v>
      </c>
      <c r="I87" s="8"/>
      <c r="J87" s="7"/>
      <c r="K87" s="8"/>
      <c r="L87" s="8">
        <v>0.2</v>
      </c>
      <c r="M87" s="7" t="e">
        <v>#REF!</v>
      </c>
      <c r="N87" s="12"/>
      <c r="O87" s="12" t="s">
        <v>16</v>
      </c>
      <c r="P87" s="57" t="str">
        <f t="shared" si="3"/>
        <v>un fuste</v>
      </c>
      <c r="Q87">
        <f t="shared" si="4"/>
        <v>2.5</v>
      </c>
      <c r="R87">
        <f t="shared" si="5"/>
        <v>5</v>
      </c>
    </row>
    <row r="88" spans="1:18" x14ac:dyDescent="0.25">
      <c r="A88" s="7">
        <v>3</v>
      </c>
      <c r="B88" s="7">
        <v>5</v>
      </c>
      <c r="C88" s="8"/>
      <c r="D88" s="8">
        <v>22</v>
      </c>
      <c r="E88" s="8">
        <v>22</v>
      </c>
      <c r="F88" s="9" t="s">
        <v>13</v>
      </c>
      <c r="G88" s="13" t="s">
        <v>14</v>
      </c>
      <c r="H88" s="14" t="s">
        <v>15</v>
      </c>
      <c r="I88" s="7"/>
      <c r="J88" s="7"/>
      <c r="K88" s="7"/>
      <c r="L88" s="8">
        <v>0.2</v>
      </c>
      <c r="M88" s="7" t="e">
        <v>#REF!</v>
      </c>
      <c r="N88" s="12"/>
      <c r="O88" s="12" t="s">
        <v>16</v>
      </c>
      <c r="P88" s="57" t="str">
        <f t="shared" si="3"/>
        <v>un fuste</v>
      </c>
      <c r="Q88">
        <f t="shared" si="4"/>
        <v>2.5</v>
      </c>
      <c r="R88">
        <f t="shared" si="5"/>
        <v>5</v>
      </c>
    </row>
    <row r="89" spans="1:18" x14ac:dyDescent="0.25">
      <c r="A89" s="7">
        <v>3</v>
      </c>
      <c r="B89" s="7">
        <v>5</v>
      </c>
      <c r="C89" s="8"/>
      <c r="D89" s="8">
        <v>23</v>
      </c>
      <c r="E89" s="8">
        <v>23</v>
      </c>
      <c r="F89" s="9" t="s">
        <v>13</v>
      </c>
      <c r="G89" s="10" t="s">
        <v>14</v>
      </c>
      <c r="H89" s="11" t="s">
        <v>15</v>
      </c>
      <c r="I89" s="7"/>
      <c r="J89" s="7"/>
      <c r="K89" s="7"/>
      <c r="L89" s="7">
        <v>0.2</v>
      </c>
      <c r="M89" s="7" t="e">
        <v>#REF!</v>
      </c>
      <c r="N89" s="12"/>
      <c r="O89" s="12" t="s">
        <v>16</v>
      </c>
      <c r="P89" s="57" t="str">
        <f t="shared" si="3"/>
        <v>un fuste</v>
      </c>
      <c r="Q89">
        <f t="shared" si="4"/>
        <v>2.5</v>
      </c>
      <c r="R89">
        <f t="shared" si="5"/>
        <v>5</v>
      </c>
    </row>
    <row r="90" spans="1:18" x14ac:dyDescent="0.25">
      <c r="A90" s="7">
        <v>1</v>
      </c>
      <c r="B90" s="7">
        <v>100</v>
      </c>
      <c r="C90" s="8">
        <v>4</v>
      </c>
      <c r="D90" s="8">
        <v>26</v>
      </c>
      <c r="E90" s="8">
        <v>26</v>
      </c>
      <c r="F90" s="9" t="s">
        <v>13</v>
      </c>
      <c r="G90" s="13" t="s">
        <v>14</v>
      </c>
      <c r="H90" s="11" t="s">
        <v>15</v>
      </c>
      <c r="I90" s="7">
        <v>22</v>
      </c>
      <c r="J90" s="15">
        <v>7.0028174960433951</v>
      </c>
      <c r="K90" s="7">
        <v>7</v>
      </c>
      <c r="L90" s="8">
        <v>10</v>
      </c>
      <c r="M90" s="7"/>
      <c r="N90" s="12" t="s">
        <v>20</v>
      </c>
      <c r="O90" s="12" t="s">
        <v>16</v>
      </c>
      <c r="P90" s="57" t="str">
        <f t="shared" si="3"/>
        <v>un fuste</v>
      </c>
      <c r="Q90">
        <f t="shared" si="4"/>
        <v>10</v>
      </c>
      <c r="R90">
        <f t="shared" si="5"/>
        <v>5</v>
      </c>
    </row>
    <row r="91" spans="1:18" x14ac:dyDescent="0.25">
      <c r="A91" s="7">
        <v>6</v>
      </c>
      <c r="B91" s="7">
        <v>100</v>
      </c>
      <c r="C91" s="7">
        <v>4</v>
      </c>
      <c r="D91" s="8">
        <v>23</v>
      </c>
      <c r="E91" s="7">
        <v>26</v>
      </c>
      <c r="F91" s="9" t="s">
        <v>13</v>
      </c>
      <c r="G91" s="13" t="s">
        <v>14</v>
      </c>
      <c r="H91" s="11" t="s">
        <v>15</v>
      </c>
      <c r="I91" s="7">
        <v>19</v>
      </c>
      <c r="J91" s="15">
        <v>6.0478878374920226</v>
      </c>
      <c r="K91" s="7">
        <v>4</v>
      </c>
      <c r="L91" s="7">
        <v>10</v>
      </c>
      <c r="M91" s="7"/>
      <c r="N91" s="12" t="s">
        <v>20</v>
      </c>
      <c r="O91" s="12" t="s">
        <v>16</v>
      </c>
      <c r="P91" s="57" t="str">
        <f t="shared" si="3"/>
        <v>un fuste</v>
      </c>
      <c r="Q91">
        <f t="shared" si="4"/>
        <v>10</v>
      </c>
      <c r="R91">
        <f t="shared" si="5"/>
        <v>5</v>
      </c>
    </row>
    <row r="92" spans="1:18" x14ac:dyDescent="0.25">
      <c r="A92" s="7">
        <v>3</v>
      </c>
      <c r="B92" s="7">
        <v>5</v>
      </c>
      <c r="C92" s="8"/>
      <c r="D92" s="8">
        <v>24</v>
      </c>
      <c r="E92" s="8">
        <v>24</v>
      </c>
      <c r="F92" s="9" t="s">
        <v>13</v>
      </c>
      <c r="G92" s="13" t="s">
        <v>14</v>
      </c>
      <c r="H92" s="11" t="s">
        <v>15</v>
      </c>
      <c r="I92" s="7"/>
      <c r="J92" s="7"/>
      <c r="K92" s="7"/>
      <c r="L92" s="7">
        <v>0.15</v>
      </c>
      <c r="M92" s="7" t="e">
        <v>#REF!</v>
      </c>
      <c r="N92" s="12"/>
      <c r="O92" s="12" t="s">
        <v>16</v>
      </c>
      <c r="P92" s="57" t="str">
        <f t="shared" si="3"/>
        <v>un fuste</v>
      </c>
      <c r="Q92">
        <f t="shared" si="4"/>
        <v>2.5</v>
      </c>
      <c r="R92">
        <f t="shared" si="5"/>
        <v>5</v>
      </c>
    </row>
    <row r="93" spans="1:18" x14ac:dyDescent="0.25">
      <c r="A93" s="7">
        <v>3</v>
      </c>
      <c r="B93" s="7">
        <v>5</v>
      </c>
      <c r="C93" s="8"/>
      <c r="D93" s="8">
        <v>25</v>
      </c>
      <c r="E93" s="8">
        <v>25</v>
      </c>
      <c r="F93" s="9" t="s">
        <v>13</v>
      </c>
      <c r="G93" s="10" t="s">
        <v>14</v>
      </c>
      <c r="H93" s="11" t="s">
        <v>15</v>
      </c>
      <c r="I93" s="7"/>
      <c r="J93" s="7"/>
      <c r="K93" s="7"/>
      <c r="L93" s="7">
        <v>0.15</v>
      </c>
      <c r="M93" s="7" t="e">
        <v>#REF!</v>
      </c>
      <c r="N93" s="12"/>
      <c r="O93" s="12" t="s">
        <v>16</v>
      </c>
      <c r="P93" s="57" t="str">
        <f t="shared" si="3"/>
        <v>un fuste</v>
      </c>
      <c r="Q93">
        <f t="shared" si="4"/>
        <v>2.5</v>
      </c>
      <c r="R93">
        <f t="shared" si="5"/>
        <v>5</v>
      </c>
    </row>
    <row r="94" spans="1:18" x14ac:dyDescent="0.25">
      <c r="A94" s="7">
        <v>6</v>
      </c>
      <c r="B94" s="7">
        <v>100</v>
      </c>
      <c r="C94" s="7">
        <v>4</v>
      </c>
      <c r="D94" s="8">
        <v>24</v>
      </c>
      <c r="E94" s="7">
        <v>27</v>
      </c>
      <c r="F94" s="9" t="s">
        <v>13</v>
      </c>
      <c r="G94" s="13" t="s">
        <v>14</v>
      </c>
      <c r="H94" s="11" t="s">
        <v>15</v>
      </c>
      <c r="I94" s="7">
        <v>17.5</v>
      </c>
      <c r="J94" s="15">
        <v>5.5704230082163368</v>
      </c>
      <c r="K94" s="7">
        <v>4.5</v>
      </c>
      <c r="L94" s="7">
        <v>9</v>
      </c>
      <c r="M94" s="7"/>
      <c r="N94" s="12" t="s">
        <v>20</v>
      </c>
      <c r="O94" s="12" t="s">
        <v>16</v>
      </c>
      <c r="P94" s="57" t="str">
        <f t="shared" si="3"/>
        <v>un fuste</v>
      </c>
      <c r="Q94">
        <f t="shared" si="4"/>
        <v>10</v>
      </c>
      <c r="R94">
        <f t="shared" si="5"/>
        <v>5</v>
      </c>
    </row>
    <row r="95" spans="1:18" x14ac:dyDescent="0.25">
      <c r="A95" s="7">
        <v>3</v>
      </c>
      <c r="B95" s="7">
        <v>5</v>
      </c>
      <c r="C95" s="7"/>
      <c r="D95" s="8">
        <v>26</v>
      </c>
      <c r="E95" s="7">
        <v>26</v>
      </c>
      <c r="F95" s="9" t="s">
        <v>13</v>
      </c>
      <c r="G95" s="10" t="s">
        <v>14</v>
      </c>
      <c r="H95" s="11" t="s">
        <v>15</v>
      </c>
      <c r="I95" s="7"/>
      <c r="J95" s="7"/>
      <c r="K95" s="7"/>
      <c r="L95" s="7">
        <v>0.15</v>
      </c>
      <c r="M95" s="7" t="e">
        <v>#REF!</v>
      </c>
      <c r="N95" s="12"/>
      <c r="O95" s="12" t="s">
        <v>16</v>
      </c>
      <c r="P95" s="57" t="str">
        <f t="shared" si="3"/>
        <v>un fuste</v>
      </c>
      <c r="Q95">
        <f t="shared" si="4"/>
        <v>2.5</v>
      </c>
      <c r="R95">
        <f t="shared" si="5"/>
        <v>5</v>
      </c>
    </row>
    <row r="96" spans="1:18" x14ac:dyDescent="0.25">
      <c r="A96" s="7">
        <v>6</v>
      </c>
      <c r="B96" s="7">
        <v>100</v>
      </c>
      <c r="C96" s="7">
        <v>4</v>
      </c>
      <c r="D96" s="8">
        <v>26</v>
      </c>
      <c r="E96" s="8">
        <v>29</v>
      </c>
      <c r="F96" s="9" t="s">
        <v>13</v>
      </c>
      <c r="G96" s="13" t="s">
        <v>14</v>
      </c>
      <c r="H96" s="11" t="s">
        <v>15</v>
      </c>
      <c r="I96" s="7">
        <v>20.5</v>
      </c>
      <c r="J96" s="15">
        <v>6.5253526667677093</v>
      </c>
      <c r="K96" s="7">
        <v>5</v>
      </c>
      <c r="L96" s="7">
        <v>9</v>
      </c>
      <c r="M96" s="7"/>
      <c r="N96" s="12" t="s">
        <v>20</v>
      </c>
      <c r="O96" s="12" t="s">
        <v>16</v>
      </c>
      <c r="P96" s="57" t="str">
        <f t="shared" si="3"/>
        <v>un fuste</v>
      </c>
      <c r="Q96">
        <f t="shared" si="4"/>
        <v>10</v>
      </c>
      <c r="R96">
        <f t="shared" si="5"/>
        <v>5</v>
      </c>
    </row>
    <row r="97" spans="1:21" x14ac:dyDescent="0.25">
      <c r="A97" s="7">
        <v>10</v>
      </c>
      <c r="B97" s="7">
        <v>100</v>
      </c>
      <c r="C97" s="7">
        <v>3</v>
      </c>
      <c r="D97" s="8">
        <v>33</v>
      </c>
      <c r="E97" s="7">
        <v>33</v>
      </c>
      <c r="F97" s="9" t="s">
        <v>13</v>
      </c>
      <c r="G97" s="13" t="s">
        <v>14</v>
      </c>
      <c r="H97" s="11" t="s">
        <v>15</v>
      </c>
      <c r="I97" s="7">
        <v>19</v>
      </c>
      <c r="J97" s="15">
        <v>6.0478878374920226</v>
      </c>
      <c r="K97" s="7">
        <v>5</v>
      </c>
      <c r="L97" s="7">
        <v>11</v>
      </c>
      <c r="M97" s="7"/>
      <c r="N97" s="12" t="s">
        <v>20</v>
      </c>
      <c r="O97" s="12" t="s">
        <v>16</v>
      </c>
      <c r="P97" s="57" t="str">
        <f t="shared" si="3"/>
        <v>un fuste</v>
      </c>
      <c r="Q97">
        <f t="shared" si="4"/>
        <v>10</v>
      </c>
      <c r="R97">
        <f t="shared" si="5"/>
        <v>5</v>
      </c>
    </row>
    <row r="98" spans="1:21" x14ac:dyDescent="0.25">
      <c r="A98" s="7">
        <v>11</v>
      </c>
      <c r="B98" s="7">
        <v>100</v>
      </c>
      <c r="C98" s="7">
        <v>3</v>
      </c>
      <c r="D98" s="8">
        <v>35</v>
      </c>
      <c r="E98" s="7">
        <v>35</v>
      </c>
      <c r="F98" s="9" t="s">
        <v>13</v>
      </c>
      <c r="G98" s="10" t="s">
        <v>14</v>
      </c>
      <c r="H98" s="11" t="s">
        <v>15</v>
      </c>
      <c r="I98" s="7">
        <v>19.5</v>
      </c>
      <c r="J98" s="15">
        <v>6.2070427805839179</v>
      </c>
      <c r="K98" s="7">
        <v>3</v>
      </c>
      <c r="L98" s="7">
        <v>8</v>
      </c>
      <c r="M98" s="7"/>
      <c r="N98" s="12" t="s">
        <v>20</v>
      </c>
      <c r="O98" s="12" t="s">
        <v>16</v>
      </c>
      <c r="P98" s="57" t="str">
        <f t="shared" si="3"/>
        <v>un fuste</v>
      </c>
      <c r="Q98">
        <f t="shared" si="4"/>
        <v>7.5</v>
      </c>
      <c r="R98">
        <f t="shared" si="5"/>
        <v>5</v>
      </c>
    </row>
    <row r="99" spans="1:21" x14ac:dyDescent="0.25">
      <c r="A99" s="7">
        <v>12</v>
      </c>
      <c r="B99" s="7">
        <v>100</v>
      </c>
      <c r="C99" s="7">
        <v>4</v>
      </c>
      <c r="D99" s="8">
        <v>25</v>
      </c>
      <c r="E99" s="8">
        <v>37</v>
      </c>
      <c r="F99" s="9" t="s">
        <v>13</v>
      </c>
      <c r="G99" s="13" t="s">
        <v>14</v>
      </c>
      <c r="H99" s="11" t="s">
        <v>15</v>
      </c>
      <c r="I99" s="7">
        <v>16.5</v>
      </c>
      <c r="J99" s="15">
        <v>5.2521131220325463</v>
      </c>
      <c r="K99" s="7">
        <v>2</v>
      </c>
      <c r="L99" s="7">
        <v>7</v>
      </c>
      <c r="M99" s="7"/>
      <c r="N99" s="12" t="s">
        <v>20</v>
      </c>
      <c r="O99" s="12" t="s">
        <v>16</v>
      </c>
      <c r="P99" s="57" t="str">
        <f t="shared" si="3"/>
        <v>un fuste</v>
      </c>
      <c r="Q99">
        <f t="shared" si="4"/>
        <v>7.5</v>
      </c>
      <c r="R99">
        <f t="shared" si="5"/>
        <v>5</v>
      </c>
    </row>
    <row r="100" spans="1:21" x14ac:dyDescent="0.25">
      <c r="A100" s="7">
        <v>11</v>
      </c>
      <c r="B100" s="7">
        <v>100</v>
      </c>
      <c r="C100" s="8">
        <v>4</v>
      </c>
      <c r="D100" s="8">
        <v>38</v>
      </c>
      <c r="E100" s="8">
        <v>38</v>
      </c>
      <c r="F100" s="9" t="s">
        <v>13</v>
      </c>
      <c r="G100" s="10" t="s">
        <v>14</v>
      </c>
      <c r="H100" s="11" t="s">
        <v>15</v>
      </c>
      <c r="I100" s="7">
        <v>20.5</v>
      </c>
      <c r="J100" s="15">
        <v>6.5253526667677093</v>
      </c>
      <c r="K100" s="7">
        <v>7</v>
      </c>
      <c r="L100" s="8">
        <v>10</v>
      </c>
      <c r="M100" s="7"/>
      <c r="N100" s="12" t="s">
        <v>20</v>
      </c>
      <c r="O100" s="12" t="s">
        <v>16</v>
      </c>
      <c r="P100" s="57" t="str">
        <f t="shared" si="3"/>
        <v>un fuste</v>
      </c>
      <c r="Q100">
        <f t="shared" si="4"/>
        <v>10</v>
      </c>
      <c r="R100">
        <f t="shared" si="5"/>
        <v>5</v>
      </c>
    </row>
    <row r="101" spans="1:21" x14ac:dyDescent="0.25">
      <c r="A101" s="7">
        <v>10</v>
      </c>
      <c r="B101" s="7">
        <v>100</v>
      </c>
      <c r="C101" s="7">
        <v>4</v>
      </c>
      <c r="D101" s="8">
        <v>39</v>
      </c>
      <c r="E101" s="8">
        <v>39</v>
      </c>
      <c r="F101" s="9" t="s">
        <v>13</v>
      </c>
      <c r="G101" s="13" t="s">
        <v>14</v>
      </c>
      <c r="H101" s="11" t="s">
        <v>15</v>
      </c>
      <c r="I101" s="7">
        <v>26.5</v>
      </c>
      <c r="J101" s="15">
        <v>8.4352119838704525</v>
      </c>
      <c r="K101" s="7">
        <v>2.5</v>
      </c>
      <c r="L101" s="7">
        <v>11</v>
      </c>
      <c r="M101" s="7"/>
      <c r="N101" s="12" t="s">
        <v>20</v>
      </c>
      <c r="O101" s="12" t="s">
        <v>16</v>
      </c>
      <c r="P101" s="57" t="str">
        <f t="shared" si="3"/>
        <v>un fuste</v>
      </c>
      <c r="Q101">
        <f t="shared" si="4"/>
        <v>10</v>
      </c>
      <c r="R101">
        <f t="shared" si="5"/>
        <v>10</v>
      </c>
    </row>
    <row r="102" spans="1:21" x14ac:dyDescent="0.25">
      <c r="A102" s="7">
        <v>7</v>
      </c>
      <c r="B102" s="7">
        <v>500</v>
      </c>
      <c r="C102" s="8">
        <v>4</v>
      </c>
      <c r="D102" s="8">
        <v>40</v>
      </c>
      <c r="E102" s="8">
        <v>43</v>
      </c>
      <c r="F102" s="17" t="s">
        <v>13</v>
      </c>
      <c r="G102" s="10" t="s">
        <v>14</v>
      </c>
      <c r="H102" s="11" t="s">
        <v>15</v>
      </c>
      <c r="I102" s="7">
        <v>33</v>
      </c>
      <c r="J102" s="15">
        <v>10.504226244065093</v>
      </c>
      <c r="K102" s="7">
        <v>4</v>
      </c>
      <c r="L102" s="7">
        <v>10</v>
      </c>
      <c r="M102" s="7"/>
      <c r="N102" s="12" t="s">
        <v>20</v>
      </c>
      <c r="O102" s="12" t="s">
        <v>16</v>
      </c>
      <c r="P102" s="57" t="str">
        <f t="shared" si="3"/>
        <v>un fuste</v>
      </c>
      <c r="Q102">
        <f t="shared" si="4"/>
        <v>10</v>
      </c>
      <c r="R102">
        <f t="shared" si="5"/>
        <v>10</v>
      </c>
      <c r="S102">
        <v>9</v>
      </c>
      <c r="T102" t="s">
        <v>268</v>
      </c>
      <c r="U102">
        <v>5.753098414258366E-2</v>
      </c>
    </row>
    <row r="103" spans="1:21" x14ac:dyDescent="0.25">
      <c r="A103" s="7">
        <v>9</v>
      </c>
      <c r="B103" s="7">
        <v>100</v>
      </c>
      <c r="C103" s="8">
        <v>4</v>
      </c>
      <c r="D103" s="8">
        <v>43</v>
      </c>
      <c r="E103" s="8">
        <v>43</v>
      </c>
      <c r="F103" s="17" t="s">
        <v>13</v>
      </c>
      <c r="G103" s="18" t="s">
        <v>14</v>
      </c>
      <c r="H103" s="11" t="s">
        <v>15</v>
      </c>
      <c r="I103" s="7">
        <v>18</v>
      </c>
      <c r="J103" s="15">
        <v>5.7295779513082321</v>
      </c>
      <c r="K103" s="7">
        <v>4.5</v>
      </c>
      <c r="L103" s="8">
        <v>9</v>
      </c>
      <c r="M103" s="7"/>
      <c r="N103" s="12" t="s">
        <v>20</v>
      </c>
      <c r="O103" s="12" t="s">
        <v>16</v>
      </c>
      <c r="P103" s="57" t="str">
        <f t="shared" si="3"/>
        <v>un fuste</v>
      </c>
      <c r="Q103">
        <f t="shared" si="4"/>
        <v>10</v>
      </c>
      <c r="R103">
        <f t="shared" si="5"/>
        <v>5</v>
      </c>
    </row>
    <row r="104" spans="1:21" x14ac:dyDescent="0.25">
      <c r="A104" s="7">
        <v>7</v>
      </c>
      <c r="B104" s="7">
        <v>500</v>
      </c>
      <c r="C104" s="7">
        <v>4</v>
      </c>
      <c r="D104" s="8">
        <v>41</v>
      </c>
      <c r="E104" s="7">
        <v>44</v>
      </c>
      <c r="F104" s="9" t="s">
        <v>13</v>
      </c>
      <c r="G104" s="13" t="s">
        <v>14</v>
      </c>
      <c r="H104" s="14" t="s">
        <v>15</v>
      </c>
      <c r="I104" s="7">
        <v>33</v>
      </c>
      <c r="J104" s="15">
        <v>10.504226244065093</v>
      </c>
      <c r="K104" s="7">
        <v>4</v>
      </c>
      <c r="L104" s="7">
        <v>14</v>
      </c>
      <c r="M104" s="7"/>
      <c r="N104" s="12" t="s">
        <v>20</v>
      </c>
      <c r="O104" s="12" t="s">
        <v>16</v>
      </c>
      <c r="P104" s="57" t="str">
        <f t="shared" si="3"/>
        <v>un fuste</v>
      </c>
      <c r="Q104">
        <f t="shared" si="4"/>
        <v>15</v>
      </c>
      <c r="R104">
        <f t="shared" si="5"/>
        <v>10</v>
      </c>
      <c r="S104">
        <v>9</v>
      </c>
      <c r="T104" t="s">
        <v>268</v>
      </c>
      <c r="U104">
        <v>8.0619799541885084E-2</v>
      </c>
    </row>
    <row r="105" spans="1:21" x14ac:dyDescent="0.25">
      <c r="A105" s="7">
        <v>9</v>
      </c>
      <c r="B105" s="7">
        <v>100</v>
      </c>
      <c r="C105" s="7">
        <v>4</v>
      </c>
      <c r="D105" s="8">
        <v>44</v>
      </c>
      <c r="E105" s="8">
        <v>44</v>
      </c>
      <c r="F105" s="9" t="s">
        <v>13</v>
      </c>
      <c r="G105" s="13" t="s">
        <v>14</v>
      </c>
      <c r="H105" s="11" t="s">
        <v>15</v>
      </c>
      <c r="I105" s="7">
        <v>18.5</v>
      </c>
      <c r="J105" s="15">
        <v>5.8887328944001274</v>
      </c>
      <c r="K105" s="7">
        <v>5</v>
      </c>
      <c r="L105" s="7">
        <v>5</v>
      </c>
      <c r="M105" s="7"/>
      <c r="N105" s="12" t="s">
        <v>20</v>
      </c>
      <c r="O105" s="12" t="s">
        <v>16</v>
      </c>
      <c r="P105" s="57" t="str">
        <f t="shared" si="3"/>
        <v>un fuste</v>
      </c>
      <c r="Q105">
        <f t="shared" si="4"/>
        <v>5</v>
      </c>
      <c r="R105">
        <f t="shared" si="5"/>
        <v>5</v>
      </c>
    </row>
    <row r="106" spans="1:21" x14ac:dyDescent="0.25">
      <c r="A106" s="7">
        <v>12</v>
      </c>
      <c r="B106" s="7">
        <v>100</v>
      </c>
      <c r="C106" s="8">
        <v>4</v>
      </c>
      <c r="D106" s="8">
        <v>34</v>
      </c>
      <c r="E106" s="8">
        <v>51</v>
      </c>
      <c r="F106" s="9" t="s">
        <v>13</v>
      </c>
      <c r="G106" s="10" t="s">
        <v>14</v>
      </c>
      <c r="H106" s="11" t="s">
        <v>15</v>
      </c>
      <c r="I106" s="7">
        <v>18</v>
      </c>
      <c r="J106" s="15">
        <v>5.7295779513082321</v>
      </c>
      <c r="K106" s="7">
        <v>3</v>
      </c>
      <c r="L106" s="8">
        <v>9</v>
      </c>
      <c r="M106" s="7"/>
      <c r="N106" s="12" t="s">
        <v>20</v>
      </c>
      <c r="O106" s="12" t="s">
        <v>16</v>
      </c>
      <c r="P106" s="57" t="str">
        <f t="shared" si="3"/>
        <v>un fuste</v>
      </c>
      <c r="Q106">
        <f t="shared" si="4"/>
        <v>10</v>
      </c>
      <c r="R106">
        <f t="shared" si="5"/>
        <v>5</v>
      </c>
    </row>
    <row r="107" spans="1:21" x14ac:dyDescent="0.25">
      <c r="A107" s="7">
        <v>3</v>
      </c>
      <c r="B107" s="7">
        <v>5</v>
      </c>
      <c r="C107" s="8"/>
      <c r="D107" s="8">
        <v>27</v>
      </c>
      <c r="E107" s="8">
        <v>27</v>
      </c>
      <c r="F107" s="9" t="s">
        <v>13</v>
      </c>
      <c r="G107" s="10" t="s">
        <v>14</v>
      </c>
      <c r="H107" s="11" t="s">
        <v>15</v>
      </c>
      <c r="I107" s="7"/>
      <c r="J107" s="7"/>
      <c r="K107" s="7"/>
      <c r="L107" s="7">
        <v>0.15</v>
      </c>
      <c r="M107" s="7" t="e">
        <v>#REF!</v>
      </c>
      <c r="N107" s="12"/>
      <c r="O107" s="12" t="s">
        <v>16</v>
      </c>
      <c r="P107" s="57" t="str">
        <f t="shared" si="3"/>
        <v>un fuste</v>
      </c>
      <c r="Q107">
        <f t="shared" si="4"/>
        <v>2.5</v>
      </c>
      <c r="R107">
        <f t="shared" si="5"/>
        <v>5</v>
      </c>
    </row>
    <row r="108" spans="1:21" x14ac:dyDescent="0.25">
      <c r="A108" s="7">
        <v>4</v>
      </c>
      <c r="B108" s="7">
        <v>100</v>
      </c>
      <c r="C108" s="8">
        <v>1</v>
      </c>
      <c r="D108" s="8">
        <v>7</v>
      </c>
      <c r="E108" s="8">
        <v>8</v>
      </c>
      <c r="F108" s="9" t="s">
        <v>17</v>
      </c>
      <c r="G108" s="13" t="s">
        <v>148</v>
      </c>
      <c r="H108" s="11" t="s">
        <v>149</v>
      </c>
      <c r="I108" s="7">
        <v>16.5</v>
      </c>
      <c r="J108" s="15">
        <v>5.2521131220325463</v>
      </c>
      <c r="K108" s="7">
        <v>1.8</v>
      </c>
      <c r="L108" s="7">
        <v>10</v>
      </c>
      <c r="M108" s="7"/>
      <c r="N108" s="12" t="s">
        <v>20</v>
      </c>
      <c r="O108" s="12" t="s">
        <v>16</v>
      </c>
      <c r="P108" s="57" t="str">
        <f t="shared" si="3"/>
        <v>un fuste</v>
      </c>
      <c r="Q108">
        <f t="shared" si="4"/>
        <v>10</v>
      </c>
      <c r="R108">
        <f t="shared" si="5"/>
        <v>5</v>
      </c>
    </row>
    <row r="109" spans="1:21" x14ac:dyDescent="0.25">
      <c r="A109" s="7">
        <v>3</v>
      </c>
      <c r="B109" s="7">
        <v>5</v>
      </c>
      <c r="C109" s="8"/>
      <c r="D109" s="8">
        <v>28</v>
      </c>
      <c r="E109" s="8">
        <v>28</v>
      </c>
      <c r="F109" s="9" t="s">
        <v>43</v>
      </c>
      <c r="G109" s="10" t="s">
        <v>46</v>
      </c>
      <c r="H109" s="11" t="s">
        <v>47</v>
      </c>
      <c r="I109" s="7"/>
      <c r="J109" s="7"/>
      <c r="K109" s="7"/>
      <c r="L109" s="8">
        <v>4</v>
      </c>
      <c r="M109" s="7" t="e">
        <v>#REF!</v>
      </c>
      <c r="N109" s="12"/>
      <c r="O109" s="12" t="s">
        <v>16</v>
      </c>
      <c r="P109" s="57" t="str">
        <f t="shared" si="3"/>
        <v>un fuste</v>
      </c>
      <c r="Q109">
        <f t="shared" si="4"/>
        <v>5</v>
      </c>
      <c r="R109">
        <f t="shared" si="5"/>
        <v>5</v>
      </c>
    </row>
    <row r="110" spans="1:21" x14ac:dyDescent="0.25">
      <c r="A110" s="7">
        <v>3</v>
      </c>
      <c r="B110" s="7">
        <v>5</v>
      </c>
      <c r="C110" s="7"/>
      <c r="D110" s="7">
        <v>29</v>
      </c>
      <c r="E110" s="7">
        <v>29</v>
      </c>
      <c r="F110" s="17" t="s">
        <v>108</v>
      </c>
      <c r="G110" s="10" t="s">
        <v>132</v>
      </c>
      <c r="H110" s="11" t="s">
        <v>133</v>
      </c>
      <c r="I110" s="7"/>
      <c r="J110" s="7"/>
      <c r="K110" s="7"/>
      <c r="L110" s="7">
        <v>1.7</v>
      </c>
      <c r="M110" s="7" t="e">
        <v>#REF!</v>
      </c>
      <c r="N110" s="12"/>
      <c r="O110" s="12" t="s">
        <v>16</v>
      </c>
      <c r="P110" s="57" t="str">
        <f t="shared" si="3"/>
        <v>un fuste</v>
      </c>
      <c r="Q110">
        <f t="shared" si="4"/>
        <v>2.5</v>
      </c>
      <c r="R110">
        <f t="shared" si="5"/>
        <v>5</v>
      </c>
    </row>
    <row r="111" spans="1:21" x14ac:dyDescent="0.25">
      <c r="A111" s="7">
        <v>1</v>
      </c>
      <c r="B111" s="7">
        <v>100</v>
      </c>
      <c r="C111" s="7">
        <v>1</v>
      </c>
      <c r="D111" s="8">
        <v>6</v>
      </c>
      <c r="E111" s="7">
        <v>6</v>
      </c>
      <c r="F111" s="17" t="s">
        <v>40</v>
      </c>
      <c r="G111" s="18" t="s">
        <v>41</v>
      </c>
      <c r="H111" s="11" t="s">
        <v>42</v>
      </c>
      <c r="I111" s="7">
        <v>23</v>
      </c>
      <c r="J111" s="15">
        <v>7.3211273822271856</v>
      </c>
      <c r="K111" s="7">
        <v>5</v>
      </c>
      <c r="L111" s="7">
        <v>10</v>
      </c>
      <c r="M111" s="7"/>
      <c r="N111" s="12" t="s">
        <v>20</v>
      </c>
      <c r="O111" s="12" t="s">
        <v>16</v>
      </c>
      <c r="P111" s="57" t="str">
        <f t="shared" si="3"/>
        <v>un fuste</v>
      </c>
      <c r="Q111">
        <f t="shared" si="4"/>
        <v>10</v>
      </c>
      <c r="R111">
        <f t="shared" si="5"/>
        <v>5</v>
      </c>
    </row>
    <row r="112" spans="1:21" x14ac:dyDescent="0.25">
      <c r="A112" s="7">
        <v>7</v>
      </c>
      <c r="B112" s="7">
        <v>500</v>
      </c>
      <c r="C112" s="8">
        <v>2</v>
      </c>
      <c r="D112" s="8">
        <v>9</v>
      </c>
      <c r="E112" s="8">
        <v>12</v>
      </c>
      <c r="F112" s="9" t="s">
        <v>40</v>
      </c>
      <c r="G112" s="13" t="s">
        <v>41</v>
      </c>
      <c r="H112" s="11" t="s">
        <v>42</v>
      </c>
      <c r="I112" s="7">
        <v>37</v>
      </c>
      <c r="J112" s="15">
        <v>11.777465788800255</v>
      </c>
      <c r="K112" s="7">
        <v>3</v>
      </c>
      <c r="L112" s="7">
        <v>10</v>
      </c>
      <c r="M112" s="7"/>
      <c r="N112" s="12" t="s">
        <v>20</v>
      </c>
      <c r="O112" s="12" t="s">
        <v>16</v>
      </c>
      <c r="P112" s="57" t="str">
        <f t="shared" si="3"/>
        <v>un fuste</v>
      </c>
      <c r="Q112">
        <f t="shared" si="4"/>
        <v>10</v>
      </c>
      <c r="R112">
        <f t="shared" si="5"/>
        <v>10</v>
      </c>
      <c r="S112">
        <v>17</v>
      </c>
      <c r="T112" t="s">
        <v>273</v>
      </c>
      <c r="U112">
        <v>6.8991137736137118E-2</v>
      </c>
    </row>
    <row r="113" spans="1:21" x14ac:dyDescent="0.25">
      <c r="A113" s="7">
        <v>4</v>
      </c>
      <c r="B113" s="7">
        <v>100</v>
      </c>
      <c r="C113" s="8">
        <v>2</v>
      </c>
      <c r="D113" s="8">
        <v>15</v>
      </c>
      <c r="E113" s="8">
        <v>16</v>
      </c>
      <c r="F113" s="9" t="s">
        <v>40</v>
      </c>
      <c r="G113" s="10" t="s">
        <v>41</v>
      </c>
      <c r="H113" s="11" t="s">
        <v>42</v>
      </c>
      <c r="I113" s="7">
        <v>21.5</v>
      </c>
      <c r="J113" s="15">
        <v>6.8436625529514998</v>
      </c>
      <c r="K113" s="7">
        <v>10</v>
      </c>
      <c r="L113" s="7">
        <v>12</v>
      </c>
      <c r="M113" s="7"/>
      <c r="N113" s="12" t="s">
        <v>20</v>
      </c>
      <c r="O113" s="12" t="s">
        <v>16</v>
      </c>
      <c r="P113" s="57" t="str">
        <f t="shared" si="3"/>
        <v>un fuste</v>
      </c>
      <c r="Q113">
        <f t="shared" si="4"/>
        <v>12.5</v>
      </c>
      <c r="R113">
        <f t="shared" si="5"/>
        <v>5</v>
      </c>
    </row>
    <row r="114" spans="1:21" x14ac:dyDescent="0.25">
      <c r="A114" s="7">
        <v>6</v>
      </c>
      <c r="B114" s="7">
        <v>100</v>
      </c>
      <c r="C114" s="8">
        <v>3</v>
      </c>
      <c r="D114" s="8">
        <v>17</v>
      </c>
      <c r="E114" s="8">
        <v>20</v>
      </c>
      <c r="F114" s="9" t="s">
        <v>40</v>
      </c>
      <c r="G114" s="13" t="s">
        <v>41</v>
      </c>
      <c r="H114" s="14" t="s">
        <v>42</v>
      </c>
      <c r="I114" s="8">
        <v>19.5</v>
      </c>
      <c r="J114" s="15">
        <v>6.2070427805839179</v>
      </c>
      <c r="K114" s="8">
        <v>3</v>
      </c>
      <c r="L114" s="8">
        <v>8</v>
      </c>
      <c r="M114" s="7"/>
      <c r="N114" s="12" t="s">
        <v>20</v>
      </c>
      <c r="O114" s="12" t="s">
        <v>16</v>
      </c>
      <c r="P114" s="57" t="str">
        <f t="shared" si="3"/>
        <v>un fuste</v>
      </c>
      <c r="Q114">
        <f t="shared" si="4"/>
        <v>7.5</v>
      </c>
      <c r="R114">
        <f t="shared" si="5"/>
        <v>5</v>
      </c>
    </row>
    <row r="115" spans="1:21" x14ac:dyDescent="0.25">
      <c r="A115" s="7">
        <v>6</v>
      </c>
      <c r="B115" s="7">
        <v>100</v>
      </c>
      <c r="C115" s="8">
        <v>4</v>
      </c>
      <c r="D115" s="8">
        <v>22</v>
      </c>
      <c r="E115" s="8">
        <v>25</v>
      </c>
      <c r="F115" s="9" t="s">
        <v>40</v>
      </c>
      <c r="G115" s="13" t="s">
        <v>41</v>
      </c>
      <c r="H115" s="11" t="s">
        <v>42</v>
      </c>
      <c r="I115" s="8">
        <v>22.5</v>
      </c>
      <c r="J115" s="15">
        <v>7.1619724391352904</v>
      </c>
      <c r="K115" s="8">
        <v>2</v>
      </c>
      <c r="L115" s="8">
        <v>9</v>
      </c>
      <c r="M115" s="7"/>
      <c r="N115" s="12" t="s">
        <v>20</v>
      </c>
      <c r="O115" s="12" t="s">
        <v>16</v>
      </c>
      <c r="P115" s="57" t="str">
        <f t="shared" si="3"/>
        <v>un fuste</v>
      </c>
      <c r="Q115">
        <f t="shared" si="4"/>
        <v>10</v>
      </c>
      <c r="R115">
        <f t="shared" si="5"/>
        <v>5</v>
      </c>
    </row>
    <row r="116" spans="1:21" x14ac:dyDescent="0.25">
      <c r="A116" s="7">
        <v>11</v>
      </c>
      <c r="B116" s="7">
        <v>100</v>
      </c>
      <c r="C116" s="7">
        <v>4</v>
      </c>
      <c r="D116" s="8">
        <v>39</v>
      </c>
      <c r="E116" s="7">
        <v>39</v>
      </c>
      <c r="F116" s="9" t="s">
        <v>40</v>
      </c>
      <c r="G116" s="10" t="s">
        <v>41</v>
      </c>
      <c r="H116" s="11" t="s">
        <v>42</v>
      </c>
      <c r="I116" s="7">
        <v>17.5</v>
      </c>
      <c r="J116" s="15">
        <v>5.5704230082163368</v>
      </c>
      <c r="K116" s="7">
        <v>2.5</v>
      </c>
      <c r="L116" s="7">
        <v>7</v>
      </c>
      <c r="M116" s="7"/>
      <c r="N116" s="12" t="s">
        <v>20</v>
      </c>
      <c r="O116" s="12" t="s">
        <v>16</v>
      </c>
      <c r="P116" s="57" t="str">
        <f t="shared" si="3"/>
        <v>un fuste</v>
      </c>
      <c r="Q116">
        <f t="shared" si="4"/>
        <v>7.5</v>
      </c>
      <c r="R116">
        <f t="shared" si="5"/>
        <v>5</v>
      </c>
    </row>
    <row r="117" spans="1:21" x14ac:dyDescent="0.25">
      <c r="A117" s="7">
        <v>6</v>
      </c>
      <c r="B117" s="7">
        <v>500</v>
      </c>
      <c r="C117" s="8">
        <v>2</v>
      </c>
      <c r="D117" s="8">
        <v>4</v>
      </c>
      <c r="E117" s="8">
        <v>5</v>
      </c>
      <c r="F117" s="9" t="s">
        <v>81</v>
      </c>
      <c r="G117" s="13" t="s">
        <v>174</v>
      </c>
      <c r="H117" s="11" t="s">
        <v>175</v>
      </c>
      <c r="I117" s="7">
        <v>34</v>
      </c>
      <c r="J117" s="15">
        <v>10.822536130248883</v>
      </c>
      <c r="K117" s="7">
        <v>3</v>
      </c>
      <c r="L117" s="8">
        <v>10</v>
      </c>
      <c r="M117" s="7"/>
      <c r="N117" s="12" t="s">
        <v>20</v>
      </c>
      <c r="O117" s="12" t="s">
        <v>16</v>
      </c>
      <c r="P117" s="57" t="str">
        <f t="shared" si="3"/>
        <v>un fuste</v>
      </c>
      <c r="Q117">
        <f t="shared" si="4"/>
        <v>10</v>
      </c>
      <c r="R117">
        <f t="shared" si="5"/>
        <v>10</v>
      </c>
      <c r="S117">
        <v>17</v>
      </c>
      <c r="T117" t="s">
        <v>273</v>
      </c>
      <c r="U117">
        <v>5.9172829084870877E-2</v>
      </c>
    </row>
    <row r="118" spans="1:21" x14ac:dyDescent="0.25">
      <c r="A118" s="7">
        <v>6</v>
      </c>
      <c r="B118" s="7">
        <v>500</v>
      </c>
      <c r="C118" s="7">
        <v>1</v>
      </c>
      <c r="D118" s="8">
        <v>2</v>
      </c>
      <c r="E118" s="7">
        <v>2</v>
      </c>
      <c r="F118" s="9" t="s">
        <v>81</v>
      </c>
      <c r="G118" s="13" t="s">
        <v>82</v>
      </c>
      <c r="H118" s="11" t="s">
        <v>83</v>
      </c>
      <c r="I118" s="7">
        <v>48.5</v>
      </c>
      <c r="J118" s="15">
        <v>15.438029479913848</v>
      </c>
      <c r="K118" s="7">
        <v>4.5</v>
      </c>
      <c r="L118" s="7">
        <v>9</v>
      </c>
      <c r="M118" s="7"/>
      <c r="N118" s="12" t="s">
        <v>20</v>
      </c>
      <c r="O118" s="12" t="s">
        <v>16</v>
      </c>
      <c r="P118" s="57" t="str">
        <f t="shared" si="3"/>
        <v>un fuste</v>
      </c>
      <c r="Q118">
        <f t="shared" si="4"/>
        <v>10</v>
      </c>
      <c r="R118">
        <f t="shared" si="5"/>
        <v>15</v>
      </c>
      <c r="S118">
        <v>6</v>
      </c>
      <c r="T118" t="s">
        <v>270</v>
      </c>
      <c r="U118">
        <v>9.8831596293402643E-2</v>
      </c>
    </row>
    <row r="119" spans="1:21" x14ac:dyDescent="0.25">
      <c r="A119" s="7">
        <v>4</v>
      </c>
      <c r="B119" s="7">
        <v>500</v>
      </c>
      <c r="C119" s="7">
        <v>1</v>
      </c>
      <c r="D119" s="8">
        <v>3</v>
      </c>
      <c r="E119" s="7">
        <v>3</v>
      </c>
      <c r="F119" s="9" t="s">
        <v>81</v>
      </c>
      <c r="G119" s="10" t="s">
        <v>82</v>
      </c>
      <c r="H119" s="11" t="s">
        <v>83</v>
      </c>
      <c r="I119" s="7">
        <v>85</v>
      </c>
      <c r="J119" s="15">
        <v>27.056340325622209</v>
      </c>
      <c r="K119" s="7">
        <v>1.5</v>
      </c>
      <c r="L119" s="7">
        <v>12</v>
      </c>
      <c r="M119" s="7"/>
      <c r="N119" s="12" t="s">
        <v>20</v>
      </c>
      <c r="O119" s="12" t="s">
        <v>16</v>
      </c>
      <c r="P119" s="57" t="str">
        <f t="shared" si="3"/>
        <v>un fuste</v>
      </c>
      <c r="Q119">
        <f t="shared" si="4"/>
        <v>12.5</v>
      </c>
      <c r="R119">
        <f t="shared" si="5"/>
        <v>25</v>
      </c>
      <c r="S119">
        <v>6</v>
      </c>
      <c r="T119" t="s">
        <v>270</v>
      </c>
      <c r="U119">
        <v>0.38561393926958815</v>
      </c>
    </row>
    <row r="120" spans="1:21" x14ac:dyDescent="0.25">
      <c r="A120" s="7">
        <v>10</v>
      </c>
      <c r="B120" s="7">
        <v>100</v>
      </c>
      <c r="C120" s="8">
        <v>1</v>
      </c>
      <c r="D120" s="8">
        <v>3</v>
      </c>
      <c r="E120" s="8">
        <v>3</v>
      </c>
      <c r="F120" s="9" t="s">
        <v>81</v>
      </c>
      <c r="G120" s="10" t="s">
        <v>82</v>
      </c>
      <c r="H120" s="11" t="s">
        <v>83</v>
      </c>
      <c r="I120" s="8">
        <v>17</v>
      </c>
      <c r="J120" s="15">
        <v>5.4112680651244416</v>
      </c>
      <c r="K120" s="8">
        <v>4.5</v>
      </c>
      <c r="L120" s="8">
        <v>7</v>
      </c>
      <c r="M120" s="7"/>
      <c r="N120" s="12" t="s">
        <v>20</v>
      </c>
      <c r="O120" s="12" t="s">
        <v>16</v>
      </c>
      <c r="P120" s="57" t="str">
        <f t="shared" si="3"/>
        <v>un fuste</v>
      </c>
      <c r="Q120">
        <f t="shared" si="4"/>
        <v>7.5</v>
      </c>
      <c r="R120">
        <f t="shared" si="5"/>
        <v>5</v>
      </c>
    </row>
    <row r="121" spans="1:21" x14ac:dyDescent="0.25">
      <c r="A121" s="7">
        <v>12</v>
      </c>
      <c r="B121" s="7">
        <v>100</v>
      </c>
      <c r="C121" s="8">
        <v>1</v>
      </c>
      <c r="D121" s="7">
        <v>5</v>
      </c>
      <c r="E121" s="7">
        <v>6</v>
      </c>
      <c r="F121" s="9" t="s">
        <v>81</v>
      </c>
      <c r="G121" s="13" t="s">
        <v>82</v>
      </c>
      <c r="H121" s="11" t="s">
        <v>83</v>
      </c>
      <c r="I121" s="7">
        <v>16.5</v>
      </c>
      <c r="J121" s="15">
        <v>5.2521131220325463</v>
      </c>
      <c r="K121" s="7">
        <v>3</v>
      </c>
      <c r="L121" s="7">
        <v>7</v>
      </c>
      <c r="M121" s="7"/>
      <c r="N121" s="12" t="s">
        <v>20</v>
      </c>
      <c r="O121" s="12" t="s">
        <v>16</v>
      </c>
      <c r="P121" s="57" t="str">
        <f t="shared" si="3"/>
        <v>un fuste</v>
      </c>
      <c r="Q121">
        <f t="shared" si="4"/>
        <v>7.5</v>
      </c>
      <c r="R121">
        <f t="shared" si="5"/>
        <v>5</v>
      </c>
    </row>
    <row r="122" spans="1:21" x14ac:dyDescent="0.25">
      <c r="A122" s="7">
        <v>4</v>
      </c>
      <c r="B122" s="7">
        <v>500</v>
      </c>
      <c r="C122" s="8">
        <v>1</v>
      </c>
      <c r="D122" s="8">
        <v>9</v>
      </c>
      <c r="E122" s="8">
        <v>9</v>
      </c>
      <c r="F122" s="9" t="s">
        <v>81</v>
      </c>
      <c r="G122" s="10" t="s">
        <v>82</v>
      </c>
      <c r="H122" s="11" t="s">
        <v>83</v>
      </c>
      <c r="I122" s="7">
        <v>64.5</v>
      </c>
      <c r="J122" s="15">
        <v>20.5309876588545</v>
      </c>
      <c r="K122" s="7">
        <v>8</v>
      </c>
      <c r="L122" s="7">
        <v>12</v>
      </c>
      <c r="M122" s="7"/>
      <c r="N122" s="12" t="s">
        <v>20</v>
      </c>
      <c r="O122" s="12" t="s">
        <v>16</v>
      </c>
      <c r="P122" s="57" t="str">
        <f t="shared" si="3"/>
        <v>un fuste</v>
      </c>
      <c r="Q122">
        <f t="shared" si="4"/>
        <v>12.5</v>
      </c>
      <c r="R122">
        <f t="shared" si="5"/>
        <v>20</v>
      </c>
      <c r="S122">
        <v>6</v>
      </c>
      <c r="T122" t="s">
        <v>270</v>
      </c>
      <c r="U122">
        <v>0.2278001594369968</v>
      </c>
    </row>
    <row r="123" spans="1:21" x14ac:dyDescent="0.25">
      <c r="A123" s="7">
        <v>10</v>
      </c>
      <c r="B123" s="7">
        <v>100</v>
      </c>
      <c r="C123" s="7">
        <v>1</v>
      </c>
      <c r="D123" s="8">
        <v>9</v>
      </c>
      <c r="E123" s="7">
        <v>9</v>
      </c>
      <c r="F123" s="9" t="s">
        <v>81</v>
      </c>
      <c r="G123" s="13" t="s">
        <v>82</v>
      </c>
      <c r="H123" s="11" t="s">
        <v>83</v>
      </c>
      <c r="I123" s="7">
        <v>30</v>
      </c>
      <c r="J123" s="15">
        <v>9.5492965855137211</v>
      </c>
      <c r="K123" s="7">
        <v>8</v>
      </c>
      <c r="L123" s="7">
        <v>11</v>
      </c>
      <c r="M123" s="7"/>
      <c r="N123" s="12" t="s">
        <v>20</v>
      </c>
      <c r="O123" s="12" t="s">
        <v>16</v>
      </c>
      <c r="P123" s="57" t="str">
        <f t="shared" si="3"/>
        <v>un fuste</v>
      </c>
      <c r="Q123">
        <f t="shared" si="4"/>
        <v>10</v>
      </c>
      <c r="R123">
        <f t="shared" si="5"/>
        <v>10</v>
      </c>
    </row>
    <row r="124" spans="1:21" x14ac:dyDescent="0.25">
      <c r="A124" s="7">
        <v>7</v>
      </c>
      <c r="B124" s="7">
        <v>500</v>
      </c>
      <c r="C124" s="8">
        <v>1</v>
      </c>
      <c r="D124" s="8">
        <v>7</v>
      </c>
      <c r="E124" s="8">
        <v>10</v>
      </c>
      <c r="F124" s="9" t="s">
        <v>81</v>
      </c>
      <c r="G124" s="13" t="s">
        <v>82</v>
      </c>
      <c r="H124" s="14" t="s">
        <v>83</v>
      </c>
      <c r="I124" s="8">
        <v>69</v>
      </c>
      <c r="J124" s="15">
        <v>21.963382146681557</v>
      </c>
      <c r="K124" s="8">
        <v>4</v>
      </c>
      <c r="L124" s="8">
        <v>14</v>
      </c>
      <c r="M124" s="7"/>
      <c r="N124" s="12" t="s">
        <v>20</v>
      </c>
      <c r="O124" s="12" t="s">
        <v>16</v>
      </c>
      <c r="P124" s="57" t="str">
        <f t="shared" si="3"/>
        <v>un fuste</v>
      </c>
      <c r="Q124">
        <f t="shared" si="4"/>
        <v>15</v>
      </c>
      <c r="R124">
        <f t="shared" si="5"/>
        <v>20</v>
      </c>
      <c r="S124">
        <v>6</v>
      </c>
      <c r="T124" t="s">
        <v>270</v>
      </c>
      <c r="U124">
        <v>0.30283344419188174</v>
      </c>
    </row>
    <row r="125" spans="1:21" x14ac:dyDescent="0.25">
      <c r="A125" s="7">
        <v>4</v>
      </c>
      <c r="B125" s="7">
        <v>500</v>
      </c>
      <c r="C125" s="7">
        <v>1</v>
      </c>
      <c r="D125" s="8">
        <v>13</v>
      </c>
      <c r="E125" s="7">
        <v>13</v>
      </c>
      <c r="F125" s="9" t="s">
        <v>81</v>
      </c>
      <c r="G125" s="13" t="s">
        <v>82</v>
      </c>
      <c r="H125" s="11" t="s">
        <v>83</v>
      </c>
      <c r="I125" s="7">
        <v>42</v>
      </c>
      <c r="J125" s="15">
        <v>13.369015219719209</v>
      </c>
      <c r="K125" s="7">
        <v>6</v>
      </c>
      <c r="L125" s="7">
        <v>11</v>
      </c>
      <c r="M125" s="7"/>
      <c r="N125" s="12" t="s">
        <v>20</v>
      </c>
      <c r="O125" s="12" t="s">
        <v>16</v>
      </c>
      <c r="P125" s="57" t="str">
        <f t="shared" si="3"/>
        <v>un fuste</v>
      </c>
      <c r="Q125">
        <f t="shared" si="4"/>
        <v>10</v>
      </c>
      <c r="R125">
        <f t="shared" si="5"/>
        <v>15</v>
      </c>
      <c r="S125">
        <v>6</v>
      </c>
      <c r="T125" t="s">
        <v>270</v>
      </c>
      <c r="U125">
        <v>9.2035253807010123E-2</v>
      </c>
    </row>
    <row r="126" spans="1:21" x14ac:dyDescent="0.25">
      <c r="A126" s="7">
        <v>4</v>
      </c>
      <c r="B126" s="7">
        <v>500</v>
      </c>
      <c r="C126" s="8">
        <v>1</v>
      </c>
      <c r="D126" s="8">
        <v>14</v>
      </c>
      <c r="E126" s="8">
        <v>14</v>
      </c>
      <c r="F126" s="9" t="s">
        <v>81</v>
      </c>
      <c r="G126" s="13" t="s">
        <v>82</v>
      </c>
      <c r="H126" s="11" t="s">
        <v>83</v>
      </c>
      <c r="I126" s="7">
        <v>33</v>
      </c>
      <c r="J126" s="15">
        <v>10.504226244065093</v>
      </c>
      <c r="K126" s="7">
        <v>7</v>
      </c>
      <c r="L126" s="7">
        <v>9</v>
      </c>
      <c r="M126" s="7"/>
      <c r="N126" s="12" t="s">
        <v>20</v>
      </c>
      <c r="O126" s="12" t="s">
        <v>16</v>
      </c>
      <c r="P126" s="57" t="str">
        <f t="shared" si="3"/>
        <v>un fuste</v>
      </c>
      <c r="Q126">
        <f t="shared" si="4"/>
        <v>10</v>
      </c>
      <c r="R126">
        <f t="shared" si="5"/>
        <v>10</v>
      </c>
      <c r="S126">
        <v>6</v>
      </c>
      <c r="T126" t="s">
        <v>270</v>
      </c>
      <c r="U126">
        <v>4.7419226868973763E-2</v>
      </c>
    </row>
    <row r="127" spans="1:21" x14ac:dyDescent="0.25">
      <c r="A127" s="7">
        <v>9</v>
      </c>
      <c r="B127" s="7">
        <v>500</v>
      </c>
      <c r="C127" s="8">
        <v>3</v>
      </c>
      <c r="D127" s="8">
        <v>15</v>
      </c>
      <c r="E127" s="8">
        <v>15</v>
      </c>
      <c r="F127" s="9" t="s">
        <v>81</v>
      </c>
      <c r="G127" s="13" t="s">
        <v>82</v>
      </c>
      <c r="H127" s="11" t="s">
        <v>83</v>
      </c>
      <c r="I127" s="7">
        <v>32.5</v>
      </c>
      <c r="J127" s="15">
        <v>10.345071300973197</v>
      </c>
      <c r="K127" s="7">
        <v>3</v>
      </c>
      <c r="L127" s="7">
        <v>10</v>
      </c>
      <c r="M127" s="7"/>
      <c r="N127" s="12" t="s">
        <v>20</v>
      </c>
      <c r="O127" s="12" t="s">
        <v>16</v>
      </c>
      <c r="P127" s="57" t="str">
        <f t="shared" si="3"/>
        <v>un fuste</v>
      </c>
      <c r="Q127">
        <f t="shared" si="4"/>
        <v>10</v>
      </c>
      <c r="R127">
        <f t="shared" si="5"/>
        <v>10</v>
      </c>
      <c r="S127">
        <v>6</v>
      </c>
      <c r="T127" t="s">
        <v>270</v>
      </c>
      <c r="U127">
        <v>5.1243776178304466E-2</v>
      </c>
    </row>
    <row r="128" spans="1:21" x14ac:dyDescent="0.25">
      <c r="A128" s="7">
        <v>3</v>
      </c>
      <c r="B128" s="7">
        <v>5</v>
      </c>
      <c r="C128" s="8"/>
      <c r="D128" s="8">
        <v>30</v>
      </c>
      <c r="E128" s="8">
        <v>30</v>
      </c>
      <c r="F128" s="9" t="s">
        <v>43</v>
      </c>
      <c r="G128" s="10" t="s">
        <v>46</v>
      </c>
      <c r="H128" s="11" t="s">
        <v>47</v>
      </c>
      <c r="I128" s="7"/>
      <c r="J128" s="7"/>
      <c r="K128" s="7"/>
      <c r="L128" s="7">
        <v>0.3</v>
      </c>
      <c r="M128" s="7" t="e">
        <v>#REF!</v>
      </c>
      <c r="N128" s="12"/>
      <c r="O128" s="12" t="s">
        <v>16</v>
      </c>
      <c r="P128" s="57" t="str">
        <f t="shared" si="3"/>
        <v>un fuste</v>
      </c>
      <c r="Q128">
        <f t="shared" si="4"/>
        <v>2.5</v>
      </c>
      <c r="R128">
        <f t="shared" si="5"/>
        <v>5</v>
      </c>
    </row>
    <row r="129" spans="1:21" x14ac:dyDescent="0.25">
      <c r="A129" s="7">
        <v>4</v>
      </c>
      <c r="B129" s="7">
        <v>5</v>
      </c>
      <c r="C129" s="8"/>
      <c r="D129" s="8">
        <v>1</v>
      </c>
      <c r="E129" s="8">
        <v>1</v>
      </c>
      <c r="F129" s="9" t="s">
        <v>26</v>
      </c>
      <c r="G129" s="10" t="s">
        <v>143</v>
      </c>
      <c r="H129" s="11" t="s">
        <v>144</v>
      </c>
      <c r="I129" s="7"/>
      <c r="J129" s="7"/>
      <c r="K129" s="7"/>
      <c r="L129" s="8">
        <v>1.3</v>
      </c>
      <c r="M129" s="7" t="e">
        <v>#REF!</v>
      </c>
      <c r="N129" s="12"/>
      <c r="O129" s="12"/>
      <c r="P129" s="57" t="str">
        <f t="shared" si="3"/>
        <v>un fuste</v>
      </c>
      <c r="Q129">
        <f t="shared" si="4"/>
        <v>2.5</v>
      </c>
      <c r="R129">
        <f t="shared" si="5"/>
        <v>5</v>
      </c>
    </row>
    <row r="130" spans="1:21" x14ac:dyDescent="0.25">
      <c r="A130" s="7">
        <v>11</v>
      </c>
      <c r="B130" s="7">
        <v>100</v>
      </c>
      <c r="C130" s="8">
        <v>2</v>
      </c>
      <c r="D130" s="8">
        <v>17</v>
      </c>
      <c r="E130" s="8">
        <v>17</v>
      </c>
      <c r="F130" s="9" t="s">
        <v>81</v>
      </c>
      <c r="G130" s="13" t="s">
        <v>82</v>
      </c>
      <c r="H130" s="14" t="s">
        <v>83</v>
      </c>
      <c r="I130" s="7">
        <v>20</v>
      </c>
      <c r="J130" s="15">
        <v>6.366197723675814</v>
      </c>
      <c r="K130" s="7">
        <v>6</v>
      </c>
      <c r="L130" s="8">
        <v>10</v>
      </c>
      <c r="M130" s="7"/>
      <c r="N130" s="12" t="s">
        <v>20</v>
      </c>
      <c r="O130" s="12" t="s">
        <v>16</v>
      </c>
      <c r="P130" s="57" t="str">
        <f t="shared" si="3"/>
        <v>un fuste</v>
      </c>
      <c r="Q130">
        <f t="shared" si="4"/>
        <v>10</v>
      </c>
      <c r="R130">
        <f t="shared" si="5"/>
        <v>5</v>
      </c>
    </row>
    <row r="131" spans="1:21" x14ac:dyDescent="0.25">
      <c r="A131" s="7">
        <v>4</v>
      </c>
      <c r="B131" s="7">
        <v>500</v>
      </c>
      <c r="C131" s="7">
        <v>2</v>
      </c>
      <c r="D131" s="8">
        <v>18</v>
      </c>
      <c r="E131" s="8">
        <v>18</v>
      </c>
      <c r="F131" s="9" t="s">
        <v>81</v>
      </c>
      <c r="G131" s="13" t="s">
        <v>82</v>
      </c>
      <c r="H131" s="11" t="s">
        <v>83</v>
      </c>
      <c r="I131" s="7">
        <v>71</v>
      </c>
      <c r="J131" s="15">
        <v>22.600001919049138</v>
      </c>
      <c r="K131" s="7">
        <v>6</v>
      </c>
      <c r="L131" s="7">
        <v>12</v>
      </c>
      <c r="M131" s="7"/>
      <c r="N131" s="12" t="s">
        <v>29</v>
      </c>
      <c r="O131" s="12" t="s">
        <v>145</v>
      </c>
      <c r="P131" s="57" t="str">
        <f t="shared" ref="P131:P194" si="6">IF((D131/D131)=1,"un fuste","bifurcado")</f>
        <v>un fuste</v>
      </c>
      <c r="Q131">
        <f t="shared" ref="Q131:Q194" si="7">IF(L131&lt;3.75,2.5,IF(L131&lt;6.25,5,IF(L131&lt;8.74,7.5,IF(L131&lt;11.24,10,IF(L131&lt;13.75,12.5,IF(L131&lt;16.25,15,IF(L131&lt;18.75,17.5,IF(L131&lt;21.25,20,IF(L131&lt;23.75,22.5,IF(L131&lt;26.25,25,IF(L131&lt;28.75,27.5,IF(L131&lt;31.25,30,IF(L131&lt;33.75,32.5,IF(L131&lt;36.25,35,IF(L131&lt;38.75,37.5,IF(L131&lt;41.24,40,IF(L131&lt;43.75,42.5,IF(L131&lt;46.25,45," "))))))))))))))))))</f>
        <v>12.5</v>
      </c>
      <c r="R131">
        <f t="shared" ref="R131:R194" si="8">IF(J131&lt;7.5,5,IF(J131&lt;12.5,10,IF(J131&lt;17.5,15,IF(J131&lt;22.5,20,IF(J131&lt;27.5,25,IF(J131&lt;32.5,30,IF(J131&lt;37.5,35,IF(J131&lt;42.5,40,IF(J131&lt;47.5,45,IF(J131&lt;52.5,50,IF(J131&lt;57.5,55,0)))))))))))</f>
        <v>25</v>
      </c>
      <c r="S131">
        <v>6</v>
      </c>
      <c r="T131" t="s">
        <v>270</v>
      </c>
      <c r="U131">
        <v>0.27357901184777428</v>
      </c>
    </row>
    <row r="132" spans="1:21" x14ac:dyDescent="0.25">
      <c r="A132" s="7">
        <v>9</v>
      </c>
      <c r="B132" s="7">
        <v>500</v>
      </c>
      <c r="C132" s="7">
        <v>4</v>
      </c>
      <c r="D132" s="8">
        <v>18</v>
      </c>
      <c r="E132" s="7">
        <v>18</v>
      </c>
      <c r="F132" s="9" t="s">
        <v>81</v>
      </c>
      <c r="G132" s="10" t="s">
        <v>82</v>
      </c>
      <c r="H132" s="11" t="s">
        <v>83</v>
      </c>
      <c r="I132" s="7">
        <v>33.5</v>
      </c>
      <c r="J132" s="15">
        <v>10.663381187156988</v>
      </c>
      <c r="K132" s="7">
        <v>6</v>
      </c>
      <c r="L132" s="7">
        <v>10</v>
      </c>
      <c r="M132" s="7"/>
      <c r="N132" s="12" t="s">
        <v>29</v>
      </c>
      <c r="O132" s="12" t="s">
        <v>16</v>
      </c>
      <c r="P132" s="57" t="str">
        <f t="shared" si="6"/>
        <v>un fuste</v>
      </c>
      <c r="Q132">
        <f t="shared" si="7"/>
        <v>10</v>
      </c>
      <c r="R132">
        <f t="shared" si="8"/>
        <v>10</v>
      </c>
      <c r="S132">
        <v>6</v>
      </c>
      <c r="T132" t="s">
        <v>270</v>
      </c>
      <c r="U132">
        <v>5.4292893590092241E-2</v>
      </c>
    </row>
    <row r="133" spans="1:21" x14ac:dyDescent="0.25">
      <c r="A133" s="7">
        <v>4</v>
      </c>
      <c r="B133" s="7">
        <v>500</v>
      </c>
      <c r="C133" s="7">
        <v>2</v>
      </c>
      <c r="D133" s="8" t="s">
        <v>163</v>
      </c>
      <c r="E133" s="7">
        <v>19</v>
      </c>
      <c r="F133" s="9" t="s">
        <v>81</v>
      </c>
      <c r="G133" s="13" t="s">
        <v>82</v>
      </c>
      <c r="H133" s="14" t="s">
        <v>83</v>
      </c>
      <c r="I133" s="7">
        <v>49</v>
      </c>
      <c r="J133" s="15">
        <v>15.597184423005743</v>
      </c>
      <c r="K133" s="7">
        <v>1.8</v>
      </c>
      <c r="L133" s="7">
        <v>10</v>
      </c>
      <c r="M133" s="7"/>
      <c r="N133" s="12" t="s">
        <v>20</v>
      </c>
      <c r="O133" s="12" t="s">
        <v>16</v>
      </c>
      <c r="P133" s="31" t="e">
        <f t="shared" si="6"/>
        <v>#VALUE!</v>
      </c>
      <c r="Q133">
        <f t="shared" si="7"/>
        <v>10</v>
      </c>
      <c r="R133">
        <f t="shared" si="8"/>
        <v>15</v>
      </c>
      <c r="S133">
        <v>6</v>
      </c>
      <c r="T133" t="s">
        <v>270</v>
      </c>
      <c r="U133">
        <v>0.1121305426632917</v>
      </c>
    </row>
    <row r="134" spans="1:21" x14ac:dyDescent="0.25">
      <c r="A134" s="7">
        <v>9</v>
      </c>
      <c r="B134" s="7">
        <v>500</v>
      </c>
      <c r="C134" s="7">
        <v>4</v>
      </c>
      <c r="D134" s="8" t="s">
        <v>163</v>
      </c>
      <c r="E134" s="7">
        <v>19</v>
      </c>
      <c r="F134" s="9" t="s">
        <v>81</v>
      </c>
      <c r="G134" s="10" t="s">
        <v>82</v>
      </c>
      <c r="H134" s="11" t="s">
        <v>83</v>
      </c>
      <c r="I134" s="7">
        <v>50.5</v>
      </c>
      <c r="J134" s="15">
        <v>16.074649252281429</v>
      </c>
      <c r="K134" s="7">
        <v>3</v>
      </c>
      <c r="L134" s="7">
        <v>12</v>
      </c>
      <c r="M134" s="7"/>
      <c r="N134" s="12" t="s">
        <v>20</v>
      </c>
      <c r="O134" s="12" t="s">
        <v>16</v>
      </c>
      <c r="P134" s="31" t="e">
        <f t="shared" si="6"/>
        <v>#VALUE!</v>
      </c>
      <c r="Q134">
        <f t="shared" si="7"/>
        <v>12.5</v>
      </c>
      <c r="R134">
        <f t="shared" si="8"/>
        <v>15</v>
      </c>
      <c r="S134">
        <v>6</v>
      </c>
      <c r="T134" t="s">
        <v>270</v>
      </c>
      <c r="U134">
        <v>0.1428486706678897</v>
      </c>
    </row>
    <row r="135" spans="1:21" x14ac:dyDescent="0.25">
      <c r="A135" s="7">
        <v>9</v>
      </c>
      <c r="B135" s="7">
        <v>100</v>
      </c>
      <c r="C135" s="7">
        <v>2</v>
      </c>
      <c r="D135" s="8">
        <v>20</v>
      </c>
      <c r="E135" s="8">
        <v>20</v>
      </c>
      <c r="F135" s="9" t="s">
        <v>81</v>
      </c>
      <c r="G135" s="10" t="s">
        <v>82</v>
      </c>
      <c r="H135" s="11" t="s">
        <v>83</v>
      </c>
      <c r="I135" s="7">
        <v>16</v>
      </c>
      <c r="J135" s="15">
        <v>5.0929581789406511</v>
      </c>
      <c r="K135" s="7">
        <v>5</v>
      </c>
      <c r="L135" s="7">
        <v>8</v>
      </c>
      <c r="M135" s="7"/>
      <c r="N135" s="12" t="s">
        <v>20</v>
      </c>
      <c r="O135" s="12" t="s">
        <v>16</v>
      </c>
      <c r="P135" s="57" t="str">
        <f t="shared" si="6"/>
        <v>un fuste</v>
      </c>
      <c r="Q135">
        <f t="shared" si="7"/>
        <v>7.5</v>
      </c>
      <c r="R135">
        <f t="shared" si="8"/>
        <v>5</v>
      </c>
    </row>
    <row r="136" spans="1:21" x14ac:dyDescent="0.25">
      <c r="A136" s="7">
        <v>9</v>
      </c>
      <c r="B136" s="7">
        <v>100</v>
      </c>
      <c r="C136" s="8">
        <v>2</v>
      </c>
      <c r="D136" s="8">
        <v>21</v>
      </c>
      <c r="E136" s="8">
        <v>21</v>
      </c>
      <c r="F136" s="17" t="s">
        <v>81</v>
      </c>
      <c r="G136" s="10" t="s">
        <v>82</v>
      </c>
      <c r="H136" s="11" t="s">
        <v>83</v>
      </c>
      <c r="I136" s="7">
        <v>21</v>
      </c>
      <c r="J136" s="15">
        <v>6.6845076098596046</v>
      </c>
      <c r="K136" s="7">
        <v>7.5</v>
      </c>
      <c r="L136" s="8">
        <v>10</v>
      </c>
      <c r="M136" s="7"/>
      <c r="N136" s="12" t="s">
        <v>20</v>
      </c>
      <c r="O136" s="12" t="s">
        <v>16</v>
      </c>
      <c r="P136" s="57" t="str">
        <f t="shared" si="6"/>
        <v>un fuste</v>
      </c>
      <c r="Q136">
        <f t="shared" si="7"/>
        <v>10</v>
      </c>
      <c r="R136">
        <f t="shared" si="8"/>
        <v>5</v>
      </c>
    </row>
    <row r="137" spans="1:21" x14ac:dyDescent="0.25">
      <c r="A137" s="7">
        <v>8</v>
      </c>
      <c r="B137" s="7">
        <v>100</v>
      </c>
      <c r="C137" s="7">
        <v>4</v>
      </c>
      <c r="D137" s="8">
        <v>23</v>
      </c>
      <c r="E137" s="8">
        <v>23</v>
      </c>
      <c r="F137" s="9" t="s">
        <v>81</v>
      </c>
      <c r="G137" s="10" t="s">
        <v>82</v>
      </c>
      <c r="H137" s="11" t="s">
        <v>83</v>
      </c>
      <c r="I137" s="7">
        <v>18</v>
      </c>
      <c r="J137" s="15">
        <v>5.7295779513082321</v>
      </c>
      <c r="K137" s="7">
        <v>8</v>
      </c>
      <c r="L137" s="7">
        <v>9</v>
      </c>
      <c r="M137" s="7"/>
      <c r="N137" s="12" t="s">
        <v>20</v>
      </c>
      <c r="O137" s="12" t="s">
        <v>16</v>
      </c>
      <c r="P137" s="57" t="str">
        <f t="shared" si="6"/>
        <v>un fuste</v>
      </c>
      <c r="Q137">
        <f t="shared" si="7"/>
        <v>10</v>
      </c>
      <c r="R137">
        <f t="shared" si="8"/>
        <v>5</v>
      </c>
    </row>
    <row r="138" spans="1:21" x14ac:dyDescent="0.25">
      <c r="A138" s="7">
        <v>2</v>
      </c>
      <c r="B138" s="7">
        <v>500</v>
      </c>
      <c r="C138" s="8">
        <v>2</v>
      </c>
      <c r="D138" s="8">
        <v>23</v>
      </c>
      <c r="E138" s="8">
        <v>24</v>
      </c>
      <c r="F138" s="17" t="s">
        <v>81</v>
      </c>
      <c r="G138" s="10" t="s">
        <v>82</v>
      </c>
      <c r="H138" s="11" t="s">
        <v>83</v>
      </c>
      <c r="I138" s="7">
        <v>60</v>
      </c>
      <c r="J138" s="15">
        <v>19.098593171027442</v>
      </c>
      <c r="K138" s="7">
        <v>7</v>
      </c>
      <c r="L138" s="7">
        <v>13</v>
      </c>
      <c r="M138" s="7"/>
      <c r="N138" s="12" t="s">
        <v>20</v>
      </c>
      <c r="O138" s="12" t="s">
        <v>16</v>
      </c>
      <c r="P138" s="57" t="str">
        <f t="shared" si="6"/>
        <v>un fuste</v>
      </c>
      <c r="Q138">
        <f t="shared" si="7"/>
        <v>12.5</v>
      </c>
      <c r="R138">
        <f t="shared" si="8"/>
        <v>20</v>
      </c>
      <c r="S138">
        <v>6</v>
      </c>
      <c r="T138" t="s">
        <v>270</v>
      </c>
      <c r="U138">
        <v>0.21520384868480516</v>
      </c>
    </row>
    <row r="139" spans="1:21" x14ac:dyDescent="0.25">
      <c r="A139" s="7">
        <v>7</v>
      </c>
      <c r="B139" s="7">
        <v>500</v>
      </c>
      <c r="C139" s="8">
        <v>3</v>
      </c>
      <c r="D139" s="8">
        <v>29</v>
      </c>
      <c r="E139" s="8">
        <v>32</v>
      </c>
      <c r="F139" s="17" t="s">
        <v>81</v>
      </c>
      <c r="G139" s="18" t="s">
        <v>82</v>
      </c>
      <c r="H139" s="11" t="s">
        <v>83</v>
      </c>
      <c r="I139" s="7">
        <v>58</v>
      </c>
      <c r="J139" s="15">
        <v>18.461973398659861</v>
      </c>
      <c r="K139" s="7">
        <v>8</v>
      </c>
      <c r="L139" s="8">
        <v>15</v>
      </c>
      <c r="M139" s="7"/>
      <c r="N139" s="12" t="s">
        <v>20</v>
      </c>
      <c r="O139" s="12" t="s">
        <v>16</v>
      </c>
      <c r="P139" s="57" t="str">
        <f t="shared" si="6"/>
        <v>un fuste</v>
      </c>
      <c r="Q139">
        <f t="shared" si="7"/>
        <v>15</v>
      </c>
      <c r="R139">
        <f t="shared" si="8"/>
        <v>20</v>
      </c>
      <c r="S139">
        <v>6</v>
      </c>
      <c r="T139" t="s">
        <v>270</v>
      </c>
      <c r="U139">
        <v>0.2331839026431152</v>
      </c>
    </row>
    <row r="140" spans="1:21" x14ac:dyDescent="0.25">
      <c r="A140" s="7">
        <v>1</v>
      </c>
      <c r="B140" s="7">
        <v>500</v>
      </c>
      <c r="C140" s="7">
        <v>4</v>
      </c>
      <c r="D140" s="8">
        <v>31</v>
      </c>
      <c r="E140" s="7">
        <v>34</v>
      </c>
      <c r="F140" s="17" t="s">
        <v>81</v>
      </c>
      <c r="G140" s="10" t="s">
        <v>82</v>
      </c>
      <c r="H140" s="11" t="s">
        <v>83</v>
      </c>
      <c r="I140" s="7">
        <v>42</v>
      </c>
      <c r="J140" s="15">
        <v>13.369015219719209</v>
      </c>
      <c r="K140" s="7">
        <v>8</v>
      </c>
      <c r="L140" s="7">
        <v>12</v>
      </c>
      <c r="M140" s="7"/>
      <c r="N140" s="12" t="s">
        <v>20</v>
      </c>
      <c r="O140" s="12" t="s">
        <v>16</v>
      </c>
      <c r="P140" s="57" t="str">
        <f t="shared" si="6"/>
        <v>un fuste</v>
      </c>
      <c r="Q140">
        <f t="shared" si="7"/>
        <v>12.5</v>
      </c>
      <c r="R140">
        <f t="shared" si="8"/>
        <v>15</v>
      </c>
      <c r="S140">
        <v>6</v>
      </c>
      <c r="T140" t="s">
        <v>270</v>
      </c>
      <c r="U140">
        <v>0.10051197058404412</v>
      </c>
    </row>
    <row r="141" spans="1:21" x14ac:dyDescent="0.25">
      <c r="A141" s="7">
        <v>9</v>
      </c>
      <c r="B141" s="7">
        <v>100</v>
      </c>
      <c r="C141" s="7">
        <v>3</v>
      </c>
      <c r="D141" s="8">
        <v>34</v>
      </c>
      <c r="E141" s="8">
        <v>34</v>
      </c>
      <c r="F141" s="9" t="s">
        <v>81</v>
      </c>
      <c r="G141" s="10" t="s">
        <v>82</v>
      </c>
      <c r="H141" s="11" t="s">
        <v>83</v>
      </c>
      <c r="I141" s="7">
        <v>25.5</v>
      </c>
      <c r="J141" s="15">
        <v>8.1169020976866619</v>
      </c>
      <c r="K141" s="7">
        <v>7.5</v>
      </c>
      <c r="L141" s="7">
        <v>9</v>
      </c>
      <c r="M141" s="7"/>
      <c r="N141" s="12" t="s">
        <v>20</v>
      </c>
      <c r="O141" s="12" t="s">
        <v>16</v>
      </c>
      <c r="P141" s="57" t="str">
        <f t="shared" si="6"/>
        <v>un fuste</v>
      </c>
      <c r="Q141">
        <f t="shared" si="7"/>
        <v>10</v>
      </c>
      <c r="R141">
        <f t="shared" si="8"/>
        <v>10</v>
      </c>
    </row>
    <row r="142" spans="1:21" x14ac:dyDescent="0.25">
      <c r="A142" s="7">
        <v>2</v>
      </c>
      <c r="B142" s="7">
        <v>500</v>
      </c>
      <c r="C142" s="8">
        <v>3</v>
      </c>
      <c r="D142" s="8">
        <v>41</v>
      </c>
      <c r="E142" s="8">
        <v>43</v>
      </c>
      <c r="F142" s="9" t="s">
        <v>81</v>
      </c>
      <c r="G142" s="10" t="s">
        <v>82</v>
      </c>
      <c r="H142" s="11" t="s">
        <v>83</v>
      </c>
      <c r="I142" s="7">
        <v>92</v>
      </c>
      <c r="J142" s="15">
        <v>29.284509528908742</v>
      </c>
      <c r="K142" s="7">
        <v>8</v>
      </c>
      <c r="L142" s="8">
        <v>13</v>
      </c>
      <c r="M142" s="7"/>
      <c r="N142" s="12" t="s">
        <v>20</v>
      </c>
      <c r="O142" s="12" t="s">
        <v>16</v>
      </c>
      <c r="P142" s="57" t="str">
        <f t="shared" si="6"/>
        <v>un fuste</v>
      </c>
      <c r="Q142">
        <f t="shared" si="7"/>
        <v>12.5</v>
      </c>
      <c r="R142">
        <f t="shared" si="8"/>
        <v>30</v>
      </c>
      <c r="S142">
        <v>6</v>
      </c>
      <c r="T142" t="s">
        <v>270</v>
      </c>
      <c r="U142">
        <v>0.48629644019637369</v>
      </c>
    </row>
    <row r="143" spans="1:21" x14ac:dyDescent="0.25">
      <c r="A143" s="7">
        <v>2</v>
      </c>
      <c r="B143" s="7">
        <v>500</v>
      </c>
      <c r="C143" s="8">
        <v>3</v>
      </c>
      <c r="D143" s="8">
        <v>42</v>
      </c>
      <c r="E143" s="8">
        <v>44</v>
      </c>
      <c r="F143" s="9" t="s">
        <v>81</v>
      </c>
      <c r="G143" s="13" t="s">
        <v>82</v>
      </c>
      <c r="H143" s="11" t="s">
        <v>83</v>
      </c>
      <c r="I143" s="7">
        <v>102</v>
      </c>
      <c r="J143" s="15">
        <v>32.467608390746648</v>
      </c>
      <c r="K143" s="7">
        <v>3</v>
      </c>
      <c r="L143" s="7">
        <v>13</v>
      </c>
      <c r="M143" s="7"/>
      <c r="N143" s="12" t="s">
        <v>20</v>
      </c>
      <c r="O143" s="12" t="s">
        <v>16</v>
      </c>
      <c r="P143" s="57" t="str">
        <f t="shared" si="6"/>
        <v>un fuste</v>
      </c>
      <c r="Q143">
        <f t="shared" si="7"/>
        <v>12.5</v>
      </c>
      <c r="R143">
        <f t="shared" si="8"/>
        <v>30</v>
      </c>
      <c r="S143">
        <v>6</v>
      </c>
      <c r="T143" t="s">
        <v>270</v>
      </c>
      <c r="U143">
        <v>0.59206364581031623</v>
      </c>
    </row>
    <row r="144" spans="1:21" x14ac:dyDescent="0.25">
      <c r="A144" s="7">
        <v>4</v>
      </c>
      <c r="B144" s="7">
        <v>500</v>
      </c>
      <c r="C144" s="8">
        <v>4</v>
      </c>
      <c r="D144" s="8">
        <v>44</v>
      </c>
      <c r="E144" s="8">
        <v>46</v>
      </c>
      <c r="F144" s="9" t="s">
        <v>81</v>
      </c>
      <c r="G144" s="13" t="s">
        <v>82</v>
      </c>
      <c r="H144" s="11" t="s">
        <v>83</v>
      </c>
      <c r="I144" s="7">
        <v>81</v>
      </c>
      <c r="J144" s="15">
        <v>25.783100780887047</v>
      </c>
      <c r="K144" s="7">
        <v>2.5</v>
      </c>
      <c r="L144" s="7">
        <v>12</v>
      </c>
      <c r="M144" s="7"/>
      <c r="N144" s="12" t="s">
        <v>20</v>
      </c>
      <c r="O144" s="12" t="s">
        <v>16</v>
      </c>
      <c r="P144" s="57" t="str">
        <f t="shared" si="6"/>
        <v>un fuste</v>
      </c>
      <c r="Q144">
        <f t="shared" si="7"/>
        <v>12.5</v>
      </c>
      <c r="R144">
        <f t="shared" si="8"/>
        <v>25</v>
      </c>
      <c r="S144">
        <v>6</v>
      </c>
      <c r="T144" t="s">
        <v>270</v>
      </c>
      <c r="U144">
        <v>0.35174425764411343</v>
      </c>
    </row>
    <row r="145" spans="1:21" x14ac:dyDescent="0.25">
      <c r="A145" s="7">
        <v>4</v>
      </c>
      <c r="B145" s="7">
        <v>500</v>
      </c>
      <c r="C145" s="8">
        <v>4</v>
      </c>
      <c r="D145" s="8">
        <v>47</v>
      </c>
      <c r="E145" s="8">
        <v>49</v>
      </c>
      <c r="F145" s="9" t="s">
        <v>81</v>
      </c>
      <c r="G145" s="10" t="s">
        <v>82</v>
      </c>
      <c r="H145" s="11" t="s">
        <v>83</v>
      </c>
      <c r="I145" s="7">
        <v>36</v>
      </c>
      <c r="J145" s="15">
        <v>11.459155902616464</v>
      </c>
      <c r="K145" s="7">
        <v>6</v>
      </c>
      <c r="L145" s="8">
        <v>12</v>
      </c>
      <c r="M145" s="7"/>
      <c r="N145" s="12" t="s">
        <v>20</v>
      </c>
      <c r="O145" s="12" t="s">
        <v>16</v>
      </c>
      <c r="P145" s="57" t="str">
        <f t="shared" si="6"/>
        <v>un fuste</v>
      </c>
      <c r="Q145">
        <f t="shared" si="7"/>
        <v>12.5</v>
      </c>
      <c r="R145">
        <f t="shared" si="8"/>
        <v>10</v>
      </c>
      <c r="S145">
        <v>6</v>
      </c>
      <c r="T145" t="s">
        <v>270</v>
      </c>
      <c r="U145">
        <v>7.49091856120465E-2</v>
      </c>
    </row>
    <row r="146" spans="1:21" x14ac:dyDescent="0.25">
      <c r="A146" s="7">
        <v>2</v>
      </c>
      <c r="B146" s="7">
        <v>500</v>
      </c>
      <c r="C146" s="7">
        <v>4</v>
      </c>
      <c r="D146" s="8">
        <v>49</v>
      </c>
      <c r="E146" s="7">
        <v>53</v>
      </c>
      <c r="F146" s="9" t="s">
        <v>81</v>
      </c>
      <c r="G146" s="13" t="s">
        <v>82</v>
      </c>
      <c r="H146" s="11" t="s">
        <v>83</v>
      </c>
      <c r="I146" s="7">
        <v>134</v>
      </c>
      <c r="J146" s="15">
        <v>42.653524748627952</v>
      </c>
      <c r="K146" s="7">
        <v>5.5</v>
      </c>
      <c r="L146" s="7">
        <v>13</v>
      </c>
      <c r="M146" s="7"/>
      <c r="N146" s="12" t="s">
        <v>29</v>
      </c>
      <c r="O146" s="12" t="s">
        <v>16</v>
      </c>
      <c r="P146" s="57" t="str">
        <f t="shared" si="6"/>
        <v>un fuste</v>
      </c>
      <c r="Q146">
        <f t="shared" si="7"/>
        <v>12.5</v>
      </c>
      <c r="R146">
        <f t="shared" si="8"/>
        <v>45</v>
      </c>
      <c r="S146">
        <v>6</v>
      </c>
      <c r="T146" t="s">
        <v>270</v>
      </c>
      <c r="U146">
        <v>0.99628501018515359</v>
      </c>
    </row>
    <row r="147" spans="1:21" x14ac:dyDescent="0.25">
      <c r="A147" s="7">
        <v>8</v>
      </c>
      <c r="B147" s="7">
        <v>500</v>
      </c>
      <c r="C147" s="8">
        <v>4</v>
      </c>
      <c r="D147" s="8">
        <v>48</v>
      </c>
      <c r="E147" s="8">
        <v>53</v>
      </c>
      <c r="F147" s="9" t="s">
        <v>81</v>
      </c>
      <c r="G147" s="10" t="s">
        <v>82</v>
      </c>
      <c r="H147" s="11" t="s">
        <v>83</v>
      </c>
      <c r="I147" s="7">
        <v>61</v>
      </c>
      <c r="J147" s="15">
        <v>19.416903057211233</v>
      </c>
      <c r="K147" s="7">
        <v>3</v>
      </c>
      <c r="L147" s="7">
        <v>12</v>
      </c>
      <c r="M147" s="7"/>
      <c r="N147" s="12" t="s">
        <v>20</v>
      </c>
      <c r="O147" s="12" t="s">
        <v>16</v>
      </c>
      <c r="P147" s="57" t="str">
        <f t="shared" si="6"/>
        <v>un fuste</v>
      </c>
      <c r="Q147">
        <f t="shared" si="7"/>
        <v>12.5</v>
      </c>
      <c r="R147">
        <f t="shared" si="8"/>
        <v>20</v>
      </c>
      <c r="S147">
        <v>6</v>
      </c>
      <c r="T147" t="s">
        <v>270</v>
      </c>
      <c r="U147">
        <v>0.20480575104841942</v>
      </c>
    </row>
    <row r="148" spans="1:21" x14ac:dyDescent="0.25">
      <c r="A148" s="7">
        <v>2</v>
      </c>
      <c r="B148" s="7">
        <v>500</v>
      </c>
      <c r="C148" s="8">
        <v>4</v>
      </c>
      <c r="D148" s="8" t="s">
        <v>118</v>
      </c>
      <c r="E148" s="8">
        <v>54</v>
      </c>
      <c r="F148" s="9" t="s">
        <v>81</v>
      </c>
      <c r="G148" s="13" t="s">
        <v>82</v>
      </c>
      <c r="H148" s="11" t="s">
        <v>83</v>
      </c>
      <c r="I148" s="8">
        <v>80</v>
      </c>
      <c r="J148" s="15">
        <v>25.464790894703256</v>
      </c>
      <c r="K148" s="8">
        <v>5.5</v>
      </c>
      <c r="L148" s="8">
        <v>13</v>
      </c>
      <c r="M148" s="7"/>
      <c r="N148" s="12" t="s">
        <v>20</v>
      </c>
      <c r="O148" s="12" t="s">
        <v>16</v>
      </c>
      <c r="P148" s="31" t="e">
        <f t="shared" si="6"/>
        <v>#VALUE!</v>
      </c>
      <c r="Q148">
        <f t="shared" si="7"/>
        <v>12.5</v>
      </c>
      <c r="R148">
        <f t="shared" si="8"/>
        <v>25</v>
      </c>
      <c r="S148">
        <v>6</v>
      </c>
      <c r="T148" t="s">
        <v>270</v>
      </c>
      <c r="U148">
        <v>0.37250880446471862</v>
      </c>
    </row>
    <row r="149" spans="1:21" x14ac:dyDescent="0.25">
      <c r="A149" s="7">
        <v>8</v>
      </c>
      <c r="B149" s="7">
        <v>500</v>
      </c>
      <c r="C149" s="8">
        <v>4</v>
      </c>
      <c r="D149" s="8">
        <v>53</v>
      </c>
      <c r="E149" s="8">
        <v>58</v>
      </c>
      <c r="F149" s="9" t="s">
        <v>81</v>
      </c>
      <c r="G149" s="13" t="s">
        <v>82</v>
      </c>
      <c r="H149" s="11" t="s">
        <v>83</v>
      </c>
      <c r="I149" s="7">
        <v>41.5</v>
      </c>
      <c r="J149" s="15">
        <v>13.209860276627314</v>
      </c>
      <c r="K149" s="7">
        <v>4</v>
      </c>
      <c r="L149" s="7">
        <v>12</v>
      </c>
      <c r="M149" s="7"/>
      <c r="N149" s="12" t="s">
        <v>20</v>
      </c>
      <c r="O149" s="12" t="s">
        <v>16</v>
      </c>
      <c r="P149" s="57" t="str">
        <f t="shared" si="6"/>
        <v>un fuste</v>
      </c>
      <c r="Q149">
        <f t="shared" si="7"/>
        <v>12.5</v>
      </c>
      <c r="R149">
        <f t="shared" si="8"/>
        <v>15</v>
      </c>
      <c r="S149">
        <v>6</v>
      </c>
      <c r="T149" t="s">
        <v>270</v>
      </c>
      <c r="U149">
        <v>9.8242166574490863E-2</v>
      </c>
    </row>
    <row r="150" spans="1:21" x14ac:dyDescent="0.25">
      <c r="A150" s="7">
        <v>4</v>
      </c>
      <c r="B150" s="7">
        <v>500</v>
      </c>
      <c r="C150" s="8">
        <v>1</v>
      </c>
      <c r="D150" s="7">
        <v>1</v>
      </c>
      <c r="E150" s="7">
        <v>1</v>
      </c>
      <c r="F150" s="9" t="s">
        <v>81</v>
      </c>
      <c r="G150" s="13" t="s">
        <v>120</v>
      </c>
      <c r="H150" s="11" t="s">
        <v>121</v>
      </c>
      <c r="I150" s="7">
        <v>40</v>
      </c>
      <c r="J150" s="15">
        <v>12.732395447351628</v>
      </c>
      <c r="K150" s="7">
        <v>7.5</v>
      </c>
      <c r="L150" s="7">
        <v>11</v>
      </c>
      <c r="M150" s="7"/>
      <c r="N150" s="12" t="s">
        <v>20</v>
      </c>
      <c r="O150" s="12" t="s">
        <v>16</v>
      </c>
      <c r="P150" s="57" t="str">
        <f t="shared" si="6"/>
        <v>un fuste</v>
      </c>
      <c r="Q150">
        <f t="shared" si="7"/>
        <v>10</v>
      </c>
      <c r="R150">
        <f t="shared" si="8"/>
        <v>15</v>
      </c>
      <c r="S150">
        <v>17</v>
      </c>
      <c r="T150" t="s">
        <v>273</v>
      </c>
      <c r="U150">
        <v>8.76827716039211E-2</v>
      </c>
    </row>
    <row r="151" spans="1:21" x14ac:dyDescent="0.25">
      <c r="A151" s="7">
        <v>3</v>
      </c>
      <c r="B151" s="7">
        <v>100</v>
      </c>
      <c r="C151" s="8">
        <v>1</v>
      </c>
      <c r="D151" s="8">
        <v>1</v>
      </c>
      <c r="E151" s="8">
        <v>1</v>
      </c>
      <c r="F151" s="17" t="s">
        <v>81</v>
      </c>
      <c r="G151" s="10" t="s">
        <v>120</v>
      </c>
      <c r="H151" s="11" t="s">
        <v>121</v>
      </c>
      <c r="I151" s="7">
        <v>22.5</v>
      </c>
      <c r="J151" s="15">
        <v>7.1619724391352904</v>
      </c>
      <c r="K151" s="7">
        <v>3</v>
      </c>
      <c r="L151" s="8">
        <v>7</v>
      </c>
      <c r="M151" s="7"/>
      <c r="N151" s="12" t="s">
        <v>20</v>
      </c>
      <c r="O151" s="12" t="s">
        <v>16</v>
      </c>
      <c r="P151" s="57" t="str">
        <f t="shared" si="6"/>
        <v>un fuste</v>
      </c>
      <c r="Q151">
        <f t="shared" si="7"/>
        <v>7.5</v>
      </c>
      <c r="R151">
        <f t="shared" si="8"/>
        <v>5</v>
      </c>
    </row>
    <row r="152" spans="1:21" x14ac:dyDescent="0.25">
      <c r="A152" s="7">
        <v>4</v>
      </c>
      <c r="B152" s="7">
        <v>5</v>
      </c>
      <c r="C152" s="7"/>
      <c r="D152" s="8">
        <v>2</v>
      </c>
      <c r="E152" s="7">
        <v>2</v>
      </c>
      <c r="F152" s="9" t="s">
        <v>13</v>
      </c>
      <c r="G152" s="10" t="s">
        <v>14</v>
      </c>
      <c r="H152" s="11" t="s">
        <v>15</v>
      </c>
      <c r="I152" s="7"/>
      <c r="J152" s="7"/>
      <c r="K152" s="7"/>
      <c r="L152" s="7">
        <v>2.2999999999999998</v>
      </c>
      <c r="M152" s="7" t="e">
        <v>#REF!</v>
      </c>
      <c r="N152" s="12"/>
      <c r="O152" s="12"/>
      <c r="P152" s="57" t="str">
        <f t="shared" si="6"/>
        <v>un fuste</v>
      </c>
      <c r="Q152">
        <f t="shared" si="7"/>
        <v>2.5</v>
      </c>
      <c r="R152">
        <f t="shared" si="8"/>
        <v>5</v>
      </c>
    </row>
    <row r="153" spans="1:21" x14ac:dyDescent="0.25">
      <c r="A153" s="7">
        <v>4</v>
      </c>
      <c r="B153" s="7">
        <v>500</v>
      </c>
      <c r="C153" s="7">
        <v>1</v>
      </c>
      <c r="D153" s="8">
        <v>4</v>
      </c>
      <c r="E153" s="7">
        <v>4</v>
      </c>
      <c r="F153" s="9" t="s">
        <v>81</v>
      </c>
      <c r="G153" s="13" t="s">
        <v>120</v>
      </c>
      <c r="H153" s="11" t="s">
        <v>121</v>
      </c>
      <c r="I153" s="7">
        <v>33</v>
      </c>
      <c r="J153" s="15">
        <v>10.504226244065093</v>
      </c>
      <c r="K153" s="7">
        <v>2.5</v>
      </c>
      <c r="L153" s="7">
        <v>9</v>
      </c>
      <c r="M153" s="7"/>
      <c r="N153" s="12" t="s">
        <v>20</v>
      </c>
      <c r="O153" s="12" t="s">
        <v>145</v>
      </c>
      <c r="P153" s="57" t="str">
        <f t="shared" si="6"/>
        <v>un fuste</v>
      </c>
      <c r="Q153">
        <f t="shared" si="7"/>
        <v>10</v>
      </c>
      <c r="R153">
        <f t="shared" si="8"/>
        <v>10</v>
      </c>
      <c r="S153">
        <v>17</v>
      </c>
      <c r="T153" t="s">
        <v>273</v>
      </c>
      <c r="U153">
        <v>5.0284726807398025E-2</v>
      </c>
    </row>
    <row r="154" spans="1:21" x14ac:dyDescent="0.25">
      <c r="A154" s="7">
        <v>4</v>
      </c>
      <c r="B154" s="7">
        <v>500</v>
      </c>
      <c r="C154" s="7">
        <v>1</v>
      </c>
      <c r="D154" s="7">
        <v>6</v>
      </c>
      <c r="E154" s="7">
        <v>6</v>
      </c>
      <c r="F154" s="9" t="s">
        <v>81</v>
      </c>
      <c r="G154" s="13" t="s">
        <v>120</v>
      </c>
      <c r="H154" s="11" t="s">
        <v>121</v>
      </c>
      <c r="I154" s="7">
        <v>36</v>
      </c>
      <c r="J154" s="15">
        <v>11.459155902616464</v>
      </c>
      <c r="K154" s="7">
        <v>8</v>
      </c>
      <c r="L154" s="7">
        <v>12</v>
      </c>
      <c r="M154" s="7"/>
      <c r="N154" s="12" t="s">
        <v>20</v>
      </c>
      <c r="O154" s="12" t="s">
        <v>16</v>
      </c>
      <c r="P154" s="57" t="str">
        <f t="shared" si="6"/>
        <v>un fuste</v>
      </c>
      <c r="Q154">
        <f t="shared" si="7"/>
        <v>12.5</v>
      </c>
      <c r="R154">
        <f t="shared" si="8"/>
        <v>10</v>
      </c>
      <c r="S154">
        <v>17</v>
      </c>
      <c r="T154" t="s">
        <v>273</v>
      </c>
      <c r="U154">
        <v>7.9209562371578848E-2</v>
      </c>
    </row>
    <row r="155" spans="1:21" x14ac:dyDescent="0.25">
      <c r="A155" s="7">
        <v>9</v>
      </c>
      <c r="B155" s="7">
        <v>100</v>
      </c>
      <c r="C155" s="8">
        <v>1</v>
      </c>
      <c r="D155" s="8">
        <v>7</v>
      </c>
      <c r="E155" s="8">
        <v>7</v>
      </c>
      <c r="F155" s="9" t="s">
        <v>81</v>
      </c>
      <c r="G155" s="13" t="s">
        <v>120</v>
      </c>
      <c r="H155" s="11" t="s">
        <v>121</v>
      </c>
      <c r="I155" s="8">
        <v>23.5</v>
      </c>
      <c r="J155" s="15">
        <v>7.4802823253190809</v>
      </c>
      <c r="K155" s="8">
        <v>6</v>
      </c>
      <c r="L155" s="8">
        <v>12</v>
      </c>
      <c r="M155" s="7"/>
      <c r="N155" s="12" t="s">
        <v>20</v>
      </c>
      <c r="O155" s="12" t="s">
        <v>16</v>
      </c>
      <c r="P155" s="57" t="str">
        <f t="shared" si="6"/>
        <v>un fuste</v>
      </c>
      <c r="Q155">
        <f t="shared" si="7"/>
        <v>12.5</v>
      </c>
      <c r="R155">
        <f t="shared" si="8"/>
        <v>5</v>
      </c>
    </row>
    <row r="156" spans="1:21" x14ac:dyDescent="0.25">
      <c r="A156" s="7">
        <v>3</v>
      </c>
      <c r="B156" s="7">
        <v>500</v>
      </c>
      <c r="C156" s="7">
        <v>1</v>
      </c>
      <c r="D156" s="8">
        <v>9</v>
      </c>
      <c r="E156" s="7">
        <v>9</v>
      </c>
      <c r="F156" s="9" t="s">
        <v>81</v>
      </c>
      <c r="G156" s="10" t="s">
        <v>120</v>
      </c>
      <c r="H156" s="11" t="s">
        <v>121</v>
      </c>
      <c r="I156" s="7">
        <v>35.5</v>
      </c>
      <c r="J156" s="15">
        <v>11.300000959524569</v>
      </c>
      <c r="K156" s="7">
        <v>8</v>
      </c>
      <c r="L156" s="7">
        <v>10</v>
      </c>
      <c r="M156" s="7"/>
      <c r="N156" s="12" t="s">
        <v>20</v>
      </c>
      <c r="O156" s="12" t="s">
        <v>16</v>
      </c>
      <c r="P156" s="57" t="str">
        <f t="shared" si="6"/>
        <v>un fuste</v>
      </c>
      <c r="Q156">
        <f t="shared" si="7"/>
        <v>10</v>
      </c>
      <c r="R156">
        <f t="shared" si="8"/>
        <v>10</v>
      </c>
      <c r="S156">
        <v>17</v>
      </c>
      <c r="T156" t="s">
        <v>273</v>
      </c>
      <c r="U156">
        <v>6.3997395648830932E-2</v>
      </c>
    </row>
    <row r="157" spans="1:21" x14ac:dyDescent="0.25">
      <c r="A157" s="7">
        <v>6</v>
      </c>
      <c r="B157" s="7">
        <v>100</v>
      </c>
      <c r="C157" s="8">
        <v>2</v>
      </c>
      <c r="D157" s="8">
        <v>10</v>
      </c>
      <c r="E157" s="8">
        <v>10</v>
      </c>
      <c r="F157" s="9" t="s">
        <v>81</v>
      </c>
      <c r="G157" s="10" t="s">
        <v>120</v>
      </c>
      <c r="H157" s="11" t="s">
        <v>121</v>
      </c>
      <c r="I157" s="7">
        <v>22.5</v>
      </c>
      <c r="J157" s="15">
        <v>7.1619724391352904</v>
      </c>
      <c r="K157" s="7">
        <v>3</v>
      </c>
      <c r="L157" s="7">
        <v>9</v>
      </c>
      <c r="M157" s="7"/>
      <c r="N157" s="12" t="s">
        <v>20</v>
      </c>
      <c r="O157" s="12" t="s">
        <v>16</v>
      </c>
      <c r="P157" s="57" t="str">
        <f t="shared" si="6"/>
        <v>un fuste</v>
      </c>
      <c r="Q157">
        <f t="shared" si="7"/>
        <v>10</v>
      </c>
      <c r="R157">
        <f t="shared" si="8"/>
        <v>5</v>
      </c>
    </row>
    <row r="158" spans="1:21" x14ac:dyDescent="0.25">
      <c r="A158" s="7">
        <v>9</v>
      </c>
      <c r="B158" s="7">
        <v>100</v>
      </c>
      <c r="C158" s="8">
        <v>1</v>
      </c>
      <c r="D158" s="8">
        <v>11</v>
      </c>
      <c r="E158" s="8">
        <v>11</v>
      </c>
      <c r="F158" s="9" t="s">
        <v>81</v>
      </c>
      <c r="G158" s="10" t="s">
        <v>120</v>
      </c>
      <c r="H158" s="11" t="s">
        <v>121</v>
      </c>
      <c r="I158" s="7">
        <v>21.5</v>
      </c>
      <c r="J158" s="15">
        <v>6.8436625529514998</v>
      </c>
      <c r="K158" s="7">
        <v>8.5</v>
      </c>
      <c r="L158" s="7">
        <v>10</v>
      </c>
      <c r="M158" s="7"/>
      <c r="N158" s="12" t="s">
        <v>20</v>
      </c>
      <c r="O158" s="12" t="s">
        <v>16</v>
      </c>
      <c r="P158" s="57" t="str">
        <f t="shared" si="6"/>
        <v>un fuste</v>
      </c>
      <c r="Q158">
        <f t="shared" si="7"/>
        <v>10</v>
      </c>
      <c r="R158">
        <f t="shared" si="8"/>
        <v>5</v>
      </c>
    </row>
    <row r="159" spans="1:21" x14ac:dyDescent="0.25">
      <c r="A159" s="7">
        <v>3</v>
      </c>
      <c r="B159" s="7">
        <v>500</v>
      </c>
      <c r="C159" s="8">
        <v>1</v>
      </c>
      <c r="D159" s="8">
        <v>13</v>
      </c>
      <c r="E159" s="8">
        <v>13</v>
      </c>
      <c r="F159" s="9" t="s">
        <v>81</v>
      </c>
      <c r="G159" s="13" t="s">
        <v>120</v>
      </c>
      <c r="H159" s="11" t="s">
        <v>121</v>
      </c>
      <c r="I159" s="8">
        <v>60</v>
      </c>
      <c r="J159" s="15">
        <v>19.098593171027442</v>
      </c>
      <c r="K159" s="8">
        <v>5.5</v>
      </c>
      <c r="L159" s="8">
        <v>11</v>
      </c>
      <c r="M159" s="7"/>
      <c r="N159" s="12" t="s">
        <v>20</v>
      </c>
      <c r="O159" s="12" t="s">
        <v>16</v>
      </c>
      <c r="P159" s="57" t="str">
        <f t="shared" si="6"/>
        <v>un fuste</v>
      </c>
      <c r="Q159">
        <f t="shared" si="7"/>
        <v>10</v>
      </c>
      <c r="R159">
        <f t="shared" si="8"/>
        <v>20</v>
      </c>
      <c r="S159">
        <v>17</v>
      </c>
      <c r="T159" t="s">
        <v>273</v>
      </c>
      <c r="U159">
        <v>0.18306755828121885</v>
      </c>
    </row>
    <row r="160" spans="1:21" x14ac:dyDescent="0.25">
      <c r="A160" s="7">
        <v>3</v>
      </c>
      <c r="B160" s="7">
        <v>100</v>
      </c>
      <c r="C160" s="8">
        <v>3</v>
      </c>
      <c r="D160" s="8">
        <v>13</v>
      </c>
      <c r="E160" s="8">
        <v>13</v>
      </c>
      <c r="F160" s="9" t="s">
        <v>81</v>
      </c>
      <c r="G160" s="13" t="s">
        <v>120</v>
      </c>
      <c r="H160" s="14" t="s">
        <v>121</v>
      </c>
      <c r="I160" s="7">
        <v>19</v>
      </c>
      <c r="J160" s="15">
        <v>6.0478878374920226</v>
      </c>
      <c r="K160" s="7">
        <v>8</v>
      </c>
      <c r="L160" s="8">
        <v>9</v>
      </c>
      <c r="M160" s="7"/>
      <c r="N160" s="12" t="s">
        <v>20</v>
      </c>
      <c r="O160" s="12" t="s">
        <v>16</v>
      </c>
      <c r="P160" s="57" t="str">
        <f t="shared" si="6"/>
        <v>un fuste</v>
      </c>
      <c r="Q160">
        <f t="shared" si="7"/>
        <v>10</v>
      </c>
      <c r="R160">
        <f t="shared" si="8"/>
        <v>5</v>
      </c>
    </row>
    <row r="161" spans="1:21" x14ac:dyDescent="0.25">
      <c r="A161" s="7">
        <v>9</v>
      </c>
      <c r="B161" s="7">
        <v>100</v>
      </c>
      <c r="C161" s="7">
        <v>2</v>
      </c>
      <c r="D161" s="8">
        <v>13</v>
      </c>
      <c r="E161" s="7">
        <v>13</v>
      </c>
      <c r="F161" s="9" t="s">
        <v>81</v>
      </c>
      <c r="G161" s="10" t="s">
        <v>120</v>
      </c>
      <c r="H161" s="11" t="s">
        <v>121</v>
      </c>
      <c r="I161" s="7">
        <v>16</v>
      </c>
      <c r="J161" s="15">
        <v>5.0929581789406511</v>
      </c>
      <c r="K161" s="7">
        <v>6</v>
      </c>
      <c r="L161" s="7">
        <v>8</v>
      </c>
      <c r="M161" s="7"/>
      <c r="N161" s="12" t="s">
        <v>20</v>
      </c>
      <c r="O161" s="12" t="s">
        <v>16</v>
      </c>
      <c r="P161" s="57" t="str">
        <f t="shared" si="6"/>
        <v>un fuste</v>
      </c>
      <c r="Q161">
        <f t="shared" si="7"/>
        <v>7.5</v>
      </c>
      <c r="R161">
        <f t="shared" si="8"/>
        <v>5</v>
      </c>
    </row>
    <row r="162" spans="1:21" x14ac:dyDescent="0.25">
      <c r="A162" s="7">
        <v>3</v>
      </c>
      <c r="B162" s="7">
        <v>100</v>
      </c>
      <c r="C162" s="8">
        <v>3</v>
      </c>
      <c r="D162" s="8">
        <v>14</v>
      </c>
      <c r="E162" s="8">
        <v>14</v>
      </c>
      <c r="F162" s="9" t="s">
        <v>81</v>
      </c>
      <c r="G162" s="13" t="s">
        <v>120</v>
      </c>
      <c r="H162" s="11" t="s">
        <v>121</v>
      </c>
      <c r="I162" s="8">
        <v>16.5</v>
      </c>
      <c r="J162" s="15">
        <v>5.2521131220325463</v>
      </c>
      <c r="K162" s="8">
        <v>4</v>
      </c>
      <c r="L162" s="8">
        <v>6</v>
      </c>
      <c r="M162" s="7"/>
      <c r="N162" s="12" t="s">
        <v>20</v>
      </c>
      <c r="O162" s="12" t="s">
        <v>16</v>
      </c>
      <c r="P162" s="57" t="str">
        <f t="shared" si="6"/>
        <v>un fuste</v>
      </c>
      <c r="Q162">
        <f t="shared" si="7"/>
        <v>5</v>
      </c>
      <c r="R162">
        <f t="shared" si="8"/>
        <v>5</v>
      </c>
    </row>
    <row r="163" spans="1:21" x14ac:dyDescent="0.25">
      <c r="A163" s="7">
        <v>9</v>
      </c>
      <c r="B163" s="7">
        <v>500</v>
      </c>
      <c r="C163" s="8">
        <v>4</v>
      </c>
      <c r="D163" s="8">
        <v>19</v>
      </c>
      <c r="E163" s="8">
        <v>20</v>
      </c>
      <c r="F163" s="9" t="s">
        <v>81</v>
      </c>
      <c r="G163" s="10" t="s">
        <v>120</v>
      </c>
      <c r="H163" s="11" t="s">
        <v>121</v>
      </c>
      <c r="I163" s="7">
        <v>36</v>
      </c>
      <c r="J163" s="15">
        <v>11.459155902616464</v>
      </c>
      <c r="K163" s="7">
        <v>3</v>
      </c>
      <c r="L163" s="8">
        <v>9</v>
      </c>
      <c r="M163" s="7"/>
      <c r="N163" s="12" t="s">
        <v>20</v>
      </c>
      <c r="O163" s="12" t="s">
        <v>16</v>
      </c>
      <c r="P163" s="57" t="str">
        <f t="shared" si="6"/>
        <v>un fuste</v>
      </c>
      <c r="Q163">
        <f t="shared" si="7"/>
        <v>10</v>
      </c>
      <c r="R163">
        <f t="shared" si="8"/>
        <v>10</v>
      </c>
      <c r="S163">
        <v>17</v>
      </c>
      <c r="T163" t="s">
        <v>273</v>
      </c>
      <c r="U163">
        <v>5.8890055727484625E-2</v>
      </c>
    </row>
    <row r="164" spans="1:21" x14ac:dyDescent="0.25">
      <c r="A164" s="7">
        <v>3</v>
      </c>
      <c r="B164" s="7">
        <v>500</v>
      </c>
      <c r="C164" s="7">
        <v>2</v>
      </c>
      <c r="D164" s="8">
        <v>21</v>
      </c>
      <c r="E164" s="7">
        <v>21</v>
      </c>
      <c r="F164" s="9" t="s">
        <v>81</v>
      </c>
      <c r="G164" s="10" t="s">
        <v>120</v>
      </c>
      <c r="H164" s="11" t="s">
        <v>121</v>
      </c>
      <c r="I164" s="7">
        <v>38.5</v>
      </c>
      <c r="J164" s="15">
        <v>12.254930618075941</v>
      </c>
      <c r="K164" s="7">
        <v>6</v>
      </c>
      <c r="L164" s="7">
        <v>11</v>
      </c>
      <c r="M164" s="7"/>
      <c r="N164" s="12" t="s">
        <v>20</v>
      </c>
      <c r="O164" s="12" t="s">
        <v>16</v>
      </c>
      <c r="P164" s="57" t="str">
        <f t="shared" si="6"/>
        <v>un fuste</v>
      </c>
      <c r="Q164">
        <f t="shared" si="7"/>
        <v>10</v>
      </c>
      <c r="R164">
        <f t="shared" si="8"/>
        <v>10</v>
      </c>
      <c r="S164">
        <v>17</v>
      </c>
      <c r="T164" t="s">
        <v>273</v>
      </c>
      <c r="U164">
        <v>8.1804648924443071E-2</v>
      </c>
    </row>
    <row r="165" spans="1:21" x14ac:dyDescent="0.25">
      <c r="A165" s="7">
        <v>9</v>
      </c>
      <c r="B165" s="7">
        <v>100</v>
      </c>
      <c r="C165" s="8">
        <v>2</v>
      </c>
      <c r="D165" s="8">
        <v>26</v>
      </c>
      <c r="E165" s="8">
        <v>26</v>
      </c>
      <c r="F165" s="9" t="s">
        <v>81</v>
      </c>
      <c r="G165" s="13" t="s">
        <v>120</v>
      </c>
      <c r="H165" s="11" t="s">
        <v>121</v>
      </c>
      <c r="I165" s="7">
        <v>21</v>
      </c>
      <c r="J165" s="15">
        <v>6.6845076098596046</v>
      </c>
      <c r="K165" s="7">
        <v>5.5</v>
      </c>
      <c r="L165" s="7">
        <v>9</v>
      </c>
      <c r="M165" s="7"/>
      <c r="N165" s="12" t="s">
        <v>20</v>
      </c>
      <c r="O165" s="12" t="s">
        <v>16</v>
      </c>
      <c r="P165" s="57" t="str">
        <f t="shared" si="6"/>
        <v>un fuste</v>
      </c>
      <c r="Q165">
        <f t="shared" si="7"/>
        <v>10</v>
      </c>
      <c r="R165">
        <f t="shared" si="8"/>
        <v>5</v>
      </c>
    </row>
    <row r="166" spans="1:21" x14ac:dyDescent="0.25">
      <c r="A166" s="7">
        <v>3</v>
      </c>
      <c r="B166" s="7">
        <v>500</v>
      </c>
      <c r="C166" s="7">
        <v>3</v>
      </c>
      <c r="D166" s="8">
        <v>30</v>
      </c>
      <c r="E166" s="7">
        <v>30</v>
      </c>
      <c r="F166" s="9" t="s">
        <v>81</v>
      </c>
      <c r="G166" s="13" t="s">
        <v>120</v>
      </c>
      <c r="H166" s="11" t="s">
        <v>121</v>
      </c>
      <c r="I166" s="7">
        <v>51.5</v>
      </c>
      <c r="J166" s="15">
        <v>16.392959138465219</v>
      </c>
      <c r="K166" s="7">
        <v>5</v>
      </c>
      <c r="L166" s="7">
        <v>10</v>
      </c>
      <c r="M166" s="7"/>
      <c r="N166" s="12" t="s">
        <v>29</v>
      </c>
      <c r="O166" s="12" t="s">
        <v>16</v>
      </c>
      <c r="P166" s="57" t="str">
        <f t="shared" si="6"/>
        <v>un fuste</v>
      </c>
      <c r="Q166">
        <f t="shared" si="7"/>
        <v>10</v>
      </c>
      <c r="R166">
        <f t="shared" si="8"/>
        <v>15</v>
      </c>
      <c r="S166">
        <v>17</v>
      </c>
      <c r="T166" t="s">
        <v>273</v>
      </c>
      <c r="U166">
        <v>0.12575113276693189</v>
      </c>
    </row>
    <row r="167" spans="1:21" x14ac:dyDescent="0.25">
      <c r="A167" s="7">
        <v>9</v>
      </c>
      <c r="B167" s="7">
        <v>100</v>
      </c>
      <c r="C167" s="7">
        <v>3</v>
      </c>
      <c r="D167" s="8">
        <v>30</v>
      </c>
      <c r="E167" s="7">
        <v>30</v>
      </c>
      <c r="F167" s="9" t="s">
        <v>81</v>
      </c>
      <c r="G167" s="10" t="s">
        <v>120</v>
      </c>
      <c r="H167" s="11" t="s">
        <v>121</v>
      </c>
      <c r="I167" s="7">
        <v>18.5</v>
      </c>
      <c r="J167" s="15">
        <v>5.8887328944001274</v>
      </c>
      <c r="K167" s="7">
        <v>3.5</v>
      </c>
      <c r="L167" s="7">
        <v>8</v>
      </c>
      <c r="M167" s="7"/>
      <c r="N167" s="12" t="s">
        <v>20</v>
      </c>
      <c r="O167" s="12" t="s">
        <v>16</v>
      </c>
      <c r="P167" s="57" t="str">
        <f t="shared" si="6"/>
        <v>un fuste</v>
      </c>
      <c r="Q167">
        <f t="shared" si="7"/>
        <v>7.5</v>
      </c>
      <c r="R167">
        <f t="shared" si="8"/>
        <v>5</v>
      </c>
    </row>
    <row r="168" spans="1:21" x14ac:dyDescent="0.25">
      <c r="A168" s="7">
        <v>3</v>
      </c>
      <c r="B168" s="7">
        <v>500</v>
      </c>
      <c r="C168" s="8">
        <v>3</v>
      </c>
      <c r="D168" s="8" t="s">
        <v>134</v>
      </c>
      <c r="E168" s="8">
        <v>31</v>
      </c>
      <c r="F168" s="9" t="s">
        <v>81</v>
      </c>
      <c r="G168" s="13" t="s">
        <v>120</v>
      </c>
      <c r="H168" s="14" t="s">
        <v>121</v>
      </c>
      <c r="I168" s="7">
        <v>44</v>
      </c>
      <c r="J168" s="15">
        <v>14.00563499208679</v>
      </c>
      <c r="K168" s="7">
        <v>3</v>
      </c>
      <c r="L168" s="7">
        <v>9</v>
      </c>
      <c r="M168" s="7"/>
      <c r="N168" s="12" t="s">
        <v>20</v>
      </c>
      <c r="O168" s="12" t="s">
        <v>16</v>
      </c>
      <c r="P168" s="31" t="e">
        <f t="shared" si="6"/>
        <v>#VALUE!</v>
      </c>
      <c r="Q168">
        <f t="shared" si="7"/>
        <v>10</v>
      </c>
      <c r="R168">
        <f t="shared" si="8"/>
        <v>15</v>
      </c>
      <c r="S168">
        <v>17</v>
      </c>
      <c r="T168" t="s">
        <v>273</v>
      </c>
      <c r="U168">
        <v>8.4774416915525813E-2</v>
      </c>
    </row>
    <row r="169" spans="1:21" x14ac:dyDescent="0.25">
      <c r="A169" s="7">
        <v>3</v>
      </c>
      <c r="B169" s="7">
        <v>500</v>
      </c>
      <c r="C169" s="7">
        <v>3</v>
      </c>
      <c r="D169" s="8" t="s">
        <v>135</v>
      </c>
      <c r="E169" s="8">
        <v>32</v>
      </c>
      <c r="F169" s="9" t="s">
        <v>81</v>
      </c>
      <c r="G169" s="13" t="s">
        <v>120</v>
      </c>
      <c r="H169" s="11" t="s">
        <v>121</v>
      </c>
      <c r="I169" s="7">
        <v>38.5</v>
      </c>
      <c r="J169" s="15">
        <v>12.254930618075941</v>
      </c>
      <c r="K169" s="7">
        <v>5</v>
      </c>
      <c r="L169" s="7">
        <v>10</v>
      </c>
      <c r="M169" s="7"/>
      <c r="N169" s="12" t="s">
        <v>20</v>
      </c>
      <c r="O169" s="12" t="s">
        <v>16</v>
      </c>
      <c r="P169" s="31" t="e">
        <f t="shared" si="6"/>
        <v>#VALUE!</v>
      </c>
      <c r="Q169">
        <f t="shared" si="7"/>
        <v>10</v>
      </c>
      <c r="R169">
        <f t="shared" si="8"/>
        <v>10</v>
      </c>
      <c r="S169">
        <v>17</v>
      </c>
      <c r="T169" t="s">
        <v>273</v>
      </c>
      <c r="U169">
        <v>7.4152768215724821E-2</v>
      </c>
    </row>
    <row r="170" spans="1:21" x14ac:dyDescent="0.25">
      <c r="A170" s="7">
        <v>3</v>
      </c>
      <c r="B170" s="7">
        <v>500</v>
      </c>
      <c r="C170" s="7">
        <v>3</v>
      </c>
      <c r="D170" s="8">
        <v>31</v>
      </c>
      <c r="E170" s="7">
        <v>33</v>
      </c>
      <c r="F170" s="9" t="s">
        <v>81</v>
      </c>
      <c r="G170" s="13" t="s">
        <v>120</v>
      </c>
      <c r="H170" s="14" t="s">
        <v>121</v>
      </c>
      <c r="I170" s="7">
        <v>56</v>
      </c>
      <c r="J170" s="15">
        <v>17.82535362629228</v>
      </c>
      <c r="K170" s="7">
        <v>8</v>
      </c>
      <c r="L170" s="7">
        <v>14</v>
      </c>
      <c r="M170" s="7"/>
      <c r="N170" s="12" t="s">
        <v>20</v>
      </c>
      <c r="O170" s="12" t="s">
        <v>16</v>
      </c>
      <c r="P170" s="57" t="str">
        <f t="shared" si="6"/>
        <v>un fuste</v>
      </c>
      <c r="Q170">
        <f t="shared" si="7"/>
        <v>15</v>
      </c>
      <c r="R170">
        <f t="shared" si="8"/>
        <v>20</v>
      </c>
      <c r="S170">
        <v>17</v>
      </c>
      <c r="T170" t="s">
        <v>273</v>
      </c>
      <c r="U170">
        <v>0.20707651602127494</v>
      </c>
    </row>
    <row r="171" spans="1:21" x14ac:dyDescent="0.25">
      <c r="A171" s="7">
        <v>4</v>
      </c>
      <c r="B171" s="7">
        <v>5</v>
      </c>
      <c r="C171" s="7"/>
      <c r="D171" s="8">
        <v>3</v>
      </c>
      <c r="E171" s="8">
        <v>3</v>
      </c>
      <c r="F171" s="9" t="s">
        <v>26</v>
      </c>
      <c r="G171" s="13" t="s">
        <v>143</v>
      </c>
      <c r="H171" s="11" t="s">
        <v>144</v>
      </c>
      <c r="I171" s="7"/>
      <c r="J171" s="7"/>
      <c r="K171" s="7"/>
      <c r="L171" s="7">
        <v>1</v>
      </c>
      <c r="M171" s="7" t="e">
        <v>#REF!</v>
      </c>
      <c r="N171" s="12"/>
      <c r="O171" s="12"/>
      <c r="P171" s="57" t="str">
        <f t="shared" si="6"/>
        <v>un fuste</v>
      </c>
      <c r="Q171">
        <f t="shared" si="7"/>
        <v>2.5</v>
      </c>
      <c r="R171">
        <f t="shared" si="8"/>
        <v>5</v>
      </c>
    </row>
    <row r="172" spans="1:21" x14ac:dyDescent="0.25">
      <c r="A172" s="7">
        <v>4</v>
      </c>
      <c r="B172" s="7">
        <v>5</v>
      </c>
      <c r="C172" s="8"/>
      <c r="D172" s="8">
        <v>4</v>
      </c>
      <c r="E172" s="8">
        <v>4</v>
      </c>
      <c r="F172" s="9" t="s">
        <v>40</v>
      </c>
      <c r="G172" s="10" t="s">
        <v>41</v>
      </c>
      <c r="H172" s="11" t="s">
        <v>42</v>
      </c>
      <c r="I172" s="7"/>
      <c r="J172" s="7"/>
      <c r="K172" s="7"/>
      <c r="L172" s="8">
        <v>1.5</v>
      </c>
      <c r="M172" s="7" t="e">
        <v>#REF!</v>
      </c>
      <c r="N172" s="12"/>
      <c r="O172" s="12"/>
      <c r="P172" s="57" t="str">
        <f t="shared" si="6"/>
        <v>un fuste</v>
      </c>
      <c r="Q172">
        <f t="shared" si="7"/>
        <v>2.5</v>
      </c>
      <c r="R172">
        <f t="shared" si="8"/>
        <v>5</v>
      </c>
    </row>
    <row r="173" spans="1:21" x14ac:dyDescent="0.25">
      <c r="A173" s="7">
        <v>10</v>
      </c>
      <c r="B173" s="7">
        <v>100</v>
      </c>
      <c r="C173" s="7">
        <v>4</v>
      </c>
      <c r="D173" s="8">
        <v>37</v>
      </c>
      <c r="E173" s="8">
        <v>37</v>
      </c>
      <c r="F173" s="9" t="s">
        <v>81</v>
      </c>
      <c r="G173" s="10" t="s">
        <v>120</v>
      </c>
      <c r="H173" s="11" t="s">
        <v>121</v>
      </c>
      <c r="I173" s="7">
        <v>27</v>
      </c>
      <c r="J173" s="15">
        <v>8.5943669269623477</v>
      </c>
      <c r="K173" s="7">
        <v>6</v>
      </c>
      <c r="L173" s="7">
        <v>12</v>
      </c>
      <c r="M173" s="7"/>
      <c r="N173" s="12" t="s">
        <v>20</v>
      </c>
      <c r="O173" s="12" t="s">
        <v>16</v>
      </c>
      <c r="P173" s="57" t="str">
        <f t="shared" si="6"/>
        <v>un fuste</v>
      </c>
      <c r="Q173">
        <f t="shared" si="7"/>
        <v>12.5</v>
      </c>
      <c r="R173">
        <f t="shared" si="8"/>
        <v>10</v>
      </c>
    </row>
    <row r="174" spans="1:21" x14ac:dyDescent="0.25">
      <c r="A174" s="7">
        <v>3</v>
      </c>
      <c r="B174" s="7">
        <v>500</v>
      </c>
      <c r="C174" s="8">
        <v>4</v>
      </c>
      <c r="D174" s="8">
        <v>47</v>
      </c>
      <c r="E174" s="8">
        <v>56</v>
      </c>
      <c r="F174" s="9" t="s">
        <v>81</v>
      </c>
      <c r="G174" s="10" t="s">
        <v>120</v>
      </c>
      <c r="H174" s="11" t="s">
        <v>121</v>
      </c>
      <c r="I174" s="7">
        <v>39</v>
      </c>
      <c r="J174" s="15">
        <v>12.414085561167836</v>
      </c>
      <c r="K174" s="7">
        <v>5.5</v>
      </c>
      <c r="L174" s="7">
        <v>9</v>
      </c>
      <c r="M174" s="7"/>
      <c r="N174" s="12" t="s">
        <v>20</v>
      </c>
      <c r="O174" s="12" t="s">
        <v>16</v>
      </c>
      <c r="P174" s="57" t="str">
        <f t="shared" si="6"/>
        <v>un fuste</v>
      </c>
      <c r="Q174">
        <f t="shared" si="7"/>
        <v>10</v>
      </c>
      <c r="R174">
        <f t="shared" si="8"/>
        <v>10</v>
      </c>
      <c r="S174">
        <v>17</v>
      </c>
      <c r="T174" t="s">
        <v>273</v>
      </c>
      <c r="U174">
        <v>6.8100962199452261E-2</v>
      </c>
    </row>
    <row r="175" spans="1:21" x14ac:dyDescent="0.25">
      <c r="A175" s="7">
        <v>4</v>
      </c>
      <c r="B175" s="7">
        <v>500</v>
      </c>
      <c r="C175" s="8">
        <v>4</v>
      </c>
      <c r="D175" s="8">
        <v>55</v>
      </c>
      <c r="E175" s="8">
        <v>57</v>
      </c>
      <c r="F175" s="9" t="s">
        <v>81</v>
      </c>
      <c r="G175" s="10" t="s">
        <v>120</v>
      </c>
      <c r="H175" s="11" t="s">
        <v>121</v>
      </c>
      <c r="I175" s="7">
        <v>38</v>
      </c>
      <c r="J175" s="15">
        <v>12.095775674984045</v>
      </c>
      <c r="K175" s="7">
        <v>6</v>
      </c>
      <c r="L175" s="8">
        <v>8</v>
      </c>
      <c r="M175" s="7"/>
      <c r="N175" s="12" t="s">
        <v>20</v>
      </c>
      <c r="O175" s="12" t="s">
        <v>39</v>
      </c>
      <c r="P175" s="57" t="str">
        <f t="shared" si="6"/>
        <v>un fuste</v>
      </c>
      <c r="Q175">
        <f t="shared" si="7"/>
        <v>7.5</v>
      </c>
      <c r="R175">
        <f t="shared" si="8"/>
        <v>10</v>
      </c>
      <c r="S175">
        <v>17</v>
      </c>
      <c r="T175" t="s">
        <v>273</v>
      </c>
      <c r="U175">
        <v>5.753939564851706E-2</v>
      </c>
    </row>
    <row r="176" spans="1:21" x14ac:dyDescent="0.25">
      <c r="A176" s="7">
        <v>4</v>
      </c>
      <c r="B176" s="7">
        <v>5</v>
      </c>
      <c r="C176" s="7"/>
      <c r="D176" s="8">
        <v>5</v>
      </c>
      <c r="E176" s="7">
        <v>5</v>
      </c>
      <c r="F176" s="9" t="s">
        <v>13</v>
      </c>
      <c r="G176" s="10" t="s">
        <v>14</v>
      </c>
      <c r="H176" s="11" t="s">
        <v>15</v>
      </c>
      <c r="I176" s="7"/>
      <c r="J176" s="7"/>
      <c r="K176" s="7"/>
      <c r="L176" s="7">
        <v>0.6</v>
      </c>
      <c r="M176" s="7" t="e">
        <v>#REF!</v>
      </c>
      <c r="N176" s="12"/>
      <c r="O176" s="12"/>
      <c r="P176" s="57" t="str">
        <f t="shared" si="6"/>
        <v>un fuste</v>
      </c>
      <c r="Q176">
        <f t="shared" si="7"/>
        <v>2.5</v>
      </c>
      <c r="R176">
        <f t="shared" si="8"/>
        <v>5</v>
      </c>
    </row>
    <row r="177" spans="1:18" x14ac:dyDescent="0.25">
      <c r="A177" s="7">
        <v>4</v>
      </c>
      <c r="B177" s="7">
        <v>5</v>
      </c>
      <c r="C177" s="7"/>
      <c r="D177" s="8">
        <v>6</v>
      </c>
      <c r="E177" s="8">
        <v>6</v>
      </c>
      <c r="F177" s="9" t="s">
        <v>43</v>
      </c>
      <c r="G177" s="13" t="s">
        <v>146</v>
      </c>
      <c r="H177" s="11" t="s">
        <v>147</v>
      </c>
      <c r="I177" s="7"/>
      <c r="J177" s="7"/>
      <c r="K177" s="7"/>
      <c r="L177" s="7">
        <v>1.7</v>
      </c>
      <c r="M177" s="7" t="e">
        <v>#REF!</v>
      </c>
      <c r="N177" s="12"/>
      <c r="O177" s="12"/>
      <c r="P177" s="57" t="str">
        <f t="shared" si="6"/>
        <v>un fuste</v>
      </c>
      <c r="Q177">
        <f t="shared" si="7"/>
        <v>2.5</v>
      </c>
      <c r="R177">
        <f t="shared" si="8"/>
        <v>5</v>
      </c>
    </row>
    <row r="178" spans="1:18" x14ac:dyDescent="0.25">
      <c r="A178" s="7">
        <v>4</v>
      </c>
      <c r="B178" s="7">
        <v>5</v>
      </c>
      <c r="C178" s="8"/>
      <c r="D178" s="8">
        <v>7</v>
      </c>
      <c r="E178" s="8">
        <v>7</v>
      </c>
      <c r="F178" s="9" t="s">
        <v>43</v>
      </c>
      <c r="G178" s="10" t="s">
        <v>146</v>
      </c>
      <c r="H178" s="11" t="s">
        <v>147</v>
      </c>
      <c r="I178" s="7"/>
      <c r="J178" s="7"/>
      <c r="K178" s="7"/>
      <c r="L178" s="8">
        <v>6</v>
      </c>
      <c r="M178" s="7" t="e">
        <v>#REF!</v>
      </c>
      <c r="N178" s="12"/>
      <c r="O178" s="12"/>
      <c r="P178" s="57" t="str">
        <f t="shared" si="6"/>
        <v>un fuste</v>
      </c>
      <c r="Q178">
        <f t="shared" si="7"/>
        <v>5</v>
      </c>
      <c r="R178">
        <f t="shared" si="8"/>
        <v>5</v>
      </c>
    </row>
    <row r="179" spans="1:18" x14ac:dyDescent="0.25">
      <c r="A179" s="7">
        <v>4</v>
      </c>
      <c r="B179" s="7">
        <v>5</v>
      </c>
      <c r="C179" s="8"/>
      <c r="D179" s="8">
        <v>8</v>
      </c>
      <c r="E179" s="8">
        <v>8</v>
      </c>
      <c r="F179" s="9" t="s">
        <v>23</v>
      </c>
      <c r="G179" s="10" t="s">
        <v>24</v>
      </c>
      <c r="H179" s="11" t="s">
        <v>25</v>
      </c>
      <c r="I179" s="7"/>
      <c r="J179" s="7"/>
      <c r="K179" s="7"/>
      <c r="L179" s="7">
        <v>4</v>
      </c>
      <c r="M179" s="7" t="e">
        <v>#REF!</v>
      </c>
      <c r="N179" s="12"/>
      <c r="O179" s="12"/>
      <c r="P179" s="57" t="str">
        <f t="shared" si="6"/>
        <v>un fuste</v>
      </c>
      <c r="Q179">
        <f t="shared" si="7"/>
        <v>5</v>
      </c>
      <c r="R179">
        <f t="shared" si="8"/>
        <v>5</v>
      </c>
    </row>
    <row r="180" spans="1:18" x14ac:dyDescent="0.25">
      <c r="A180" s="7">
        <v>4</v>
      </c>
      <c r="B180" s="7">
        <v>5</v>
      </c>
      <c r="C180" s="8"/>
      <c r="D180" s="8">
        <v>9</v>
      </c>
      <c r="E180" s="8">
        <v>9</v>
      </c>
      <c r="F180" s="9" t="s">
        <v>152</v>
      </c>
      <c r="G180" s="13" t="s">
        <v>153</v>
      </c>
      <c r="H180" s="11" t="s">
        <v>154</v>
      </c>
      <c r="I180" s="7"/>
      <c r="J180" s="7"/>
      <c r="K180" s="7"/>
      <c r="L180" s="7">
        <v>6</v>
      </c>
      <c r="M180" s="7" t="e">
        <v>#REF!</v>
      </c>
      <c r="N180" s="12"/>
      <c r="O180" s="12"/>
      <c r="P180" s="57" t="str">
        <f t="shared" si="6"/>
        <v>un fuste</v>
      </c>
      <c r="Q180">
        <f t="shared" si="7"/>
        <v>5</v>
      </c>
      <c r="R180">
        <f t="shared" si="8"/>
        <v>5</v>
      </c>
    </row>
    <row r="181" spans="1:18" x14ac:dyDescent="0.25">
      <c r="A181" s="7">
        <v>4</v>
      </c>
      <c r="B181" s="7">
        <v>5</v>
      </c>
      <c r="C181" s="8"/>
      <c r="D181" s="8">
        <v>10</v>
      </c>
      <c r="E181" s="8">
        <v>10</v>
      </c>
      <c r="F181" s="9" t="s">
        <v>26</v>
      </c>
      <c r="G181" s="10" t="s">
        <v>143</v>
      </c>
      <c r="H181" s="11" t="s">
        <v>144</v>
      </c>
      <c r="I181" s="7"/>
      <c r="J181" s="7"/>
      <c r="K181" s="7"/>
      <c r="L181" s="8">
        <v>3.5</v>
      </c>
      <c r="M181" s="7" t="e">
        <v>#REF!</v>
      </c>
      <c r="N181" s="12"/>
      <c r="O181" s="12"/>
      <c r="P181" s="57" t="str">
        <f t="shared" si="6"/>
        <v>un fuste</v>
      </c>
      <c r="Q181">
        <f t="shared" si="7"/>
        <v>2.5</v>
      </c>
      <c r="R181">
        <f t="shared" si="8"/>
        <v>5</v>
      </c>
    </row>
    <row r="182" spans="1:18" x14ac:dyDescent="0.25">
      <c r="A182" s="7">
        <v>4</v>
      </c>
      <c r="B182" s="7">
        <v>5</v>
      </c>
      <c r="C182" s="8"/>
      <c r="D182" s="8">
        <v>11</v>
      </c>
      <c r="E182" s="8">
        <v>11</v>
      </c>
      <c r="F182" s="9" t="s">
        <v>152</v>
      </c>
      <c r="G182" s="10" t="s">
        <v>153</v>
      </c>
      <c r="H182" s="11" t="s">
        <v>154</v>
      </c>
      <c r="I182" s="7"/>
      <c r="J182" s="7"/>
      <c r="K182" s="7"/>
      <c r="L182" s="7">
        <v>6</v>
      </c>
      <c r="M182" s="7" t="e">
        <v>#REF!</v>
      </c>
      <c r="N182" s="12"/>
      <c r="O182" s="12"/>
      <c r="P182" s="57" t="str">
        <f t="shared" si="6"/>
        <v>un fuste</v>
      </c>
      <c r="Q182">
        <f t="shared" si="7"/>
        <v>5</v>
      </c>
      <c r="R182">
        <f t="shared" si="8"/>
        <v>5</v>
      </c>
    </row>
    <row r="183" spans="1:18" x14ac:dyDescent="0.25">
      <c r="A183" s="7">
        <v>4</v>
      </c>
      <c r="B183" s="7">
        <v>5</v>
      </c>
      <c r="C183" s="7"/>
      <c r="D183" s="8">
        <v>12</v>
      </c>
      <c r="E183" s="7">
        <v>12</v>
      </c>
      <c r="F183" s="17" t="s">
        <v>48</v>
      </c>
      <c r="G183" s="10" t="s">
        <v>49</v>
      </c>
      <c r="H183" s="11" t="s">
        <v>50</v>
      </c>
      <c r="I183" s="7"/>
      <c r="J183" s="7"/>
      <c r="K183" s="7"/>
      <c r="L183" s="7">
        <v>0.8</v>
      </c>
      <c r="M183" s="7" t="e">
        <v>#REF!</v>
      </c>
      <c r="N183" s="12"/>
      <c r="O183" s="12"/>
      <c r="P183" s="57" t="str">
        <f t="shared" si="6"/>
        <v>un fuste</v>
      </c>
      <c r="Q183">
        <f t="shared" si="7"/>
        <v>2.5</v>
      </c>
      <c r="R183">
        <f t="shared" si="8"/>
        <v>5</v>
      </c>
    </row>
    <row r="184" spans="1:18" x14ac:dyDescent="0.25">
      <c r="A184" s="7">
        <v>4</v>
      </c>
      <c r="B184" s="7">
        <v>5</v>
      </c>
      <c r="C184" s="7"/>
      <c r="D184" s="8">
        <v>13</v>
      </c>
      <c r="E184" s="7">
        <v>13</v>
      </c>
      <c r="F184" s="17" t="s">
        <v>21</v>
      </c>
      <c r="G184" s="10" t="s">
        <v>22</v>
      </c>
      <c r="H184" s="14" t="s">
        <v>283</v>
      </c>
      <c r="I184" s="7"/>
      <c r="J184" s="7"/>
      <c r="K184" s="7"/>
      <c r="L184" s="7">
        <v>1.2</v>
      </c>
      <c r="M184" s="7" t="e">
        <v>#REF!</v>
      </c>
      <c r="N184" s="12"/>
      <c r="O184" s="12"/>
      <c r="P184" s="57" t="str">
        <f t="shared" si="6"/>
        <v>un fuste</v>
      </c>
      <c r="Q184">
        <f t="shared" si="7"/>
        <v>2.5</v>
      </c>
      <c r="R184">
        <f t="shared" si="8"/>
        <v>5</v>
      </c>
    </row>
    <row r="185" spans="1:18" x14ac:dyDescent="0.25">
      <c r="A185" s="7">
        <v>4</v>
      </c>
      <c r="B185" s="7">
        <v>5</v>
      </c>
      <c r="C185" s="8"/>
      <c r="D185" s="8">
        <v>14</v>
      </c>
      <c r="E185" s="8">
        <v>14</v>
      </c>
      <c r="F185" s="9" t="s">
        <v>158</v>
      </c>
      <c r="G185" s="13" t="s">
        <v>159</v>
      </c>
      <c r="H185" s="11" t="s">
        <v>160</v>
      </c>
      <c r="I185" s="7"/>
      <c r="J185" s="7"/>
      <c r="K185" s="7"/>
      <c r="L185" s="8">
        <v>0.3</v>
      </c>
      <c r="M185" s="7" t="e">
        <v>#REF!</v>
      </c>
      <c r="N185" s="12"/>
      <c r="O185" s="12"/>
      <c r="P185" s="57" t="str">
        <f t="shared" si="6"/>
        <v>un fuste</v>
      </c>
      <c r="Q185">
        <f t="shared" si="7"/>
        <v>2.5</v>
      </c>
      <c r="R185">
        <f t="shared" si="8"/>
        <v>5</v>
      </c>
    </row>
    <row r="186" spans="1:18" x14ac:dyDescent="0.25">
      <c r="A186" s="7">
        <v>4</v>
      </c>
      <c r="B186" s="7">
        <v>5</v>
      </c>
      <c r="C186" s="8"/>
      <c r="D186" s="8">
        <v>15</v>
      </c>
      <c r="E186" s="8">
        <v>15</v>
      </c>
      <c r="F186" s="9" t="s">
        <v>158</v>
      </c>
      <c r="G186" s="10" t="s">
        <v>159</v>
      </c>
      <c r="H186" s="11" t="s">
        <v>160</v>
      </c>
      <c r="I186" s="8"/>
      <c r="J186" s="7"/>
      <c r="K186" s="8"/>
      <c r="L186" s="8">
        <v>0.3</v>
      </c>
      <c r="M186" s="7" t="e">
        <v>#REF!</v>
      </c>
      <c r="N186" s="12"/>
      <c r="O186" s="12"/>
      <c r="P186" s="57" t="str">
        <f t="shared" si="6"/>
        <v>un fuste</v>
      </c>
      <c r="Q186">
        <f t="shared" si="7"/>
        <v>2.5</v>
      </c>
      <c r="R186">
        <f t="shared" si="8"/>
        <v>5</v>
      </c>
    </row>
    <row r="187" spans="1:18" x14ac:dyDescent="0.25">
      <c r="A187" s="7">
        <v>4</v>
      </c>
      <c r="B187" s="7">
        <v>5</v>
      </c>
      <c r="C187" s="8"/>
      <c r="D187" s="8">
        <v>16</v>
      </c>
      <c r="E187" s="8">
        <v>16</v>
      </c>
      <c r="F187" s="9" t="s">
        <v>158</v>
      </c>
      <c r="G187" s="13" t="s">
        <v>159</v>
      </c>
      <c r="H187" s="14" t="s">
        <v>160</v>
      </c>
      <c r="I187" s="8"/>
      <c r="J187" s="7"/>
      <c r="K187" s="8"/>
      <c r="L187" s="8">
        <v>0.3</v>
      </c>
      <c r="M187" s="7" t="e">
        <v>#REF!</v>
      </c>
      <c r="N187" s="12"/>
      <c r="O187" s="12"/>
      <c r="P187" s="57" t="str">
        <f t="shared" si="6"/>
        <v>un fuste</v>
      </c>
      <c r="Q187">
        <f t="shared" si="7"/>
        <v>2.5</v>
      </c>
      <c r="R187">
        <f t="shared" si="8"/>
        <v>5</v>
      </c>
    </row>
    <row r="188" spans="1:18" x14ac:dyDescent="0.25">
      <c r="A188" s="7">
        <v>4</v>
      </c>
      <c r="B188" s="7">
        <v>5</v>
      </c>
      <c r="C188" s="7"/>
      <c r="D188" s="8">
        <v>17</v>
      </c>
      <c r="E188" s="7">
        <v>17</v>
      </c>
      <c r="F188" s="9" t="s">
        <v>158</v>
      </c>
      <c r="G188" s="10" t="s">
        <v>159</v>
      </c>
      <c r="H188" s="11" t="s">
        <v>160</v>
      </c>
      <c r="I188" s="7"/>
      <c r="J188" s="7"/>
      <c r="K188" s="7"/>
      <c r="L188" s="7">
        <v>0.3</v>
      </c>
      <c r="M188" s="7" t="e">
        <v>#REF!</v>
      </c>
      <c r="N188" s="12"/>
      <c r="O188" s="12"/>
      <c r="P188" s="57" t="str">
        <f t="shared" si="6"/>
        <v>un fuste</v>
      </c>
      <c r="Q188">
        <f t="shared" si="7"/>
        <v>2.5</v>
      </c>
      <c r="R188">
        <f t="shared" si="8"/>
        <v>5</v>
      </c>
    </row>
    <row r="189" spans="1:18" x14ac:dyDescent="0.25">
      <c r="A189" s="7">
        <v>4</v>
      </c>
      <c r="B189" s="7">
        <v>5</v>
      </c>
      <c r="C189" s="8"/>
      <c r="D189" s="8">
        <v>18</v>
      </c>
      <c r="E189" s="8">
        <v>18</v>
      </c>
      <c r="F189" s="9" t="s">
        <v>158</v>
      </c>
      <c r="G189" s="13" t="s">
        <v>159</v>
      </c>
      <c r="H189" s="11" t="s">
        <v>160</v>
      </c>
      <c r="I189" s="8"/>
      <c r="J189" s="7"/>
      <c r="K189" s="8"/>
      <c r="L189" s="8">
        <v>0.3</v>
      </c>
      <c r="M189" s="7" t="e">
        <v>#REF!</v>
      </c>
      <c r="N189" s="12"/>
      <c r="O189" s="12"/>
      <c r="P189" s="57" t="str">
        <f t="shared" si="6"/>
        <v>un fuste</v>
      </c>
      <c r="Q189">
        <f t="shared" si="7"/>
        <v>2.5</v>
      </c>
      <c r="R189">
        <f t="shared" si="8"/>
        <v>5</v>
      </c>
    </row>
    <row r="190" spans="1:18" x14ac:dyDescent="0.25">
      <c r="A190" s="7">
        <v>4</v>
      </c>
      <c r="B190" s="7">
        <v>5</v>
      </c>
      <c r="C190" s="7"/>
      <c r="D190" s="8">
        <v>19</v>
      </c>
      <c r="E190" s="7">
        <v>19</v>
      </c>
      <c r="F190" s="9" t="s">
        <v>158</v>
      </c>
      <c r="G190" s="10" t="s">
        <v>159</v>
      </c>
      <c r="H190" s="11" t="s">
        <v>160</v>
      </c>
      <c r="I190" s="7"/>
      <c r="J190" s="7"/>
      <c r="K190" s="7"/>
      <c r="L190" s="7">
        <v>0.3</v>
      </c>
      <c r="M190" s="7" t="e">
        <v>#REF!</v>
      </c>
      <c r="N190" s="12"/>
      <c r="O190" s="12"/>
      <c r="P190" s="57" t="str">
        <f t="shared" si="6"/>
        <v>un fuste</v>
      </c>
      <c r="Q190">
        <f t="shared" si="7"/>
        <v>2.5</v>
      </c>
      <c r="R190">
        <f t="shared" si="8"/>
        <v>5</v>
      </c>
    </row>
    <row r="191" spans="1:18" x14ac:dyDescent="0.25">
      <c r="A191" s="7">
        <v>4</v>
      </c>
      <c r="B191" s="7">
        <v>5</v>
      </c>
      <c r="C191" s="7"/>
      <c r="D191" s="7">
        <v>20</v>
      </c>
      <c r="E191" s="7">
        <v>20</v>
      </c>
      <c r="F191" s="9" t="s">
        <v>158</v>
      </c>
      <c r="G191" s="13" t="s">
        <v>159</v>
      </c>
      <c r="H191" s="11" t="s">
        <v>160</v>
      </c>
      <c r="I191" s="7"/>
      <c r="J191" s="7"/>
      <c r="K191" s="7"/>
      <c r="L191" s="7">
        <v>0.3</v>
      </c>
      <c r="M191" s="7" t="e">
        <v>#REF!</v>
      </c>
      <c r="N191" s="12"/>
      <c r="O191" s="12"/>
      <c r="P191" s="57" t="str">
        <f t="shared" si="6"/>
        <v>un fuste</v>
      </c>
      <c r="Q191">
        <f t="shared" si="7"/>
        <v>2.5</v>
      </c>
      <c r="R191">
        <f t="shared" si="8"/>
        <v>5</v>
      </c>
    </row>
    <row r="192" spans="1:18" x14ac:dyDescent="0.25">
      <c r="A192" s="7">
        <v>4</v>
      </c>
      <c r="B192" s="7">
        <v>5</v>
      </c>
      <c r="C192" s="8"/>
      <c r="D192" s="7">
        <v>21</v>
      </c>
      <c r="E192" s="7">
        <v>21</v>
      </c>
      <c r="F192" s="9" t="s">
        <v>158</v>
      </c>
      <c r="G192" s="13" t="s">
        <v>159</v>
      </c>
      <c r="H192" s="11" t="s">
        <v>160</v>
      </c>
      <c r="I192" s="7"/>
      <c r="J192" s="7"/>
      <c r="K192" s="7"/>
      <c r="L192" s="7">
        <v>0.3</v>
      </c>
      <c r="M192" s="7" t="e">
        <v>#REF!</v>
      </c>
      <c r="N192" s="12"/>
      <c r="O192" s="12"/>
      <c r="P192" s="57" t="str">
        <f t="shared" si="6"/>
        <v>un fuste</v>
      </c>
      <c r="Q192">
        <f t="shared" si="7"/>
        <v>2.5</v>
      </c>
      <c r="R192">
        <f t="shared" si="8"/>
        <v>5</v>
      </c>
    </row>
    <row r="193" spans="1:18" x14ac:dyDescent="0.25">
      <c r="A193" s="7">
        <v>5</v>
      </c>
      <c r="B193" s="7">
        <v>5</v>
      </c>
      <c r="C193" s="8"/>
      <c r="D193" s="8">
        <v>1</v>
      </c>
      <c r="E193" s="8">
        <v>1</v>
      </c>
      <c r="F193" s="9" t="s">
        <v>21</v>
      </c>
      <c r="G193" s="13" t="s">
        <v>22</v>
      </c>
      <c r="H193" s="11" t="s">
        <v>283</v>
      </c>
      <c r="I193" s="7"/>
      <c r="J193" s="7"/>
      <c r="K193" s="7"/>
      <c r="L193" s="7">
        <v>6</v>
      </c>
      <c r="M193" s="7" t="e">
        <v>#REF!</v>
      </c>
      <c r="N193" s="12"/>
      <c r="O193" s="12" t="s">
        <v>16</v>
      </c>
      <c r="P193" s="57" t="str">
        <f t="shared" si="6"/>
        <v>un fuste</v>
      </c>
      <c r="Q193">
        <f t="shared" si="7"/>
        <v>5</v>
      </c>
      <c r="R193">
        <f t="shared" si="8"/>
        <v>5</v>
      </c>
    </row>
    <row r="194" spans="1:18" x14ac:dyDescent="0.25">
      <c r="A194" s="7">
        <v>5</v>
      </c>
      <c r="B194" s="7">
        <v>5</v>
      </c>
      <c r="C194" s="7"/>
      <c r="D194" s="8">
        <v>2</v>
      </c>
      <c r="E194" s="7">
        <v>2</v>
      </c>
      <c r="F194" s="9" t="s">
        <v>90</v>
      </c>
      <c r="G194" s="10" t="s">
        <v>282</v>
      </c>
      <c r="H194" s="11" t="s">
        <v>124</v>
      </c>
      <c r="I194" s="7"/>
      <c r="J194" s="7"/>
      <c r="K194" s="7"/>
      <c r="L194" s="7">
        <v>5</v>
      </c>
      <c r="M194" s="7" t="e">
        <v>#REF!</v>
      </c>
      <c r="N194" s="12"/>
      <c r="O194" s="12" t="s">
        <v>16</v>
      </c>
      <c r="P194" s="57" t="str">
        <f t="shared" si="6"/>
        <v>un fuste</v>
      </c>
      <c r="Q194">
        <f t="shared" si="7"/>
        <v>5</v>
      </c>
      <c r="R194">
        <f t="shared" si="8"/>
        <v>5</v>
      </c>
    </row>
    <row r="195" spans="1:18" x14ac:dyDescent="0.25">
      <c r="A195" s="7">
        <v>5</v>
      </c>
      <c r="B195" s="7">
        <v>5</v>
      </c>
      <c r="C195" s="8"/>
      <c r="D195" s="8">
        <v>3</v>
      </c>
      <c r="E195" s="8">
        <v>3</v>
      </c>
      <c r="F195" s="9" t="s">
        <v>90</v>
      </c>
      <c r="G195" s="13" t="s">
        <v>282</v>
      </c>
      <c r="H195" s="11" t="s">
        <v>124</v>
      </c>
      <c r="I195" s="7"/>
      <c r="J195" s="7"/>
      <c r="K195" s="7"/>
      <c r="L195" s="7">
        <v>4</v>
      </c>
      <c r="M195" s="7" t="e">
        <v>#REF!</v>
      </c>
      <c r="N195" s="12"/>
      <c r="O195" s="12" t="s">
        <v>16</v>
      </c>
      <c r="P195" s="57" t="str">
        <f t="shared" ref="P195:P258" si="9">IF((D195/D195)=1,"un fuste","bifurcado")</f>
        <v>un fuste</v>
      </c>
      <c r="Q195">
        <f t="shared" ref="Q195:Q258" si="10">IF(L195&lt;3.75,2.5,IF(L195&lt;6.25,5,IF(L195&lt;8.74,7.5,IF(L195&lt;11.24,10,IF(L195&lt;13.75,12.5,IF(L195&lt;16.25,15,IF(L195&lt;18.75,17.5,IF(L195&lt;21.25,20,IF(L195&lt;23.75,22.5,IF(L195&lt;26.25,25,IF(L195&lt;28.75,27.5,IF(L195&lt;31.25,30,IF(L195&lt;33.75,32.5,IF(L195&lt;36.25,35,IF(L195&lt;38.75,37.5,IF(L195&lt;41.24,40,IF(L195&lt;43.75,42.5,IF(L195&lt;46.25,45," "))))))))))))))))))</f>
        <v>5</v>
      </c>
      <c r="R195">
        <f t="shared" ref="R195:R258" si="11">IF(J195&lt;7.5,5,IF(J195&lt;12.5,10,IF(J195&lt;17.5,15,IF(J195&lt;22.5,20,IF(J195&lt;27.5,25,IF(J195&lt;32.5,30,IF(J195&lt;37.5,35,IF(J195&lt;42.5,40,IF(J195&lt;47.5,45,IF(J195&lt;52.5,50,IF(J195&lt;57.5,55,0)))))))))))</f>
        <v>5</v>
      </c>
    </row>
    <row r="196" spans="1:18" x14ac:dyDescent="0.25">
      <c r="A196" s="7">
        <v>5</v>
      </c>
      <c r="B196" s="7">
        <v>5</v>
      </c>
      <c r="C196" s="8"/>
      <c r="D196" s="8">
        <v>4</v>
      </c>
      <c r="E196" s="8">
        <v>4</v>
      </c>
      <c r="F196" s="9" t="s">
        <v>90</v>
      </c>
      <c r="G196" s="10" t="s">
        <v>282</v>
      </c>
      <c r="H196" s="11" t="s">
        <v>124</v>
      </c>
      <c r="I196" s="8"/>
      <c r="J196" s="7"/>
      <c r="K196" s="8"/>
      <c r="L196" s="8">
        <v>6</v>
      </c>
      <c r="M196" s="7" t="e">
        <v>#REF!</v>
      </c>
      <c r="N196" s="12"/>
      <c r="O196" s="12" t="s">
        <v>16</v>
      </c>
      <c r="P196" s="57" t="str">
        <f t="shared" si="9"/>
        <v>un fuste</v>
      </c>
      <c r="Q196">
        <f t="shared" si="10"/>
        <v>5</v>
      </c>
      <c r="R196">
        <f t="shared" si="11"/>
        <v>5</v>
      </c>
    </row>
    <row r="197" spans="1:18" x14ac:dyDescent="0.25">
      <c r="A197" s="7">
        <v>5</v>
      </c>
      <c r="B197" s="7">
        <v>5</v>
      </c>
      <c r="C197" s="8"/>
      <c r="D197" s="8">
        <v>5</v>
      </c>
      <c r="E197" s="8">
        <v>5</v>
      </c>
      <c r="F197" s="9" t="s">
        <v>17</v>
      </c>
      <c r="G197" s="13" t="s">
        <v>150</v>
      </c>
      <c r="H197" s="11" t="s">
        <v>151</v>
      </c>
      <c r="I197" s="7"/>
      <c r="J197" s="7"/>
      <c r="K197" s="7"/>
      <c r="L197" s="7">
        <v>6</v>
      </c>
      <c r="M197" s="7" t="e">
        <v>#REF!</v>
      </c>
      <c r="N197" s="12"/>
      <c r="O197" s="12" t="s">
        <v>16</v>
      </c>
      <c r="P197" s="57" t="str">
        <f t="shared" si="9"/>
        <v>un fuste</v>
      </c>
      <c r="Q197">
        <f t="shared" si="10"/>
        <v>5</v>
      </c>
      <c r="R197">
        <f t="shared" si="11"/>
        <v>5</v>
      </c>
    </row>
    <row r="198" spans="1:18" x14ac:dyDescent="0.25">
      <c r="A198" s="7">
        <v>5</v>
      </c>
      <c r="B198" s="7">
        <v>5</v>
      </c>
      <c r="C198" s="7"/>
      <c r="D198" s="8">
        <v>6</v>
      </c>
      <c r="E198" s="7">
        <v>6</v>
      </c>
      <c r="F198" s="9" t="s">
        <v>26</v>
      </c>
      <c r="G198" s="13" t="s">
        <v>27</v>
      </c>
      <c r="H198" s="11" t="s">
        <v>28</v>
      </c>
      <c r="I198" s="7"/>
      <c r="J198" s="7"/>
      <c r="K198" s="7"/>
      <c r="L198" s="7">
        <v>0.8</v>
      </c>
      <c r="M198" s="7" t="e">
        <v>#REF!</v>
      </c>
      <c r="N198" s="12"/>
      <c r="O198" s="12" t="s">
        <v>16</v>
      </c>
      <c r="P198" s="57" t="str">
        <f t="shared" si="9"/>
        <v>un fuste</v>
      </c>
      <c r="Q198">
        <f t="shared" si="10"/>
        <v>2.5</v>
      </c>
      <c r="R198">
        <f t="shared" si="11"/>
        <v>5</v>
      </c>
    </row>
    <row r="199" spans="1:18" x14ac:dyDescent="0.25">
      <c r="A199" s="7">
        <v>5</v>
      </c>
      <c r="B199" s="7">
        <v>5</v>
      </c>
      <c r="C199" s="8"/>
      <c r="D199" s="8">
        <v>7</v>
      </c>
      <c r="E199" s="8">
        <v>7</v>
      </c>
      <c r="F199" s="9" t="s">
        <v>17</v>
      </c>
      <c r="G199" s="13" t="s">
        <v>65</v>
      </c>
      <c r="H199" s="14" t="s">
        <v>66</v>
      </c>
      <c r="I199" s="7"/>
      <c r="J199" s="7"/>
      <c r="K199" s="7"/>
      <c r="L199" s="8">
        <v>3</v>
      </c>
      <c r="M199" s="7" t="e">
        <v>#REF!</v>
      </c>
      <c r="N199" s="12"/>
      <c r="O199" s="12" t="s">
        <v>16</v>
      </c>
      <c r="P199" s="57" t="str">
        <f t="shared" si="9"/>
        <v>un fuste</v>
      </c>
      <c r="Q199">
        <f t="shared" si="10"/>
        <v>2.5</v>
      </c>
      <c r="R199">
        <f t="shared" si="11"/>
        <v>5</v>
      </c>
    </row>
    <row r="200" spans="1:18" x14ac:dyDescent="0.25">
      <c r="A200" s="7">
        <v>5</v>
      </c>
      <c r="B200" s="7">
        <v>5</v>
      </c>
      <c r="C200" s="8"/>
      <c r="D200" s="8">
        <v>8</v>
      </c>
      <c r="E200" s="8">
        <v>8</v>
      </c>
      <c r="F200" s="9" t="s">
        <v>17</v>
      </c>
      <c r="G200" s="13" t="s">
        <v>65</v>
      </c>
      <c r="H200" s="11" t="s">
        <v>66</v>
      </c>
      <c r="I200" s="7"/>
      <c r="J200" s="7"/>
      <c r="K200" s="7"/>
      <c r="L200" s="8">
        <v>3</v>
      </c>
      <c r="M200" s="7" t="e">
        <v>#REF!</v>
      </c>
      <c r="N200" s="12"/>
      <c r="O200" s="12" t="s">
        <v>16</v>
      </c>
      <c r="P200" s="57" t="str">
        <f t="shared" si="9"/>
        <v>un fuste</v>
      </c>
      <c r="Q200">
        <f t="shared" si="10"/>
        <v>2.5</v>
      </c>
      <c r="R200">
        <f t="shared" si="11"/>
        <v>5</v>
      </c>
    </row>
    <row r="201" spans="1:18" x14ac:dyDescent="0.25">
      <c r="A201" s="7">
        <v>5</v>
      </c>
      <c r="B201" s="7">
        <v>5</v>
      </c>
      <c r="C201" s="7"/>
      <c r="D201" s="8">
        <v>9</v>
      </c>
      <c r="E201" s="7">
        <v>9</v>
      </c>
      <c r="F201" s="9" t="s">
        <v>26</v>
      </c>
      <c r="G201" s="13" t="s">
        <v>27</v>
      </c>
      <c r="H201" s="11" t="s">
        <v>28</v>
      </c>
      <c r="I201" s="7"/>
      <c r="J201" s="7"/>
      <c r="K201" s="7"/>
      <c r="L201" s="7">
        <v>0.15</v>
      </c>
      <c r="M201" s="7" t="e">
        <v>#REF!</v>
      </c>
      <c r="N201" s="12"/>
      <c r="O201" s="12" t="s">
        <v>16</v>
      </c>
      <c r="P201" s="57" t="str">
        <f t="shared" si="9"/>
        <v>un fuste</v>
      </c>
      <c r="Q201">
        <f t="shared" si="10"/>
        <v>2.5</v>
      </c>
      <c r="R201">
        <f t="shared" si="11"/>
        <v>5</v>
      </c>
    </row>
    <row r="202" spans="1:18" x14ac:dyDescent="0.25">
      <c r="A202" s="7">
        <v>5</v>
      </c>
      <c r="B202" s="7">
        <v>5</v>
      </c>
      <c r="C202" s="8"/>
      <c r="D202" s="8">
        <v>10</v>
      </c>
      <c r="E202" s="8">
        <v>10</v>
      </c>
      <c r="F202" s="9" t="s">
        <v>168</v>
      </c>
      <c r="G202" s="10" t="s">
        <v>169</v>
      </c>
      <c r="H202" s="11" t="s">
        <v>170</v>
      </c>
      <c r="I202" s="7"/>
      <c r="J202" s="7"/>
      <c r="K202" s="7"/>
      <c r="L202" s="7">
        <v>0.2</v>
      </c>
      <c r="M202" s="7" t="e">
        <v>#REF!</v>
      </c>
      <c r="N202" s="12"/>
      <c r="O202" s="12" t="s">
        <v>16</v>
      </c>
      <c r="P202" s="57" t="str">
        <f t="shared" si="9"/>
        <v>un fuste</v>
      </c>
      <c r="Q202">
        <f t="shared" si="10"/>
        <v>2.5</v>
      </c>
      <c r="R202">
        <f t="shared" si="11"/>
        <v>5</v>
      </c>
    </row>
    <row r="203" spans="1:18" x14ac:dyDescent="0.25">
      <c r="A203" s="7">
        <v>5</v>
      </c>
      <c r="B203" s="7">
        <v>5</v>
      </c>
      <c r="C203" s="8"/>
      <c r="D203" s="8">
        <v>11</v>
      </c>
      <c r="E203" s="8">
        <v>11</v>
      </c>
      <c r="F203" s="9" t="s">
        <v>43</v>
      </c>
      <c r="G203" s="13" t="s">
        <v>146</v>
      </c>
      <c r="H203" s="14" t="s">
        <v>147</v>
      </c>
      <c r="I203" s="7"/>
      <c r="J203" s="7"/>
      <c r="K203" s="7"/>
      <c r="L203" s="7">
        <v>0.6</v>
      </c>
      <c r="M203" s="7" t="e">
        <v>#REF!</v>
      </c>
      <c r="N203" s="12"/>
      <c r="O203" s="12" t="s">
        <v>16</v>
      </c>
      <c r="P203" s="57" t="str">
        <f t="shared" si="9"/>
        <v>un fuste</v>
      </c>
      <c r="Q203">
        <f t="shared" si="10"/>
        <v>2.5</v>
      </c>
      <c r="R203">
        <f t="shared" si="11"/>
        <v>5</v>
      </c>
    </row>
    <row r="204" spans="1:18" x14ac:dyDescent="0.25">
      <c r="A204" s="7">
        <v>5</v>
      </c>
      <c r="B204" s="7">
        <v>5</v>
      </c>
      <c r="C204" s="7"/>
      <c r="D204" s="8">
        <v>12</v>
      </c>
      <c r="E204" s="7">
        <v>12</v>
      </c>
      <c r="F204" s="9" t="s">
        <v>43</v>
      </c>
      <c r="G204" s="10" t="s">
        <v>146</v>
      </c>
      <c r="H204" s="11" t="s">
        <v>147</v>
      </c>
      <c r="I204" s="7"/>
      <c r="J204" s="7"/>
      <c r="K204" s="7"/>
      <c r="L204" s="7">
        <v>0.6</v>
      </c>
      <c r="M204" s="7" t="e">
        <v>#REF!</v>
      </c>
      <c r="N204" s="12"/>
      <c r="O204" s="12" t="s">
        <v>16</v>
      </c>
      <c r="P204" s="57" t="str">
        <f t="shared" si="9"/>
        <v>un fuste</v>
      </c>
      <c r="Q204">
        <f t="shared" si="10"/>
        <v>2.5</v>
      </c>
      <c r="R204">
        <f t="shared" si="11"/>
        <v>5</v>
      </c>
    </row>
    <row r="205" spans="1:18" x14ac:dyDescent="0.25">
      <c r="A205" s="7">
        <v>5</v>
      </c>
      <c r="B205" s="7">
        <v>5</v>
      </c>
      <c r="C205" s="7"/>
      <c r="D205" s="8">
        <v>13</v>
      </c>
      <c r="E205" s="8">
        <v>13</v>
      </c>
      <c r="F205" s="9" t="s">
        <v>43</v>
      </c>
      <c r="G205" s="10" t="s">
        <v>146</v>
      </c>
      <c r="H205" s="11" t="s">
        <v>147</v>
      </c>
      <c r="I205" s="7"/>
      <c r="J205" s="7"/>
      <c r="K205" s="7"/>
      <c r="L205" s="7">
        <v>0.6</v>
      </c>
      <c r="M205" s="7" t="e">
        <v>#REF!</v>
      </c>
      <c r="N205" s="12"/>
      <c r="O205" s="12" t="s">
        <v>16</v>
      </c>
      <c r="P205" s="57" t="str">
        <f t="shared" si="9"/>
        <v>un fuste</v>
      </c>
      <c r="Q205">
        <f t="shared" si="10"/>
        <v>2.5</v>
      </c>
      <c r="R205">
        <f t="shared" si="11"/>
        <v>5</v>
      </c>
    </row>
    <row r="206" spans="1:18" x14ac:dyDescent="0.25">
      <c r="A206" s="7">
        <v>5</v>
      </c>
      <c r="B206" s="7">
        <v>5</v>
      </c>
      <c r="C206" s="7"/>
      <c r="D206" s="8">
        <v>14</v>
      </c>
      <c r="E206" s="7">
        <v>14</v>
      </c>
      <c r="F206" s="17" t="s">
        <v>168</v>
      </c>
      <c r="G206" s="18" t="s">
        <v>169</v>
      </c>
      <c r="H206" s="11" t="s">
        <v>170</v>
      </c>
      <c r="I206" s="7"/>
      <c r="J206" s="7"/>
      <c r="K206" s="7"/>
      <c r="L206" s="7">
        <v>0.2</v>
      </c>
      <c r="M206" s="7" t="e">
        <v>#REF!</v>
      </c>
      <c r="N206" s="12"/>
      <c r="O206" s="12" t="s">
        <v>16</v>
      </c>
      <c r="P206" s="57" t="str">
        <f t="shared" si="9"/>
        <v>un fuste</v>
      </c>
      <c r="Q206">
        <f t="shared" si="10"/>
        <v>2.5</v>
      </c>
      <c r="R206">
        <f t="shared" si="11"/>
        <v>5</v>
      </c>
    </row>
    <row r="207" spans="1:18" x14ac:dyDescent="0.25">
      <c r="A207" s="7">
        <v>5</v>
      </c>
      <c r="B207" s="7">
        <v>5</v>
      </c>
      <c r="C207" s="7"/>
      <c r="D207" s="8">
        <v>15</v>
      </c>
      <c r="E207" s="8">
        <v>15</v>
      </c>
      <c r="F207" s="9" t="s">
        <v>168</v>
      </c>
      <c r="G207" s="13" t="s">
        <v>169</v>
      </c>
      <c r="H207" s="11" t="s">
        <v>170</v>
      </c>
      <c r="I207" s="7"/>
      <c r="J207" s="7"/>
      <c r="K207" s="7"/>
      <c r="L207" s="7">
        <v>0.1</v>
      </c>
      <c r="M207" s="7" t="e">
        <v>#REF!</v>
      </c>
      <c r="N207" s="12"/>
      <c r="O207" s="12" t="s">
        <v>16</v>
      </c>
      <c r="P207" s="57" t="str">
        <f t="shared" si="9"/>
        <v>un fuste</v>
      </c>
      <c r="Q207">
        <f t="shared" si="10"/>
        <v>2.5</v>
      </c>
      <c r="R207">
        <f t="shared" si="11"/>
        <v>5</v>
      </c>
    </row>
    <row r="208" spans="1:18" x14ac:dyDescent="0.25">
      <c r="A208" s="7">
        <v>5</v>
      </c>
      <c r="B208" s="7">
        <v>5</v>
      </c>
      <c r="C208" s="8"/>
      <c r="D208" s="8">
        <v>16</v>
      </c>
      <c r="E208" s="8">
        <v>16</v>
      </c>
      <c r="F208" s="9" t="s">
        <v>168</v>
      </c>
      <c r="G208" s="10" t="s">
        <v>169</v>
      </c>
      <c r="H208" s="11" t="s">
        <v>170</v>
      </c>
      <c r="I208" s="7"/>
      <c r="J208" s="7"/>
      <c r="K208" s="7"/>
      <c r="L208" s="8">
        <v>0.1</v>
      </c>
      <c r="M208" s="7" t="e">
        <v>#REF!</v>
      </c>
      <c r="N208" s="12"/>
      <c r="O208" s="12" t="s">
        <v>16</v>
      </c>
      <c r="P208" s="57" t="str">
        <f t="shared" si="9"/>
        <v>un fuste</v>
      </c>
      <c r="Q208">
        <f t="shared" si="10"/>
        <v>2.5</v>
      </c>
      <c r="R208">
        <f t="shared" si="11"/>
        <v>5</v>
      </c>
    </row>
    <row r="209" spans="1:21" x14ac:dyDescent="0.25">
      <c r="A209" s="7">
        <v>5</v>
      </c>
      <c r="B209" s="7">
        <v>5</v>
      </c>
      <c r="C209" s="7"/>
      <c r="D209" s="8">
        <v>17</v>
      </c>
      <c r="E209" s="8">
        <v>17</v>
      </c>
      <c r="F209" s="9" t="s">
        <v>168</v>
      </c>
      <c r="G209" s="13" t="s">
        <v>169</v>
      </c>
      <c r="H209" s="11" t="s">
        <v>170</v>
      </c>
      <c r="I209" s="7"/>
      <c r="J209" s="7"/>
      <c r="K209" s="7"/>
      <c r="L209" s="7">
        <v>0.15</v>
      </c>
      <c r="M209" s="7" t="e">
        <v>#REF!</v>
      </c>
      <c r="N209" s="12"/>
      <c r="O209" s="12" t="s">
        <v>16</v>
      </c>
      <c r="P209" s="57" t="str">
        <f t="shared" si="9"/>
        <v>un fuste</v>
      </c>
      <c r="Q209">
        <f t="shared" si="10"/>
        <v>2.5</v>
      </c>
      <c r="R209">
        <f t="shared" si="11"/>
        <v>5</v>
      </c>
    </row>
    <row r="210" spans="1:21" x14ac:dyDescent="0.25">
      <c r="A210" s="7">
        <v>5</v>
      </c>
      <c r="B210" s="7">
        <v>5</v>
      </c>
      <c r="C210" s="8"/>
      <c r="D210" s="8">
        <v>18</v>
      </c>
      <c r="E210" s="8">
        <v>18</v>
      </c>
      <c r="F210" s="9" t="s">
        <v>168</v>
      </c>
      <c r="G210" s="10" t="s">
        <v>169</v>
      </c>
      <c r="H210" s="11" t="s">
        <v>170</v>
      </c>
      <c r="I210" s="7"/>
      <c r="J210" s="7"/>
      <c r="K210" s="7"/>
      <c r="L210" s="7">
        <v>0.1</v>
      </c>
      <c r="M210" s="7" t="e">
        <v>#REF!</v>
      </c>
      <c r="N210" s="12"/>
      <c r="O210" s="12" t="s">
        <v>16</v>
      </c>
      <c r="P210" s="57" t="str">
        <f t="shared" si="9"/>
        <v>un fuste</v>
      </c>
      <c r="Q210">
        <f t="shared" si="10"/>
        <v>2.5</v>
      </c>
      <c r="R210">
        <f t="shared" si="11"/>
        <v>5</v>
      </c>
    </row>
    <row r="211" spans="1:21" x14ac:dyDescent="0.25">
      <c r="A211" s="7">
        <v>5</v>
      </c>
      <c r="B211" s="7">
        <v>5</v>
      </c>
      <c r="C211" s="8"/>
      <c r="D211" s="8">
        <v>19</v>
      </c>
      <c r="E211" s="8">
        <v>19</v>
      </c>
      <c r="F211" s="17" t="s">
        <v>168</v>
      </c>
      <c r="G211" s="18" t="s">
        <v>169</v>
      </c>
      <c r="H211" s="11" t="s">
        <v>170</v>
      </c>
      <c r="I211" s="7"/>
      <c r="J211" s="7"/>
      <c r="K211" s="7"/>
      <c r="L211" s="8">
        <v>0.1</v>
      </c>
      <c r="M211" s="7" t="e">
        <v>#REF!</v>
      </c>
      <c r="N211" s="12"/>
      <c r="O211" s="12" t="s">
        <v>16</v>
      </c>
      <c r="P211" s="57" t="str">
        <f t="shared" si="9"/>
        <v>un fuste</v>
      </c>
      <c r="Q211">
        <f t="shared" si="10"/>
        <v>2.5</v>
      </c>
      <c r="R211">
        <f t="shared" si="11"/>
        <v>5</v>
      </c>
    </row>
    <row r="212" spans="1:21" x14ac:dyDescent="0.25">
      <c r="A212" s="7">
        <v>6</v>
      </c>
      <c r="B212" s="7">
        <v>5</v>
      </c>
      <c r="C212" s="7"/>
      <c r="D212" s="8">
        <v>1</v>
      </c>
      <c r="E212" s="7">
        <v>1</v>
      </c>
      <c r="F212" s="9" t="s">
        <v>43</v>
      </c>
      <c r="G212" s="10" t="s">
        <v>99</v>
      </c>
      <c r="H212" s="11" t="s">
        <v>100</v>
      </c>
      <c r="I212" s="7"/>
      <c r="J212" s="7"/>
      <c r="K212" s="7"/>
      <c r="L212" s="7">
        <v>6</v>
      </c>
      <c r="M212" s="7" t="e">
        <v>#REF!</v>
      </c>
      <c r="N212" s="12"/>
      <c r="O212" s="12" t="s">
        <v>16</v>
      </c>
      <c r="P212" s="57" t="str">
        <f t="shared" si="9"/>
        <v>un fuste</v>
      </c>
      <c r="Q212">
        <f t="shared" si="10"/>
        <v>5</v>
      </c>
      <c r="R212">
        <f t="shared" si="11"/>
        <v>5</v>
      </c>
    </row>
    <row r="213" spans="1:21" x14ac:dyDescent="0.25">
      <c r="A213" s="7">
        <v>6</v>
      </c>
      <c r="B213" s="7">
        <v>5</v>
      </c>
      <c r="C213" s="7"/>
      <c r="D213" s="8">
        <v>2</v>
      </c>
      <c r="E213" s="8">
        <v>2</v>
      </c>
      <c r="F213" s="9" t="s">
        <v>43</v>
      </c>
      <c r="G213" s="13" t="s">
        <v>99</v>
      </c>
      <c r="H213" s="11" t="s">
        <v>100</v>
      </c>
      <c r="I213" s="7"/>
      <c r="J213" s="7"/>
      <c r="K213" s="7"/>
      <c r="L213" s="7">
        <v>1.6</v>
      </c>
      <c r="M213" s="7" t="e">
        <v>#REF!</v>
      </c>
      <c r="N213" s="12"/>
      <c r="O213" s="12" t="s">
        <v>16</v>
      </c>
      <c r="P213" s="57" t="str">
        <f t="shared" si="9"/>
        <v>un fuste</v>
      </c>
      <c r="Q213">
        <f t="shared" si="10"/>
        <v>2.5</v>
      </c>
      <c r="R213">
        <f t="shared" si="11"/>
        <v>5</v>
      </c>
    </row>
    <row r="214" spans="1:21" x14ac:dyDescent="0.25">
      <c r="A214" s="7">
        <v>8</v>
      </c>
      <c r="B214" s="7">
        <v>100</v>
      </c>
      <c r="C214" s="8">
        <v>4</v>
      </c>
      <c r="D214" s="8">
        <v>22</v>
      </c>
      <c r="E214" s="8">
        <v>22</v>
      </c>
      <c r="F214" s="9" t="s">
        <v>155</v>
      </c>
      <c r="G214" s="10" t="s">
        <v>204</v>
      </c>
      <c r="H214" s="11" t="s">
        <v>205</v>
      </c>
      <c r="I214" s="7">
        <v>27</v>
      </c>
      <c r="J214" s="15">
        <v>8.5943669269623477</v>
      </c>
      <c r="K214" s="7">
        <v>7</v>
      </c>
      <c r="L214" s="8">
        <v>11</v>
      </c>
      <c r="M214" s="7"/>
      <c r="N214" s="12" t="s">
        <v>20</v>
      </c>
      <c r="O214" s="12" t="s">
        <v>16</v>
      </c>
      <c r="P214" s="57" t="str">
        <f t="shared" si="9"/>
        <v>un fuste</v>
      </c>
      <c r="Q214">
        <f t="shared" si="10"/>
        <v>10</v>
      </c>
      <c r="R214">
        <f t="shared" si="11"/>
        <v>10</v>
      </c>
    </row>
    <row r="215" spans="1:21" x14ac:dyDescent="0.25">
      <c r="A215" s="7">
        <v>2</v>
      </c>
      <c r="B215" s="7">
        <v>500</v>
      </c>
      <c r="C215" s="8">
        <v>1</v>
      </c>
      <c r="D215" s="8">
        <v>1</v>
      </c>
      <c r="E215" s="8">
        <v>1</v>
      </c>
      <c r="F215" s="9" t="s">
        <v>26</v>
      </c>
      <c r="G215" s="13" t="s">
        <v>27</v>
      </c>
      <c r="H215" s="11" t="s">
        <v>28</v>
      </c>
      <c r="I215" s="7">
        <v>37</v>
      </c>
      <c r="J215" s="15">
        <v>11.777465788800255</v>
      </c>
      <c r="K215" s="7">
        <v>6</v>
      </c>
      <c r="L215" s="7">
        <v>13</v>
      </c>
      <c r="M215" s="7"/>
      <c r="N215" s="12" t="s">
        <v>20</v>
      </c>
      <c r="O215" s="12" t="s">
        <v>16</v>
      </c>
      <c r="P215" s="57" t="str">
        <f t="shared" si="9"/>
        <v>un fuste</v>
      </c>
      <c r="Q215">
        <f t="shared" si="10"/>
        <v>12.5</v>
      </c>
      <c r="R215">
        <f t="shared" si="11"/>
        <v>10</v>
      </c>
      <c r="S215">
        <v>16</v>
      </c>
      <c r="T215" t="s">
        <v>275</v>
      </c>
      <c r="U215">
        <v>8.3895793672179933E-2</v>
      </c>
    </row>
    <row r="216" spans="1:21" x14ac:dyDescent="0.25">
      <c r="A216" s="7">
        <v>5</v>
      </c>
      <c r="B216" s="7">
        <v>100</v>
      </c>
      <c r="C216" s="8">
        <v>1</v>
      </c>
      <c r="D216" s="8">
        <v>1</v>
      </c>
      <c r="E216" s="8">
        <v>1</v>
      </c>
      <c r="F216" s="9" t="s">
        <v>26</v>
      </c>
      <c r="G216" s="13" t="s">
        <v>27</v>
      </c>
      <c r="H216" s="11" t="s">
        <v>28</v>
      </c>
      <c r="I216" s="7">
        <v>29.5</v>
      </c>
      <c r="J216" s="15">
        <v>9.3901416424218258</v>
      </c>
      <c r="K216" s="7">
        <v>5.5</v>
      </c>
      <c r="L216" s="7">
        <v>9</v>
      </c>
      <c r="M216" s="7"/>
      <c r="N216" s="12" t="s">
        <v>29</v>
      </c>
      <c r="O216" s="12" t="s">
        <v>16</v>
      </c>
      <c r="P216" s="57" t="str">
        <f t="shared" si="9"/>
        <v>un fuste</v>
      </c>
      <c r="Q216">
        <f t="shared" si="10"/>
        <v>10</v>
      </c>
      <c r="R216">
        <f t="shared" si="11"/>
        <v>10</v>
      </c>
    </row>
    <row r="217" spans="1:21" x14ac:dyDescent="0.25">
      <c r="A217" s="7">
        <v>4</v>
      </c>
      <c r="B217" s="7">
        <v>500</v>
      </c>
      <c r="C217" s="8">
        <v>1</v>
      </c>
      <c r="D217" s="8">
        <v>2</v>
      </c>
      <c r="E217" s="8">
        <v>2</v>
      </c>
      <c r="F217" s="17" t="s">
        <v>26</v>
      </c>
      <c r="G217" s="10" t="s">
        <v>27</v>
      </c>
      <c r="H217" s="11" t="s">
        <v>28</v>
      </c>
      <c r="I217" s="7">
        <v>33</v>
      </c>
      <c r="J217" s="15">
        <v>10.504226244065093</v>
      </c>
      <c r="K217" s="7">
        <v>8</v>
      </c>
      <c r="L217" s="8">
        <v>11</v>
      </c>
      <c r="M217" s="7"/>
      <c r="N217" s="12" t="s">
        <v>20</v>
      </c>
      <c r="O217" s="12" t="s">
        <v>16</v>
      </c>
      <c r="P217" s="57" t="str">
        <f t="shared" si="9"/>
        <v>un fuste</v>
      </c>
      <c r="Q217">
        <f t="shared" si="10"/>
        <v>10</v>
      </c>
      <c r="R217">
        <f t="shared" si="11"/>
        <v>10</v>
      </c>
      <c r="S217">
        <v>16</v>
      </c>
      <c r="T217" t="s">
        <v>275</v>
      </c>
      <c r="U217">
        <v>5.7300712943972834E-2</v>
      </c>
    </row>
    <row r="218" spans="1:21" x14ac:dyDescent="0.25">
      <c r="A218" s="7">
        <v>5</v>
      </c>
      <c r="B218" s="7">
        <v>500</v>
      </c>
      <c r="C218" s="7">
        <v>1</v>
      </c>
      <c r="D218" s="7">
        <v>2</v>
      </c>
      <c r="E218" s="7">
        <v>2</v>
      </c>
      <c r="F218" s="9" t="s">
        <v>26</v>
      </c>
      <c r="G218" s="13" t="s">
        <v>27</v>
      </c>
      <c r="H218" s="11" t="s">
        <v>28</v>
      </c>
      <c r="I218" s="7">
        <v>43</v>
      </c>
      <c r="J218" s="15">
        <v>13.687325105903</v>
      </c>
      <c r="K218" s="7">
        <v>7</v>
      </c>
      <c r="L218" s="7">
        <v>10</v>
      </c>
      <c r="M218" s="7"/>
      <c r="N218" s="12" t="s">
        <v>20</v>
      </c>
      <c r="O218" s="12" t="s">
        <v>16</v>
      </c>
      <c r="P218" s="57" t="str">
        <f t="shared" si="9"/>
        <v>un fuste</v>
      </c>
      <c r="Q218">
        <f t="shared" si="10"/>
        <v>10</v>
      </c>
      <c r="R218">
        <f t="shared" si="11"/>
        <v>15</v>
      </c>
      <c r="S218">
        <v>16</v>
      </c>
      <c r="T218" t="s">
        <v>275</v>
      </c>
      <c r="U218">
        <v>8.45043860324068E-2</v>
      </c>
    </row>
    <row r="219" spans="1:21" x14ac:dyDescent="0.25">
      <c r="A219" s="7">
        <v>1</v>
      </c>
      <c r="B219" s="7">
        <v>100</v>
      </c>
      <c r="C219" s="8">
        <v>1</v>
      </c>
      <c r="D219" s="7">
        <v>2</v>
      </c>
      <c r="E219" s="7">
        <v>2</v>
      </c>
      <c r="F219" s="9" t="s">
        <v>26</v>
      </c>
      <c r="G219" s="13" t="s">
        <v>27</v>
      </c>
      <c r="H219" s="11" t="s">
        <v>28</v>
      </c>
      <c r="I219" s="7">
        <v>28</v>
      </c>
      <c r="J219" s="15">
        <v>8.91267681314614</v>
      </c>
      <c r="K219" s="7">
        <v>3</v>
      </c>
      <c r="L219" s="7">
        <v>7</v>
      </c>
      <c r="M219" s="7"/>
      <c r="N219" s="12" t="s">
        <v>20</v>
      </c>
      <c r="O219" s="12" t="s">
        <v>16</v>
      </c>
      <c r="P219" s="57" t="str">
        <f t="shared" si="9"/>
        <v>un fuste</v>
      </c>
      <c r="Q219">
        <f t="shared" si="10"/>
        <v>7.5</v>
      </c>
      <c r="R219">
        <f t="shared" si="11"/>
        <v>10</v>
      </c>
    </row>
    <row r="220" spans="1:21" x14ac:dyDescent="0.25">
      <c r="A220" s="7">
        <v>2</v>
      </c>
      <c r="B220" s="7">
        <v>100</v>
      </c>
      <c r="C220" s="7">
        <v>1</v>
      </c>
      <c r="D220" s="8">
        <v>2</v>
      </c>
      <c r="E220" s="7">
        <v>2</v>
      </c>
      <c r="F220" s="9" t="s">
        <v>26</v>
      </c>
      <c r="G220" s="13" t="s">
        <v>27</v>
      </c>
      <c r="H220" s="14" t="s">
        <v>28</v>
      </c>
      <c r="I220" s="7">
        <v>19</v>
      </c>
      <c r="J220" s="15">
        <v>6.0478878374920226</v>
      </c>
      <c r="K220" s="7">
        <v>5</v>
      </c>
      <c r="L220" s="7">
        <v>6</v>
      </c>
      <c r="M220" s="7"/>
      <c r="N220" s="12" t="s">
        <v>20</v>
      </c>
      <c r="O220" s="12" t="s">
        <v>39</v>
      </c>
      <c r="P220" s="57" t="str">
        <f t="shared" si="9"/>
        <v>un fuste</v>
      </c>
      <c r="Q220">
        <f t="shared" si="10"/>
        <v>5</v>
      </c>
      <c r="R220">
        <f t="shared" si="11"/>
        <v>5</v>
      </c>
    </row>
    <row r="221" spans="1:21" x14ac:dyDescent="0.25">
      <c r="A221" s="7">
        <v>5</v>
      </c>
      <c r="B221" s="7">
        <v>100</v>
      </c>
      <c r="C221" s="8">
        <v>1</v>
      </c>
      <c r="D221" s="8" t="s">
        <v>172</v>
      </c>
      <c r="E221" s="8">
        <v>2</v>
      </c>
      <c r="F221" s="9" t="s">
        <v>26</v>
      </c>
      <c r="G221" s="13" t="s">
        <v>27</v>
      </c>
      <c r="H221" s="11" t="s">
        <v>28</v>
      </c>
      <c r="I221" s="8">
        <v>23</v>
      </c>
      <c r="J221" s="15">
        <v>7.3211273822271856</v>
      </c>
      <c r="K221" s="8">
        <v>5.5</v>
      </c>
      <c r="L221" s="8">
        <v>9</v>
      </c>
      <c r="M221" s="7"/>
      <c r="N221" s="12" t="s">
        <v>20</v>
      </c>
      <c r="O221" s="12" t="s">
        <v>16</v>
      </c>
      <c r="P221" s="31" t="e">
        <f t="shared" si="9"/>
        <v>#VALUE!</v>
      </c>
      <c r="Q221">
        <f t="shared" si="10"/>
        <v>10</v>
      </c>
      <c r="R221">
        <f t="shared" si="11"/>
        <v>5</v>
      </c>
    </row>
    <row r="222" spans="1:21" x14ac:dyDescent="0.25">
      <c r="A222" s="7">
        <v>9</v>
      </c>
      <c r="B222" s="7">
        <v>500</v>
      </c>
      <c r="C222" s="7">
        <v>1</v>
      </c>
      <c r="D222" s="8">
        <v>3</v>
      </c>
      <c r="E222" s="7">
        <v>3</v>
      </c>
      <c r="F222" s="9" t="s">
        <v>26</v>
      </c>
      <c r="G222" s="13" t="s">
        <v>27</v>
      </c>
      <c r="H222" s="11" t="s">
        <v>28</v>
      </c>
      <c r="I222" s="7">
        <v>35.5</v>
      </c>
      <c r="J222" s="15">
        <v>11.300000959524569</v>
      </c>
      <c r="K222" s="7">
        <v>5.5</v>
      </c>
      <c r="L222" s="7">
        <v>10</v>
      </c>
      <c r="M222" s="7"/>
      <c r="N222" s="12" t="s">
        <v>20</v>
      </c>
      <c r="O222" s="12" t="s">
        <v>16</v>
      </c>
      <c r="P222" s="57" t="str">
        <f t="shared" si="9"/>
        <v>un fuste</v>
      </c>
      <c r="Q222">
        <f t="shared" si="10"/>
        <v>10</v>
      </c>
      <c r="R222">
        <f t="shared" si="11"/>
        <v>10</v>
      </c>
      <c r="S222">
        <v>16</v>
      </c>
      <c r="T222" t="s">
        <v>275</v>
      </c>
      <c r="U222">
        <v>5.9429443989314337E-2</v>
      </c>
    </row>
    <row r="223" spans="1:21" x14ac:dyDescent="0.25">
      <c r="A223" s="7">
        <v>10</v>
      </c>
      <c r="B223" s="7">
        <v>500</v>
      </c>
      <c r="C223" s="8">
        <v>1</v>
      </c>
      <c r="D223" s="8">
        <v>3</v>
      </c>
      <c r="E223" s="8">
        <v>3</v>
      </c>
      <c r="F223" s="17" t="s">
        <v>26</v>
      </c>
      <c r="G223" s="10" t="s">
        <v>27</v>
      </c>
      <c r="H223" s="11" t="s">
        <v>28</v>
      </c>
      <c r="I223" s="7">
        <v>33.5</v>
      </c>
      <c r="J223" s="15">
        <v>10.663381187156988</v>
      </c>
      <c r="K223" s="7">
        <v>6</v>
      </c>
      <c r="L223" s="8">
        <v>10</v>
      </c>
      <c r="M223" s="7"/>
      <c r="N223" s="12" t="s">
        <v>20</v>
      </c>
      <c r="O223" s="12" t="s">
        <v>16</v>
      </c>
      <c r="P223" s="57" t="str">
        <f t="shared" si="9"/>
        <v>un fuste</v>
      </c>
      <c r="Q223">
        <f t="shared" si="10"/>
        <v>10</v>
      </c>
      <c r="R223">
        <f t="shared" si="11"/>
        <v>10</v>
      </c>
      <c r="S223">
        <v>16</v>
      </c>
      <c r="T223" t="s">
        <v>275</v>
      </c>
      <c r="U223">
        <v>5.3425663706255927E-2</v>
      </c>
    </row>
    <row r="224" spans="1:21" x14ac:dyDescent="0.25">
      <c r="A224" s="7">
        <v>11</v>
      </c>
      <c r="B224" s="7">
        <v>500</v>
      </c>
      <c r="C224" s="7">
        <v>1</v>
      </c>
      <c r="D224" s="8">
        <v>2</v>
      </c>
      <c r="E224" s="7">
        <v>3</v>
      </c>
      <c r="F224" s="17" t="s">
        <v>26</v>
      </c>
      <c r="G224" s="18" t="s">
        <v>27</v>
      </c>
      <c r="H224" s="11" t="s">
        <v>28</v>
      </c>
      <c r="I224" s="7">
        <v>36</v>
      </c>
      <c r="J224" s="15">
        <v>11.459155902616464</v>
      </c>
      <c r="K224" s="7">
        <v>4</v>
      </c>
      <c r="L224" s="7">
        <v>10</v>
      </c>
      <c r="M224" s="7"/>
      <c r="N224" s="12" t="s">
        <v>20</v>
      </c>
      <c r="O224" s="12" t="s">
        <v>16</v>
      </c>
      <c r="P224" s="57" t="str">
        <f t="shared" si="9"/>
        <v>un fuste</v>
      </c>
      <c r="Q224">
        <f t="shared" si="10"/>
        <v>10</v>
      </c>
      <c r="R224">
        <f t="shared" si="11"/>
        <v>10</v>
      </c>
      <c r="S224">
        <v>16</v>
      </c>
      <c r="T224" t="s">
        <v>275</v>
      </c>
      <c r="U224">
        <v>6.0975779374989041E-2</v>
      </c>
    </row>
    <row r="225" spans="1:21" x14ac:dyDescent="0.25">
      <c r="A225" s="7">
        <v>11</v>
      </c>
      <c r="B225" s="7">
        <v>500</v>
      </c>
      <c r="C225" s="8">
        <v>1</v>
      </c>
      <c r="D225" s="8">
        <v>3</v>
      </c>
      <c r="E225" s="8">
        <v>4</v>
      </c>
      <c r="F225" s="9" t="s">
        <v>26</v>
      </c>
      <c r="G225" s="10" t="s">
        <v>27</v>
      </c>
      <c r="H225" s="11" t="s">
        <v>28</v>
      </c>
      <c r="I225" s="7">
        <v>46</v>
      </c>
      <c r="J225" s="15">
        <v>14.642254764454371</v>
      </c>
      <c r="K225" s="7">
        <v>6</v>
      </c>
      <c r="L225" s="7">
        <v>12</v>
      </c>
      <c r="M225" s="7"/>
      <c r="N225" s="12" t="s">
        <v>20</v>
      </c>
      <c r="O225" s="12" t="s">
        <v>16</v>
      </c>
      <c r="P225" s="57" t="str">
        <f t="shared" si="9"/>
        <v>un fuste</v>
      </c>
      <c r="Q225">
        <f t="shared" si="10"/>
        <v>12.5</v>
      </c>
      <c r="R225">
        <f t="shared" si="11"/>
        <v>15</v>
      </c>
      <c r="S225">
        <v>16</v>
      </c>
      <c r="T225" t="s">
        <v>275</v>
      </c>
      <c r="U225">
        <v>0.1152892094778195</v>
      </c>
    </row>
    <row r="226" spans="1:21" x14ac:dyDescent="0.25">
      <c r="A226" s="7">
        <v>1</v>
      </c>
      <c r="B226" s="7">
        <v>100</v>
      </c>
      <c r="C226" s="8">
        <v>1</v>
      </c>
      <c r="D226" s="8">
        <v>4</v>
      </c>
      <c r="E226" s="8">
        <v>4</v>
      </c>
      <c r="F226" s="9" t="s">
        <v>26</v>
      </c>
      <c r="G226" s="13" t="s">
        <v>27</v>
      </c>
      <c r="H226" s="11" t="s">
        <v>28</v>
      </c>
      <c r="I226" s="7">
        <v>21</v>
      </c>
      <c r="J226" s="15">
        <v>6.6845076098596046</v>
      </c>
      <c r="K226" s="7">
        <v>6</v>
      </c>
      <c r="L226" s="7">
        <v>8</v>
      </c>
      <c r="M226" s="7"/>
      <c r="N226" s="12" t="s">
        <v>20</v>
      </c>
      <c r="O226" s="12" t="s">
        <v>16</v>
      </c>
      <c r="P226" s="57" t="str">
        <f t="shared" si="9"/>
        <v>un fuste</v>
      </c>
      <c r="Q226">
        <f t="shared" si="10"/>
        <v>7.5</v>
      </c>
      <c r="R226">
        <f t="shared" si="11"/>
        <v>5</v>
      </c>
    </row>
    <row r="227" spans="1:21" x14ac:dyDescent="0.25">
      <c r="A227" s="7">
        <v>6</v>
      </c>
      <c r="B227" s="7">
        <v>5</v>
      </c>
      <c r="C227" s="8"/>
      <c r="D227" s="8">
        <v>3</v>
      </c>
      <c r="E227" s="8">
        <v>3</v>
      </c>
      <c r="F227" s="9" t="s">
        <v>43</v>
      </c>
      <c r="G227" s="13" t="s">
        <v>99</v>
      </c>
      <c r="H227" s="11" t="s">
        <v>100</v>
      </c>
      <c r="I227" s="8"/>
      <c r="J227" s="7"/>
      <c r="K227" s="8"/>
      <c r="L227" s="8">
        <v>4</v>
      </c>
      <c r="M227" s="7" t="e">
        <v>#REF!</v>
      </c>
      <c r="N227" s="12"/>
      <c r="O227" s="12" t="s">
        <v>16</v>
      </c>
      <c r="P227" s="57" t="str">
        <f t="shared" si="9"/>
        <v>un fuste</v>
      </c>
      <c r="Q227">
        <f t="shared" si="10"/>
        <v>5</v>
      </c>
      <c r="R227">
        <f t="shared" si="11"/>
        <v>5</v>
      </c>
    </row>
    <row r="228" spans="1:21" x14ac:dyDescent="0.25">
      <c r="A228" s="7">
        <v>2</v>
      </c>
      <c r="B228" s="7">
        <v>500</v>
      </c>
      <c r="C228" s="8">
        <v>1</v>
      </c>
      <c r="D228" s="8">
        <v>5</v>
      </c>
      <c r="E228" s="8">
        <v>5</v>
      </c>
      <c r="F228" s="9" t="s">
        <v>26</v>
      </c>
      <c r="G228" s="13" t="s">
        <v>27</v>
      </c>
      <c r="H228" s="14" t="s">
        <v>28</v>
      </c>
      <c r="I228" s="8">
        <v>35</v>
      </c>
      <c r="J228" s="15">
        <v>11.140846016432674</v>
      </c>
      <c r="K228" s="8">
        <v>8</v>
      </c>
      <c r="L228" s="8">
        <v>12</v>
      </c>
      <c r="M228" s="7"/>
      <c r="N228" s="12" t="s">
        <v>20</v>
      </c>
      <c r="O228" s="12" t="s">
        <v>16</v>
      </c>
      <c r="P228" s="57" t="str">
        <f t="shared" si="9"/>
        <v>un fuste</v>
      </c>
      <c r="Q228">
        <f t="shared" si="10"/>
        <v>12.5</v>
      </c>
      <c r="R228">
        <f t="shared" si="11"/>
        <v>10</v>
      </c>
      <c r="S228">
        <v>16</v>
      </c>
      <c r="T228" t="s">
        <v>275</v>
      </c>
      <c r="U228">
        <v>6.9791847152597383E-2</v>
      </c>
    </row>
    <row r="229" spans="1:21" x14ac:dyDescent="0.25">
      <c r="A229" s="7">
        <v>9</v>
      </c>
      <c r="B229" s="7">
        <v>500</v>
      </c>
      <c r="C229" s="7">
        <v>1</v>
      </c>
      <c r="D229" s="8">
        <v>5</v>
      </c>
      <c r="E229" s="7">
        <v>5</v>
      </c>
      <c r="F229" s="9" t="s">
        <v>26</v>
      </c>
      <c r="G229" s="10" t="s">
        <v>27</v>
      </c>
      <c r="H229" s="11" t="s">
        <v>28</v>
      </c>
      <c r="I229" s="7">
        <v>32</v>
      </c>
      <c r="J229" s="15">
        <v>10.185916357881302</v>
      </c>
      <c r="K229" s="7">
        <v>4.5</v>
      </c>
      <c r="L229" s="7">
        <v>9</v>
      </c>
      <c r="M229" s="7"/>
      <c r="N229" s="12" t="s">
        <v>20</v>
      </c>
      <c r="O229" s="12" t="s">
        <v>16</v>
      </c>
      <c r="P229" s="57" t="str">
        <f t="shared" si="9"/>
        <v>un fuste</v>
      </c>
      <c r="Q229">
        <f t="shared" si="10"/>
        <v>10</v>
      </c>
      <c r="R229">
        <f t="shared" si="11"/>
        <v>10</v>
      </c>
      <c r="S229">
        <v>16</v>
      </c>
      <c r="T229" t="s">
        <v>275</v>
      </c>
      <c r="U229">
        <v>4.408950883936872E-2</v>
      </c>
    </row>
    <row r="230" spans="1:21" x14ac:dyDescent="0.25">
      <c r="A230" s="7">
        <v>10</v>
      </c>
      <c r="B230" s="7">
        <v>500</v>
      </c>
      <c r="C230" s="7">
        <v>1</v>
      </c>
      <c r="D230" s="8">
        <v>5</v>
      </c>
      <c r="E230" s="7">
        <v>5</v>
      </c>
      <c r="F230" s="9" t="s">
        <v>26</v>
      </c>
      <c r="G230" s="13" t="s">
        <v>27</v>
      </c>
      <c r="H230" s="11" t="s">
        <v>28</v>
      </c>
      <c r="I230" s="7">
        <v>32</v>
      </c>
      <c r="J230" s="15">
        <v>10.185916357881302</v>
      </c>
      <c r="K230" s="7">
        <v>4</v>
      </c>
      <c r="L230" s="7">
        <v>10</v>
      </c>
      <c r="M230" s="7"/>
      <c r="N230" s="12" t="s">
        <v>20</v>
      </c>
      <c r="O230" s="12" t="s">
        <v>16</v>
      </c>
      <c r="P230" s="57" t="str">
        <f t="shared" si="9"/>
        <v>un fuste</v>
      </c>
      <c r="Q230">
        <f t="shared" si="10"/>
        <v>10</v>
      </c>
      <c r="R230">
        <f t="shared" si="11"/>
        <v>10</v>
      </c>
      <c r="S230">
        <v>16</v>
      </c>
      <c r="T230" t="s">
        <v>275</v>
      </c>
      <c r="U230">
        <v>4.9114685538601273E-2</v>
      </c>
    </row>
    <row r="231" spans="1:21" x14ac:dyDescent="0.25">
      <c r="A231" s="7">
        <v>11</v>
      </c>
      <c r="B231" s="7">
        <v>500</v>
      </c>
      <c r="C231" s="8">
        <v>1</v>
      </c>
      <c r="D231" s="8">
        <v>4</v>
      </c>
      <c r="E231" s="8">
        <v>5</v>
      </c>
      <c r="F231" s="9" t="s">
        <v>26</v>
      </c>
      <c r="G231" s="10" t="s">
        <v>27</v>
      </c>
      <c r="H231" s="11" t="s">
        <v>28</v>
      </c>
      <c r="I231" s="8">
        <v>31.5</v>
      </c>
      <c r="J231" s="15">
        <v>10.026761414789407</v>
      </c>
      <c r="K231" s="8">
        <v>6</v>
      </c>
      <c r="L231" s="8">
        <v>11</v>
      </c>
      <c r="M231" s="7"/>
      <c r="N231" s="12" t="s">
        <v>20</v>
      </c>
      <c r="O231" s="12" t="s">
        <v>16</v>
      </c>
      <c r="P231" s="57" t="str">
        <f t="shared" si="9"/>
        <v>un fuste</v>
      </c>
      <c r="Q231">
        <f t="shared" si="10"/>
        <v>10</v>
      </c>
      <c r="R231">
        <f t="shared" si="11"/>
        <v>10</v>
      </c>
      <c r="S231">
        <v>16</v>
      </c>
      <c r="T231" t="s">
        <v>275</v>
      </c>
      <c r="U231">
        <v>5.2608361423648733E-2</v>
      </c>
    </row>
    <row r="232" spans="1:21" x14ac:dyDescent="0.25">
      <c r="A232" s="7">
        <v>8</v>
      </c>
      <c r="B232" s="7">
        <v>100</v>
      </c>
      <c r="C232" s="7">
        <v>1</v>
      </c>
      <c r="D232" s="8">
        <v>5</v>
      </c>
      <c r="E232" s="7">
        <v>5</v>
      </c>
      <c r="F232" s="9" t="s">
        <v>26</v>
      </c>
      <c r="G232" s="13" t="s">
        <v>27</v>
      </c>
      <c r="H232" s="11" t="s">
        <v>28</v>
      </c>
      <c r="I232" s="7">
        <v>22</v>
      </c>
      <c r="J232" s="15">
        <v>7.0028174960433951</v>
      </c>
      <c r="K232" s="7">
        <v>6</v>
      </c>
      <c r="L232" s="7">
        <v>9</v>
      </c>
      <c r="M232" s="7"/>
      <c r="N232" s="12" t="s">
        <v>20</v>
      </c>
      <c r="O232" s="12" t="s">
        <v>16</v>
      </c>
      <c r="P232" s="57" t="str">
        <f t="shared" si="9"/>
        <v>un fuste</v>
      </c>
      <c r="Q232">
        <f t="shared" si="10"/>
        <v>10</v>
      </c>
      <c r="R232">
        <f t="shared" si="11"/>
        <v>5</v>
      </c>
    </row>
    <row r="233" spans="1:21" x14ac:dyDescent="0.25">
      <c r="A233" s="7">
        <v>11</v>
      </c>
      <c r="B233" s="7">
        <v>100</v>
      </c>
      <c r="C233" s="8">
        <v>1</v>
      </c>
      <c r="D233" s="8">
        <v>5</v>
      </c>
      <c r="E233" s="8">
        <v>5</v>
      </c>
      <c r="F233" s="9" t="s">
        <v>26</v>
      </c>
      <c r="G233" s="10" t="s">
        <v>27</v>
      </c>
      <c r="H233" s="11" t="s">
        <v>28</v>
      </c>
      <c r="I233" s="7">
        <v>16</v>
      </c>
      <c r="J233" s="15">
        <v>5.0929581789406511</v>
      </c>
      <c r="K233" s="7">
        <v>6</v>
      </c>
      <c r="L233" s="7">
        <v>8</v>
      </c>
      <c r="M233" s="7"/>
      <c r="N233" s="12" t="s">
        <v>20</v>
      </c>
      <c r="O233" s="12" t="s">
        <v>16</v>
      </c>
      <c r="P233" s="57" t="str">
        <f t="shared" si="9"/>
        <v>un fuste</v>
      </c>
      <c r="Q233">
        <f t="shared" si="10"/>
        <v>7.5</v>
      </c>
      <c r="R233">
        <f t="shared" si="11"/>
        <v>5</v>
      </c>
    </row>
    <row r="234" spans="1:21" x14ac:dyDescent="0.25">
      <c r="A234" s="7">
        <v>6</v>
      </c>
      <c r="B234" s="7">
        <v>5</v>
      </c>
      <c r="C234" s="7"/>
      <c r="D234" s="8">
        <v>4</v>
      </c>
      <c r="E234" s="7">
        <v>4</v>
      </c>
      <c r="F234" s="9" t="s">
        <v>43</v>
      </c>
      <c r="G234" s="13" t="s">
        <v>99</v>
      </c>
      <c r="H234" s="11" t="s">
        <v>100</v>
      </c>
      <c r="I234" s="7"/>
      <c r="J234" s="7"/>
      <c r="K234" s="7"/>
      <c r="L234" s="7">
        <v>2.5</v>
      </c>
      <c r="M234" s="7" t="e">
        <v>#REF!</v>
      </c>
      <c r="N234" s="12"/>
      <c r="O234" s="12" t="s">
        <v>16</v>
      </c>
      <c r="P234" s="57" t="str">
        <f t="shared" si="9"/>
        <v>un fuste</v>
      </c>
      <c r="Q234">
        <f t="shared" si="10"/>
        <v>2.5</v>
      </c>
      <c r="R234">
        <f t="shared" si="11"/>
        <v>5</v>
      </c>
    </row>
    <row r="235" spans="1:21" x14ac:dyDescent="0.25">
      <c r="A235" s="7">
        <v>6</v>
      </c>
      <c r="B235" s="7">
        <v>5</v>
      </c>
      <c r="C235" s="7"/>
      <c r="D235" s="8">
        <v>5</v>
      </c>
      <c r="E235" s="7">
        <v>5</v>
      </c>
      <c r="F235" s="9" t="s">
        <v>26</v>
      </c>
      <c r="G235" s="13" t="s">
        <v>27</v>
      </c>
      <c r="H235" s="11" t="s">
        <v>28</v>
      </c>
      <c r="I235" s="7"/>
      <c r="J235" s="7"/>
      <c r="K235" s="7"/>
      <c r="L235" s="7">
        <v>3</v>
      </c>
      <c r="M235" s="7" t="e">
        <v>#REF!</v>
      </c>
      <c r="N235" s="12"/>
      <c r="O235" s="12" t="s">
        <v>16</v>
      </c>
      <c r="P235" s="57" t="str">
        <f t="shared" si="9"/>
        <v>un fuste</v>
      </c>
      <c r="Q235">
        <f t="shared" si="10"/>
        <v>2.5</v>
      </c>
      <c r="R235">
        <f t="shared" si="11"/>
        <v>5</v>
      </c>
    </row>
    <row r="236" spans="1:21" x14ac:dyDescent="0.25">
      <c r="A236" s="7">
        <v>11</v>
      </c>
      <c r="B236" s="7">
        <v>100</v>
      </c>
      <c r="C236" s="8">
        <v>1</v>
      </c>
      <c r="D236" s="8">
        <v>6</v>
      </c>
      <c r="E236" s="8">
        <v>6</v>
      </c>
      <c r="F236" s="9" t="s">
        <v>26</v>
      </c>
      <c r="G236" s="10" t="s">
        <v>27</v>
      </c>
      <c r="H236" s="11" t="s">
        <v>28</v>
      </c>
      <c r="I236" s="7">
        <v>15</v>
      </c>
      <c r="J236" s="15">
        <v>4.7746482927568605</v>
      </c>
      <c r="K236" s="7">
        <v>5</v>
      </c>
      <c r="L236" s="8">
        <v>11</v>
      </c>
      <c r="M236" s="7"/>
      <c r="N236" s="12" t="s">
        <v>20</v>
      </c>
      <c r="O236" s="12" t="s">
        <v>16</v>
      </c>
      <c r="P236" s="57" t="str">
        <f t="shared" si="9"/>
        <v>un fuste</v>
      </c>
      <c r="Q236">
        <f t="shared" si="10"/>
        <v>10</v>
      </c>
      <c r="R236">
        <f t="shared" si="11"/>
        <v>5</v>
      </c>
    </row>
    <row r="237" spans="1:21" x14ac:dyDescent="0.25">
      <c r="A237" s="7">
        <v>6</v>
      </c>
      <c r="B237" s="7">
        <v>5</v>
      </c>
      <c r="C237" s="8"/>
      <c r="D237" s="8">
        <v>6</v>
      </c>
      <c r="E237" s="8">
        <v>6</v>
      </c>
      <c r="F237" s="9" t="s">
        <v>43</v>
      </c>
      <c r="G237" s="10" t="s">
        <v>99</v>
      </c>
      <c r="H237" s="11" t="s">
        <v>100</v>
      </c>
      <c r="I237" s="7"/>
      <c r="J237" s="7"/>
      <c r="K237" s="7"/>
      <c r="L237" s="7">
        <v>2.5</v>
      </c>
      <c r="M237" s="7" t="e">
        <v>#REF!</v>
      </c>
      <c r="N237" s="12"/>
      <c r="O237" s="12" t="s">
        <v>16</v>
      </c>
      <c r="P237" s="57" t="str">
        <f t="shared" si="9"/>
        <v>un fuste</v>
      </c>
      <c r="Q237">
        <f t="shared" si="10"/>
        <v>2.5</v>
      </c>
      <c r="R237">
        <f t="shared" si="11"/>
        <v>5</v>
      </c>
    </row>
    <row r="238" spans="1:21" x14ac:dyDescent="0.25">
      <c r="A238" s="7">
        <v>5</v>
      </c>
      <c r="B238" s="7">
        <v>500</v>
      </c>
      <c r="C238" s="8">
        <v>1</v>
      </c>
      <c r="D238" s="8">
        <v>7</v>
      </c>
      <c r="E238" s="8">
        <v>7</v>
      </c>
      <c r="F238" s="9" t="s">
        <v>26</v>
      </c>
      <c r="G238" s="13" t="s">
        <v>27</v>
      </c>
      <c r="H238" s="11" t="s">
        <v>28</v>
      </c>
      <c r="I238" s="7">
        <v>40</v>
      </c>
      <c r="J238" s="15">
        <v>12.732395447351628</v>
      </c>
      <c r="K238" s="7">
        <v>6</v>
      </c>
      <c r="L238" s="8">
        <v>9</v>
      </c>
      <c r="M238" s="7"/>
      <c r="N238" s="12" t="s">
        <v>20</v>
      </c>
      <c r="O238" s="12" t="s">
        <v>16</v>
      </c>
      <c r="P238" s="57" t="str">
        <f t="shared" si="9"/>
        <v>un fuste</v>
      </c>
      <c r="Q238">
        <f t="shared" si="10"/>
        <v>10</v>
      </c>
      <c r="R238">
        <f t="shared" si="11"/>
        <v>15</v>
      </c>
      <c r="S238">
        <v>16</v>
      </c>
      <c r="T238" t="s">
        <v>275</v>
      </c>
      <c r="U238">
        <v>6.6423048964348835E-2</v>
      </c>
    </row>
    <row r="239" spans="1:21" x14ac:dyDescent="0.25">
      <c r="A239" s="7">
        <v>11</v>
      </c>
      <c r="B239" s="7">
        <v>500</v>
      </c>
      <c r="C239" s="8">
        <v>2</v>
      </c>
      <c r="D239" s="8">
        <v>6</v>
      </c>
      <c r="E239" s="8">
        <v>7</v>
      </c>
      <c r="F239" s="9" t="s">
        <v>26</v>
      </c>
      <c r="G239" s="13" t="s">
        <v>27</v>
      </c>
      <c r="H239" s="14" t="s">
        <v>28</v>
      </c>
      <c r="I239" s="7">
        <v>45.5</v>
      </c>
      <c r="J239" s="15">
        <v>14.483099821362476</v>
      </c>
      <c r="K239" s="7">
        <v>7</v>
      </c>
      <c r="L239" s="7">
        <v>10</v>
      </c>
      <c r="M239" s="7"/>
      <c r="N239" s="12" t="s">
        <v>20</v>
      </c>
      <c r="O239" s="12" t="s">
        <v>16</v>
      </c>
      <c r="P239" s="57" t="str">
        <f t="shared" si="9"/>
        <v>un fuste</v>
      </c>
      <c r="Q239">
        <f t="shared" si="10"/>
        <v>10</v>
      </c>
      <c r="R239">
        <f t="shared" si="11"/>
        <v>15</v>
      </c>
      <c r="S239">
        <v>16</v>
      </c>
      <c r="T239" t="s">
        <v>275</v>
      </c>
      <c r="U239">
        <v>9.3746371218650273E-2</v>
      </c>
    </row>
    <row r="240" spans="1:21" x14ac:dyDescent="0.25">
      <c r="A240" s="7">
        <v>11</v>
      </c>
      <c r="B240" s="7">
        <v>100</v>
      </c>
      <c r="C240" s="8">
        <v>1</v>
      </c>
      <c r="D240" s="8">
        <v>7</v>
      </c>
      <c r="E240" s="8">
        <v>7</v>
      </c>
      <c r="F240" s="9" t="s">
        <v>26</v>
      </c>
      <c r="G240" s="13" t="s">
        <v>27</v>
      </c>
      <c r="H240" s="14" t="s">
        <v>28</v>
      </c>
      <c r="I240" s="7">
        <v>19</v>
      </c>
      <c r="J240" s="15">
        <v>6.0478878374920226</v>
      </c>
      <c r="K240" s="7">
        <v>8</v>
      </c>
      <c r="L240" s="7">
        <v>10</v>
      </c>
      <c r="M240" s="7"/>
      <c r="N240" s="12" t="s">
        <v>20</v>
      </c>
      <c r="O240" s="12" t="s">
        <v>16</v>
      </c>
      <c r="P240" s="57" t="str">
        <f t="shared" si="9"/>
        <v>un fuste</v>
      </c>
      <c r="Q240">
        <f t="shared" si="10"/>
        <v>10</v>
      </c>
      <c r="R240">
        <f t="shared" si="11"/>
        <v>5</v>
      </c>
    </row>
    <row r="241" spans="1:21" x14ac:dyDescent="0.25">
      <c r="A241" s="7">
        <v>6</v>
      </c>
      <c r="B241" s="7">
        <v>5</v>
      </c>
      <c r="C241" s="7"/>
      <c r="D241" s="8">
        <v>7</v>
      </c>
      <c r="E241" s="8">
        <v>7</v>
      </c>
      <c r="F241" s="9" t="s">
        <v>21</v>
      </c>
      <c r="G241" s="13" t="s">
        <v>22</v>
      </c>
      <c r="H241" s="11" t="s">
        <v>283</v>
      </c>
      <c r="I241" s="7"/>
      <c r="J241" s="7"/>
      <c r="K241" s="7"/>
      <c r="L241" s="7">
        <v>3</v>
      </c>
      <c r="M241" s="7" t="e">
        <v>#REF!</v>
      </c>
      <c r="N241" s="12"/>
      <c r="O241" s="12" t="s">
        <v>16</v>
      </c>
      <c r="P241" s="57" t="str">
        <f t="shared" si="9"/>
        <v>un fuste</v>
      </c>
      <c r="Q241">
        <f t="shared" si="10"/>
        <v>2.5</v>
      </c>
      <c r="R241">
        <f t="shared" si="11"/>
        <v>5</v>
      </c>
    </row>
    <row r="242" spans="1:21" x14ac:dyDescent="0.25">
      <c r="A242" s="7">
        <v>6</v>
      </c>
      <c r="B242" s="7">
        <v>500</v>
      </c>
      <c r="C242" s="7">
        <v>2</v>
      </c>
      <c r="D242" s="8">
        <v>7</v>
      </c>
      <c r="E242" s="7">
        <v>8</v>
      </c>
      <c r="F242" s="9" t="s">
        <v>26</v>
      </c>
      <c r="G242" s="13" t="s">
        <v>27</v>
      </c>
      <c r="H242" s="11" t="s">
        <v>28</v>
      </c>
      <c r="I242" s="7">
        <v>33</v>
      </c>
      <c r="J242" s="15">
        <v>10.504226244065093</v>
      </c>
      <c r="K242" s="7">
        <v>7</v>
      </c>
      <c r="L242" s="7">
        <v>12</v>
      </c>
      <c r="M242" s="7"/>
      <c r="N242" s="12" t="s">
        <v>20</v>
      </c>
      <c r="O242" s="12" t="s">
        <v>16</v>
      </c>
      <c r="P242" s="57" t="str">
        <f t="shared" si="9"/>
        <v>un fuste</v>
      </c>
      <c r="Q242">
        <f t="shared" si="10"/>
        <v>12.5</v>
      </c>
      <c r="R242">
        <f t="shared" si="11"/>
        <v>10</v>
      </c>
      <c r="S242">
        <v>16</v>
      </c>
      <c r="T242" t="s">
        <v>275</v>
      </c>
      <c r="U242">
        <v>6.2642977111450393E-2</v>
      </c>
    </row>
    <row r="243" spans="1:21" x14ac:dyDescent="0.25">
      <c r="A243" s="7">
        <v>11</v>
      </c>
      <c r="B243" s="7">
        <v>500</v>
      </c>
      <c r="C243" s="7">
        <v>2</v>
      </c>
      <c r="D243" s="8">
        <v>7</v>
      </c>
      <c r="E243" s="8">
        <v>8</v>
      </c>
      <c r="F243" s="9" t="s">
        <v>26</v>
      </c>
      <c r="G243" s="13" t="s">
        <v>27</v>
      </c>
      <c r="H243" s="11" t="s">
        <v>28</v>
      </c>
      <c r="I243" s="7">
        <v>36</v>
      </c>
      <c r="J243" s="15">
        <v>11.459155902616464</v>
      </c>
      <c r="K243" s="7">
        <v>6</v>
      </c>
      <c r="L243" s="7">
        <v>11</v>
      </c>
      <c r="M243" s="7"/>
      <c r="N243" s="12" t="s">
        <v>20</v>
      </c>
      <c r="O243" s="12" t="s">
        <v>16</v>
      </c>
      <c r="P243" s="57" t="str">
        <f t="shared" si="9"/>
        <v>un fuste</v>
      </c>
      <c r="Q243">
        <f t="shared" si="10"/>
        <v>10</v>
      </c>
      <c r="R243">
        <f t="shared" si="11"/>
        <v>10</v>
      </c>
      <c r="S243">
        <v>16</v>
      </c>
      <c r="T243" t="s">
        <v>275</v>
      </c>
      <c r="U243">
        <v>6.7229821297668677E-2</v>
      </c>
    </row>
    <row r="244" spans="1:21" x14ac:dyDescent="0.25">
      <c r="A244" s="7">
        <v>2</v>
      </c>
      <c r="B244" s="7">
        <v>100</v>
      </c>
      <c r="C244" s="8">
        <v>2</v>
      </c>
      <c r="D244" s="8">
        <v>8</v>
      </c>
      <c r="E244" s="8">
        <v>8</v>
      </c>
      <c r="F244" s="9" t="s">
        <v>26</v>
      </c>
      <c r="G244" s="13" t="s">
        <v>27</v>
      </c>
      <c r="H244" s="14" t="s">
        <v>28</v>
      </c>
      <c r="I244" s="7">
        <v>16</v>
      </c>
      <c r="J244" s="15">
        <v>5.0929581789406511</v>
      </c>
      <c r="K244" s="7">
        <v>3.5</v>
      </c>
      <c r="L244" s="8">
        <v>7</v>
      </c>
      <c r="M244" s="7"/>
      <c r="N244" s="12" t="s">
        <v>20</v>
      </c>
      <c r="O244" s="12" t="s">
        <v>16</v>
      </c>
      <c r="P244" s="57" t="str">
        <f t="shared" si="9"/>
        <v>un fuste</v>
      </c>
      <c r="Q244">
        <f t="shared" si="10"/>
        <v>7.5</v>
      </c>
      <c r="R244">
        <f t="shared" si="11"/>
        <v>5</v>
      </c>
    </row>
    <row r="245" spans="1:21" x14ac:dyDescent="0.25">
      <c r="A245" s="7">
        <v>6</v>
      </c>
      <c r="B245" s="7">
        <v>100</v>
      </c>
      <c r="C245" s="7">
        <v>1</v>
      </c>
      <c r="D245" s="8">
        <v>8</v>
      </c>
      <c r="E245" s="8">
        <v>8</v>
      </c>
      <c r="F245" s="9" t="s">
        <v>26</v>
      </c>
      <c r="G245" s="13" t="s">
        <v>27</v>
      </c>
      <c r="H245" s="11" t="s">
        <v>28</v>
      </c>
      <c r="I245" s="7">
        <v>21.5</v>
      </c>
      <c r="J245" s="15">
        <v>6.8436625529514998</v>
      </c>
      <c r="K245" s="7">
        <v>6</v>
      </c>
      <c r="L245" s="7">
        <v>11</v>
      </c>
      <c r="M245" s="7"/>
      <c r="N245" s="12" t="s">
        <v>20</v>
      </c>
      <c r="O245" s="12" t="s">
        <v>16</v>
      </c>
      <c r="P245" s="57" t="str">
        <f t="shared" si="9"/>
        <v>un fuste</v>
      </c>
      <c r="Q245">
        <f t="shared" si="10"/>
        <v>10</v>
      </c>
      <c r="R245">
        <f t="shared" si="11"/>
        <v>5</v>
      </c>
    </row>
    <row r="246" spans="1:21" x14ac:dyDescent="0.25">
      <c r="A246" s="7">
        <v>9</v>
      </c>
      <c r="B246" s="7">
        <v>500</v>
      </c>
      <c r="C246" s="8">
        <v>2</v>
      </c>
      <c r="D246" s="8">
        <v>9</v>
      </c>
      <c r="E246" s="8">
        <v>9</v>
      </c>
      <c r="F246" s="9" t="s">
        <v>26</v>
      </c>
      <c r="G246" s="13" t="s">
        <v>27</v>
      </c>
      <c r="H246" s="11" t="s">
        <v>28</v>
      </c>
      <c r="I246" s="7">
        <v>32</v>
      </c>
      <c r="J246" s="15">
        <v>10.185916357881302</v>
      </c>
      <c r="K246" s="7">
        <v>7</v>
      </c>
      <c r="L246" s="7">
        <v>12</v>
      </c>
      <c r="M246" s="7"/>
      <c r="N246" s="12" t="s">
        <v>20</v>
      </c>
      <c r="O246" s="12" t="s">
        <v>16</v>
      </c>
      <c r="P246" s="57" t="str">
        <f t="shared" si="9"/>
        <v>un fuste</v>
      </c>
      <c r="Q246">
        <f t="shared" si="10"/>
        <v>12.5</v>
      </c>
      <c r="R246">
        <f t="shared" si="11"/>
        <v>10</v>
      </c>
      <c r="S246">
        <v>16</v>
      </c>
      <c r="T246" t="s">
        <v>275</v>
      </c>
      <c r="U246">
        <v>5.9200902635031444E-2</v>
      </c>
    </row>
    <row r="247" spans="1:21" x14ac:dyDescent="0.25">
      <c r="A247" s="7">
        <v>6</v>
      </c>
      <c r="B247" s="7">
        <v>5</v>
      </c>
      <c r="C247" s="8"/>
      <c r="D247" s="8">
        <v>8</v>
      </c>
      <c r="E247" s="8">
        <v>8</v>
      </c>
      <c r="F247" s="9" t="s">
        <v>21</v>
      </c>
      <c r="G247" s="13" t="s">
        <v>22</v>
      </c>
      <c r="H247" s="11" t="s">
        <v>283</v>
      </c>
      <c r="I247" s="7"/>
      <c r="J247" s="7"/>
      <c r="K247" s="7"/>
      <c r="L247" s="8">
        <v>8</v>
      </c>
      <c r="M247" s="7" t="e">
        <v>#REF!</v>
      </c>
      <c r="N247" s="12"/>
      <c r="O247" s="12" t="s">
        <v>16</v>
      </c>
      <c r="P247" s="57" t="str">
        <f t="shared" si="9"/>
        <v>un fuste</v>
      </c>
      <c r="Q247">
        <f t="shared" si="10"/>
        <v>7.5</v>
      </c>
      <c r="R247">
        <f t="shared" si="11"/>
        <v>5</v>
      </c>
    </row>
    <row r="248" spans="1:21" x14ac:dyDescent="0.25">
      <c r="A248" s="7">
        <v>3</v>
      </c>
      <c r="B248" s="7">
        <v>500</v>
      </c>
      <c r="C248" s="7">
        <v>1</v>
      </c>
      <c r="D248" s="8">
        <v>10</v>
      </c>
      <c r="E248" s="7">
        <v>10</v>
      </c>
      <c r="F248" s="9" t="s">
        <v>26</v>
      </c>
      <c r="G248" s="10" t="s">
        <v>27</v>
      </c>
      <c r="H248" s="11" t="s">
        <v>28</v>
      </c>
      <c r="I248" s="7">
        <v>42</v>
      </c>
      <c r="J248" s="15">
        <v>13.369015219719209</v>
      </c>
      <c r="K248" s="7">
        <v>5.5</v>
      </c>
      <c r="L248" s="7">
        <v>9</v>
      </c>
      <c r="M248" s="7"/>
      <c r="N248" s="12" t="s">
        <v>20</v>
      </c>
      <c r="O248" s="12" t="s">
        <v>16</v>
      </c>
      <c r="P248" s="57" t="str">
        <f t="shared" si="9"/>
        <v>un fuste</v>
      </c>
      <c r="Q248">
        <f t="shared" si="10"/>
        <v>10</v>
      </c>
      <c r="R248">
        <f t="shared" si="11"/>
        <v>15</v>
      </c>
      <c r="S248">
        <v>16</v>
      </c>
      <c r="T248" t="s">
        <v>275</v>
      </c>
      <c r="U248">
        <v>7.2649858185882196E-2</v>
      </c>
    </row>
    <row r="249" spans="1:21" x14ac:dyDescent="0.25">
      <c r="A249" s="7">
        <v>10</v>
      </c>
      <c r="B249" s="7">
        <v>500</v>
      </c>
      <c r="C249" s="7">
        <v>3</v>
      </c>
      <c r="D249" s="8">
        <v>10</v>
      </c>
      <c r="E249" s="8">
        <v>10</v>
      </c>
      <c r="F249" s="9" t="s">
        <v>26</v>
      </c>
      <c r="G249" s="10" t="s">
        <v>27</v>
      </c>
      <c r="H249" s="11" t="s">
        <v>28</v>
      </c>
      <c r="I249" s="7">
        <v>47</v>
      </c>
      <c r="J249" s="15">
        <v>14.960564650638162</v>
      </c>
      <c r="K249" s="7">
        <v>4</v>
      </c>
      <c r="L249" s="7">
        <v>10</v>
      </c>
      <c r="M249" s="7"/>
      <c r="N249" s="12" t="s">
        <v>20</v>
      </c>
      <c r="O249" s="12" t="s">
        <v>16</v>
      </c>
      <c r="P249" s="57" t="str">
        <f t="shared" si="9"/>
        <v>un fuste</v>
      </c>
      <c r="Q249">
        <f t="shared" si="10"/>
        <v>10</v>
      </c>
      <c r="R249">
        <f t="shared" si="11"/>
        <v>15</v>
      </c>
      <c r="S249">
        <v>16</v>
      </c>
      <c r="T249" t="s">
        <v>275</v>
      </c>
      <c r="U249">
        <v>9.9500544983716244E-2</v>
      </c>
    </row>
    <row r="250" spans="1:21" x14ac:dyDescent="0.25">
      <c r="A250" s="7">
        <v>6</v>
      </c>
      <c r="B250" s="7">
        <v>500</v>
      </c>
      <c r="C250" s="8">
        <v>3</v>
      </c>
      <c r="D250" s="8">
        <v>10</v>
      </c>
      <c r="E250" s="8">
        <v>11</v>
      </c>
      <c r="F250" s="9" t="s">
        <v>26</v>
      </c>
      <c r="G250" s="10" t="s">
        <v>27</v>
      </c>
      <c r="H250" s="11" t="s">
        <v>28</v>
      </c>
      <c r="I250" s="7">
        <v>35</v>
      </c>
      <c r="J250" s="15">
        <v>11.140846016432674</v>
      </c>
      <c r="K250" s="7">
        <v>6</v>
      </c>
      <c r="L250" s="8">
        <v>13</v>
      </c>
      <c r="M250" s="7"/>
      <c r="N250" s="12" t="s">
        <v>20</v>
      </c>
      <c r="O250" s="12" t="s">
        <v>16</v>
      </c>
      <c r="P250" s="57" t="str">
        <f t="shared" si="9"/>
        <v>un fuste</v>
      </c>
      <c r="Q250">
        <f t="shared" si="10"/>
        <v>12.5</v>
      </c>
      <c r="R250">
        <f t="shared" si="11"/>
        <v>10</v>
      </c>
      <c r="S250">
        <v>16</v>
      </c>
      <c r="T250" t="s">
        <v>275</v>
      </c>
      <c r="U250">
        <v>7.5755926738959659E-2</v>
      </c>
    </row>
    <row r="251" spans="1:21" x14ac:dyDescent="0.25">
      <c r="A251" s="7">
        <v>9</v>
      </c>
      <c r="B251" s="7">
        <v>500</v>
      </c>
      <c r="C251" s="8">
        <v>3</v>
      </c>
      <c r="D251" s="8">
        <v>11</v>
      </c>
      <c r="E251" s="8">
        <v>11</v>
      </c>
      <c r="F251" s="9" t="s">
        <v>26</v>
      </c>
      <c r="G251" s="13" t="s">
        <v>27</v>
      </c>
      <c r="H251" s="14" t="s">
        <v>28</v>
      </c>
      <c r="I251" s="7">
        <v>35.5</v>
      </c>
      <c r="J251" s="15">
        <v>11.300000959524569</v>
      </c>
      <c r="K251" s="7">
        <v>5</v>
      </c>
      <c r="L251" s="7">
        <v>10</v>
      </c>
      <c r="M251" s="7"/>
      <c r="N251" s="12" t="s">
        <v>20</v>
      </c>
      <c r="O251" s="12" t="s">
        <v>16</v>
      </c>
      <c r="P251" s="57" t="str">
        <f t="shared" si="9"/>
        <v>un fuste</v>
      </c>
      <c r="Q251">
        <f t="shared" si="10"/>
        <v>10</v>
      </c>
      <c r="R251">
        <f t="shared" si="11"/>
        <v>10</v>
      </c>
      <c r="S251">
        <v>16</v>
      </c>
      <c r="T251" t="s">
        <v>275</v>
      </c>
      <c r="U251">
        <v>5.9429443989314337E-2</v>
      </c>
    </row>
    <row r="252" spans="1:21" x14ac:dyDescent="0.25">
      <c r="A252" s="7">
        <v>10</v>
      </c>
      <c r="B252" s="7">
        <v>500</v>
      </c>
      <c r="C252" s="8">
        <v>3</v>
      </c>
      <c r="D252" s="8">
        <v>11</v>
      </c>
      <c r="E252" s="8">
        <v>11</v>
      </c>
      <c r="F252" s="9" t="s">
        <v>26</v>
      </c>
      <c r="G252" s="10" t="s">
        <v>27</v>
      </c>
      <c r="H252" s="11" t="s">
        <v>28</v>
      </c>
      <c r="I252" s="7">
        <v>36</v>
      </c>
      <c r="J252" s="15">
        <v>11.459155902616464</v>
      </c>
      <c r="K252" s="7">
        <v>5</v>
      </c>
      <c r="L252" s="7">
        <v>12</v>
      </c>
      <c r="M252" s="7"/>
      <c r="N252" s="12" t="s">
        <v>20</v>
      </c>
      <c r="O252" s="12" t="s">
        <v>16</v>
      </c>
      <c r="P252" s="57" t="str">
        <f t="shared" si="9"/>
        <v>un fuste</v>
      </c>
      <c r="Q252">
        <f t="shared" si="10"/>
        <v>12.5</v>
      </c>
      <c r="R252">
        <f t="shared" si="11"/>
        <v>10</v>
      </c>
      <c r="S252">
        <v>16</v>
      </c>
      <c r="T252" t="s">
        <v>275</v>
      </c>
      <c r="U252">
        <v>7.3497796805331805E-2</v>
      </c>
    </row>
    <row r="253" spans="1:21" x14ac:dyDescent="0.25">
      <c r="A253" s="7">
        <v>6</v>
      </c>
      <c r="B253" s="7">
        <v>500</v>
      </c>
      <c r="C253" s="8">
        <v>4</v>
      </c>
      <c r="D253" s="8">
        <v>11</v>
      </c>
      <c r="E253" s="8">
        <v>12</v>
      </c>
      <c r="F253" s="17" t="s">
        <v>26</v>
      </c>
      <c r="G253" s="10" t="s">
        <v>27</v>
      </c>
      <c r="H253" s="11" t="s">
        <v>28</v>
      </c>
      <c r="I253" s="7">
        <v>34.5</v>
      </c>
      <c r="J253" s="15">
        <v>10.981691073340778</v>
      </c>
      <c r="K253" s="7">
        <v>3</v>
      </c>
      <c r="L253" s="8">
        <v>10</v>
      </c>
      <c r="M253" s="7"/>
      <c r="N253" s="12" t="s">
        <v>20</v>
      </c>
      <c r="O253" s="12" t="s">
        <v>16</v>
      </c>
      <c r="P253" s="57" t="str">
        <f t="shared" si="9"/>
        <v>un fuste</v>
      </c>
      <c r="Q253">
        <f t="shared" si="10"/>
        <v>10</v>
      </c>
      <c r="R253">
        <f t="shared" si="11"/>
        <v>10</v>
      </c>
      <c r="S253">
        <v>16</v>
      </c>
      <c r="T253" t="s">
        <v>275</v>
      </c>
      <c r="U253">
        <v>5.6391156457334175E-2</v>
      </c>
    </row>
    <row r="254" spans="1:21" x14ac:dyDescent="0.25">
      <c r="A254" s="7">
        <v>9</v>
      </c>
      <c r="B254" s="7">
        <v>500</v>
      </c>
      <c r="C254" s="7">
        <v>3</v>
      </c>
      <c r="D254" s="7">
        <v>12</v>
      </c>
      <c r="E254" s="7">
        <v>12</v>
      </c>
      <c r="F254" s="9" t="s">
        <v>26</v>
      </c>
      <c r="G254" s="10" t="s">
        <v>27</v>
      </c>
      <c r="H254" s="11" t="s">
        <v>28</v>
      </c>
      <c r="I254" s="7">
        <v>34</v>
      </c>
      <c r="J254" s="15">
        <v>10.822536130248883</v>
      </c>
      <c r="K254" s="7">
        <v>6</v>
      </c>
      <c r="L254" s="7">
        <v>10</v>
      </c>
      <c r="M254" s="7"/>
      <c r="N254" s="12" t="s">
        <v>20</v>
      </c>
      <c r="O254" s="12" t="s">
        <v>16</v>
      </c>
      <c r="P254" s="57" t="str">
        <f t="shared" si="9"/>
        <v>un fuste</v>
      </c>
      <c r="Q254">
        <f t="shared" si="10"/>
        <v>10</v>
      </c>
      <c r="R254">
        <f t="shared" si="11"/>
        <v>10</v>
      </c>
      <c r="S254">
        <v>16</v>
      </c>
      <c r="T254" t="s">
        <v>275</v>
      </c>
      <c r="U254">
        <v>5.489928909056653E-2</v>
      </c>
    </row>
    <row r="255" spans="1:21" x14ac:dyDescent="0.25">
      <c r="A255" s="7">
        <v>3</v>
      </c>
      <c r="B255" s="7">
        <v>100</v>
      </c>
      <c r="C255" s="8">
        <v>3</v>
      </c>
      <c r="D255" s="8">
        <v>12</v>
      </c>
      <c r="E255" s="8">
        <v>12</v>
      </c>
      <c r="F255" s="9" t="s">
        <v>26</v>
      </c>
      <c r="G255" s="10" t="s">
        <v>27</v>
      </c>
      <c r="H255" s="11" t="s">
        <v>28</v>
      </c>
      <c r="I255" s="8">
        <v>17</v>
      </c>
      <c r="J255" s="15">
        <v>5.4112680651244416</v>
      </c>
      <c r="K255" s="8">
        <v>5</v>
      </c>
      <c r="L255" s="8">
        <v>8</v>
      </c>
      <c r="M255" s="7"/>
      <c r="N255" s="12" t="s">
        <v>20</v>
      </c>
      <c r="O255" s="12" t="s">
        <v>16</v>
      </c>
      <c r="P255" s="57" t="str">
        <f t="shared" si="9"/>
        <v>un fuste</v>
      </c>
      <c r="Q255">
        <f t="shared" si="10"/>
        <v>7.5</v>
      </c>
      <c r="R255">
        <f t="shared" si="11"/>
        <v>5</v>
      </c>
    </row>
    <row r="256" spans="1:21" x14ac:dyDescent="0.25">
      <c r="A256" s="7">
        <v>6</v>
      </c>
      <c r="B256" s="7">
        <v>5</v>
      </c>
      <c r="C256" s="8"/>
      <c r="D256" s="7">
        <v>9</v>
      </c>
      <c r="E256" s="7">
        <v>9</v>
      </c>
      <c r="F256" s="9" t="s">
        <v>21</v>
      </c>
      <c r="G256" s="13" t="s">
        <v>22</v>
      </c>
      <c r="H256" s="11" t="s">
        <v>283</v>
      </c>
      <c r="I256" s="7"/>
      <c r="J256" s="7"/>
      <c r="K256" s="7"/>
      <c r="L256" s="7">
        <v>7</v>
      </c>
      <c r="M256" s="7" t="e">
        <v>#REF!</v>
      </c>
      <c r="N256" s="12"/>
      <c r="O256" s="12" t="s">
        <v>16</v>
      </c>
      <c r="P256" s="57" t="str">
        <f t="shared" si="9"/>
        <v>un fuste</v>
      </c>
      <c r="Q256">
        <f t="shared" si="10"/>
        <v>7.5</v>
      </c>
      <c r="R256">
        <f t="shared" si="11"/>
        <v>5</v>
      </c>
    </row>
    <row r="257" spans="1:21" x14ac:dyDescent="0.25">
      <c r="A257" s="7">
        <v>9</v>
      </c>
      <c r="B257" s="7">
        <v>500</v>
      </c>
      <c r="C257" s="7">
        <v>3</v>
      </c>
      <c r="D257" s="8">
        <v>13</v>
      </c>
      <c r="E257" s="7">
        <v>13</v>
      </c>
      <c r="F257" s="9" t="s">
        <v>26</v>
      </c>
      <c r="G257" s="10" t="s">
        <v>27</v>
      </c>
      <c r="H257" s="11" t="s">
        <v>28</v>
      </c>
      <c r="I257" s="7">
        <v>37</v>
      </c>
      <c r="J257" s="15">
        <v>11.777465788800255</v>
      </c>
      <c r="K257" s="7">
        <v>5.5</v>
      </c>
      <c r="L257" s="7">
        <v>10</v>
      </c>
      <c r="M257" s="7"/>
      <c r="N257" s="12" t="s">
        <v>20</v>
      </c>
      <c r="O257" s="12" t="s">
        <v>16</v>
      </c>
      <c r="P257" s="57" t="str">
        <f t="shared" si="9"/>
        <v>un fuste</v>
      </c>
      <c r="Q257">
        <f t="shared" si="10"/>
        <v>10</v>
      </c>
      <c r="R257">
        <f t="shared" si="11"/>
        <v>10</v>
      </c>
      <c r="S257">
        <v>16</v>
      </c>
      <c r="T257" t="s">
        <v>275</v>
      </c>
      <c r="U257">
        <v>6.4122626594503129E-2</v>
      </c>
    </row>
    <row r="258" spans="1:21" x14ac:dyDescent="0.25">
      <c r="A258" s="7">
        <v>10</v>
      </c>
      <c r="B258" s="7">
        <v>500</v>
      </c>
      <c r="C258" s="7">
        <v>4</v>
      </c>
      <c r="D258" s="8">
        <v>13</v>
      </c>
      <c r="E258" s="7">
        <v>13</v>
      </c>
      <c r="F258" s="9" t="s">
        <v>26</v>
      </c>
      <c r="G258" s="10" t="s">
        <v>27</v>
      </c>
      <c r="H258" s="11" t="s">
        <v>28</v>
      </c>
      <c r="I258" s="7">
        <v>31.5</v>
      </c>
      <c r="J258" s="15">
        <v>10.026761414789407</v>
      </c>
      <c r="K258" s="7">
        <v>5</v>
      </c>
      <c r="L258" s="7">
        <v>11</v>
      </c>
      <c r="M258" s="7"/>
      <c r="N258" s="12" t="s">
        <v>20</v>
      </c>
      <c r="O258" s="12" t="s">
        <v>16</v>
      </c>
      <c r="P258" s="57" t="str">
        <f t="shared" si="9"/>
        <v>un fuste</v>
      </c>
      <c r="Q258">
        <f t="shared" si="10"/>
        <v>10</v>
      </c>
      <c r="R258">
        <f t="shared" si="11"/>
        <v>10</v>
      </c>
      <c r="S258">
        <v>16</v>
      </c>
      <c r="T258" t="s">
        <v>275</v>
      </c>
      <c r="U258">
        <v>5.2608361423648733E-2</v>
      </c>
    </row>
    <row r="259" spans="1:21" x14ac:dyDescent="0.25">
      <c r="A259" s="7">
        <v>10</v>
      </c>
      <c r="B259" s="7">
        <v>100</v>
      </c>
      <c r="C259" s="8">
        <v>1</v>
      </c>
      <c r="D259" s="8">
        <v>13</v>
      </c>
      <c r="E259" s="8">
        <v>13</v>
      </c>
      <c r="F259" s="9" t="s">
        <v>26</v>
      </c>
      <c r="G259" s="13" t="s">
        <v>27</v>
      </c>
      <c r="H259" s="11" t="s">
        <v>28</v>
      </c>
      <c r="I259" s="7">
        <v>29.5</v>
      </c>
      <c r="J259" s="15">
        <v>9.3901416424218258</v>
      </c>
      <c r="K259" s="7">
        <v>5</v>
      </c>
      <c r="L259" s="7">
        <v>10</v>
      </c>
      <c r="M259" s="7"/>
      <c r="N259" s="12" t="s">
        <v>20</v>
      </c>
      <c r="O259" s="12" t="s">
        <v>16</v>
      </c>
      <c r="P259" s="57" t="str">
        <f t="shared" ref="P259:P322" si="12">IF((D259/D259)=1,"un fuste","bifurcado")</f>
        <v>un fuste</v>
      </c>
      <c r="Q259">
        <f t="shared" ref="Q259:Q322" si="13">IF(L259&lt;3.75,2.5,IF(L259&lt;6.25,5,IF(L259&lt;8.74,7.5,IF(L259&lt;11.24,10,IF(L259&lt;13.75,12.5,IF(L259&lt;16.25,15,IF(L259&lt;18.75,17.5,IF(L259&lt;21.25,20,IF(L259&lt;23.75,22.5,IF(L259&lt;26.25,25,IF(L259&lt;28.75,27.5,IF(L259&lt;31.25,30,IF(L259&lt;33.75,32.5,IF(L259&lt;36.25,35,IF(L259&lt;38.75,37.5,IF(L259&lt;41.24,40,IF(L259&lt;43.75,42.5,IF(L259&lt;46.25,45," "))))))))))))))))))</f>
        <v>10</v>
      </c>
      <c r="R259">
        <f t="shared" ref="R259:R322" si="14">IF(J259&lt;7.5,5,IF(J259&lt;12.5,10,IF(J259&lt;17.5,15,IF(J259&lt;22.5,20,IF(J259&lt;27.5,25,IF(J259&lt;32.5,30,IF(J259&lt;37.5,35,IF(J259&lt;42.5,40,IF(J259&lt;47.5,45,IF(J259&lt;52.5,50,IF(J259&lt;57.5,55,0)))))))))))</f>
        <v>10</v>
      </c>
    </row>
    <row r="260" spans="1:21" x14ac:dyDescent="0.25">
      <c r="A260" s="7">
        <v>11</v>
      </c>
      <c r="B260" s="7">
        <v>100</v>
      </c>
      <c r="C260" s="8">
        <v>1</v>
      </c>
      <c r="D260" s="8">
        <v>13</v>
      </c>
      <c r="E260" s="8">
        <v>13</v>
      </c>
      <c r="F260" s="9" t="s">
        <v>26</v>
      </c>
      <c r="G260" s="10" t="s">
        <v>27</v>
      </c>
      <c r="H260" s="11" t="s">
        <v>28</v>
      </c>
      <c r="I260" s="8">
        <v>18.5</v>
      </c>
      <c r="J260" s="15">
        <v>5.8887328944001274</v>
      </c>
      <c r="K260" s="8">
        <v>6</v>
      </c>
      <c r="L260" s="8">
        <v>8</v>
      </c>
      <c r="M260" s="7"/>
      <c r="N260" s="12" t="s">
        <v>20</v>
      </c>
      <c r="O260" s="12" t="s">
        <v>16</v>
      </c>
      <c r="P260" s="57" t="str">
        <f t="shared" si="12"/>
        <v>un fuste</v>
      </c>
      <c r="Q260">
        <f t="shared" si="13"/>
        <v>7.5</v>
      </c>
      <c r="R260">
        <f t="shared" si="14"/>
        <v>5</v>
      </c>
    </row>
    <row r="261" spans="1:21" x14ac:dyDescent="0.25">
      <c r="A261" s="7">
        <v>6</v>
      </c>
      <c r="B261" s="7">
        <v>5</v>
      </c>
      <c r="C261" s="8"/>
      <c r="D261" s="8">
        <v>10</v>
      </c>
      <c r="E261" s="8">
        <v>10</v>
      </c>
      <c r="F261" s="9" t="s">
        <v>90</v>
      </c>
      <c r="G261" s="13" t="s">
        <v>282</v>
      </c>
      <c r="H261" s="11" t="s">
        <v>124</v>
      </c>
      <c r="I261" s="7"/>
      <c r="J261" s="7"/>
      <c r="K261" s="7"/>
      <c r="L261" s="7">
        <v>2</v>
      </c>
      <c r="M261" s="7" t="e">
        <v>#REF!</v>
      </c>
      <c r="N261" s="12"/>
      <c r="O261" s="12" t="s">
        <v>16</v>
      </c>
      <c r="P261" s="57" t="str">
        <f t="shared" si="12"/>
        <v>un fuste</v>
      </c>
      <c r="Q261">
        <f t="shared" si="13"/>
        <v>2.5</v>
      </c>
      <c r="R261">
        <f t="shared" si="14"/>
        <v>5</v>
      </c>
    </row>
    <row r="262" spans="1:21" x14ac:dyDescent="0.25">
      <c r="A262" s="7">
        <v>5</v>
      </c>
      <c r="B262" s="7">
        <v>500</v>
      </c>
      <c r="C262" s="8">
        <v>1</v>
      </c>
      <c r="D262" s="8">
        <v>13</v>
      </c>
      <c r="E262" s="8">
        <v>14</v>
      </c>
      <c r="F262" s="9" t="s">
        <v>26</v>
      </c>
      <c r="G262" s="13" t="s">
        <v>27</v>
      </c>
      <c r="H262" s="14" t="s">
        <v>28</v>
      </c>
      <c r="I262" s="8">
        <v>34</v>
      </c>
      <c r="J262" s="15">
        <v>10.822536130248883</v>
      </c>
      <c r="K262" s="8">
        <v>6</v>
      </c>
      <c r="L262" s="8">
        <v>10</v>
      </c>
      <c r="M262" s="7"/>
      <c r="N262" s="12" t="s">
        <v>20</v>
      </c>
      <c r="O262" s="12" t="s">
        <v>16</v>
      </c>
      <c r="P262" s="57" t="str">
        <f t="shared" si="12"/>
        <v>un fuste</v>
      </c>
      <c r="Q262">
        <f t="shared" si="13"/>
        <v>10</v>
      </c>
      <c r="R262">
        <f t="shared" si="14"/>
        <v>10</v>
      </c>
      <c r="S262">
        <v>16</v>
      </c>
      <c r="T262" t="s">
        <v>275</v>
      </c>
      <c r="U262">
        <v>5.489928909056653E-2</v>
      </c>
    </row>
    <row r="263" spans="1:21" x14ac:dyDescent="0.25">
      <c r="A263" s="7">
        <v>9</v>
      </c>
      <c r="B263" s="7">
        <v>500</v>
      </c>
      <c r="C263" s="7">
        <v>3</v>
      </c>
      <c r="D263" s="8">
        <v>14</v>
      </c>
      <c r="E263" s="7">
        <v>14</v>
      </c>
      <c r="F263" s="9" t="s">
        <v>26</v>
      </c>
      <c r="G263" s="13" t="s">
        <v>27</v>
      </c>
      <c r="H263" s="11" t="s">
        <v>28</v>
      </c>
      <c r="I263" s="7">
        <v>32</v>
      </c>
      <c r="J263" s="15">
        <v>10.185916357881302</v>
      </c>
      <c r="K263" s="7">
        <v>6</v>
      </c>
      <c r="L263" s="7">
        <v>12</v>
      </c>
      <c r="M263" s="7"/>
      <c r="N263" s="12" t="s">
        <v>20</v>
      </c>
      <c r="O263" s="12" t="s">
        <v>16</v>
      </c>
      <c r="P263" s="57" t="str">
        <f t="shared" si="12"/>
        <v>un fuste</v>
      </c>
      <c r="Q263">
        <f t="shared" si="13"/>
        <v>12.5</v>
      </c>
      <c r="R263">
        <f t="shared" si="14"/>
        <v>10</v>
      </c>
      <c r="S263">
        <v>16</v>
      </c>
      <c r="T263" t="s">
        <v>275</v>
      </c>
      <c r="U263">
        <v>5.9200902635031444E-2</v>
      </c>
    </row>
    <row r="264" spans="1:21" x14ac:dyDescent="0.25">
      <c r="A264" s="7">
        <v>11</v>
      </c>
      <c r="B264" s="7">
        <v>100</v>
      </c>
      <c r="C264" s="8">
        <v>1</v>
      </c>
      <c r="D264" s="8">
        <v>14</v>
      </c>
      <c r="E264" s="8">
        <v>14</v>
      </c>
      <c r="F264" s="9" t="s">
        <v>26</v>
      </c>
      <c r="G264" s="13" t="s">
        <v>27</v>
      </c>
      <c r="H264" s="11" t="s">
        <v>28</v>
      </c>
      <c r="I264" s="7">
        <v>24</v>
      </c>
      <c r="J264" s="15">
        <v>7.6394372684109761</v>
      </c>
      <c r="K264" s="7">
        <v>6</v>
      </c>
      <c r="L264" s="8">
        <v>8</v>
      </c>
      <c r="M264" s="7"/>
      <c r="N264" s="12" t="s">
        <v>20</v>
      </c>
      <c r="O264" s="12" t="s">
        <v>16</v>
      </c>
      <c r="P264" s="57" t="str">
        <f t="shared" si="12"/>
        <v>un fuste</v>
      </c>
      <c r="Q264">
        <f t="shared" si="13"/>
        <v>7.5</v>
      </c>
      <c r="R264">
        <f t="shared" si="14"/>
        <v>10</v>
      </c>
    </row>
    <row r="265" spans="1:21" x14ac:dyDescent="0.25">
      <c r="A265" s="7">
        <v>6</v>
      </c>
      <c r="B265" s="7">
        <v>5</v>
      </c>
      <c r="C265" s="7"/>
      <c r="D265" s="8">
        <v>11</v>
      </c>
      <c r="E265" s="7">
        <v>11</v>
      </c>
      <c r="F265" s="17" t="s">
        <v>17</v>
      </c>
      <c r="G265" s="10" t="s">
        <v>65</v>
      </c>
      <c r="H265" s="14" t="s">
        <v>66</v>
      </c>
      <c r="I265" s="7"/>
      <c r="J265" s="7"/>
      <c r="K265" s="7"/>
      <c r="L265" s="7">
        <v>1</v>
      </c>
      <c r="M265" s="7" t="e">
        <v>#REF!</v>
      </c>
      <c r="N265" s="12"/>
      <c r="O265" s="12" t="s">
        <v>16</v>
      </c>
      <c r="P265" s="57" t="str">
        <f t="shared" si="12"/>
        <v>un fuste</v>
      </c>
      <c r="Q265">
        <f t="shared" si="13"/>
        <v>2.5</v>
      </c>
      <c r="R265">
        <f t="shared" si="14"/>
        <v>5</v>
      </c>
    </row>
    <row r="266" spans="1:21" x14ac:dyDescent="0.25">
      <c r="A266" s="7">
        <v>4</v>
      </c>
      <c r="B266" s="7">
        <v>100</v>
      </c>
      <c r="C266" s="7">
        <v>2</v>
      </c>
      <c r="D266" s="8">
        <v>14</v>
      </c>
      <c r="E266" s="7">
        <v>15</v>
      </c>
      <c r="F266" s="17" t="s">
        <v>26</v>
      </c>
      <c r="G266" s="10" t="s">
        <v>27</v>
      </c>
      <c r="H266" s="11" t="s">
        <v>28</v>
      </c>
      <c r="I266" s="7">
        <v>22.5</v>
      </c>
      <c r="J266" s="15">
        <v>7.1619724391352904</v>
      </c>
      <c r="K266" s="7">
        <v>1.3</v>
      </c>
      <c r="L266" s="7">
        <v>6</v>
      </c>
      <c r="M266" s="7"/>
      <c r="N266" s="12" t="s">
        <v>20</v>
      </c>
      <c r="O266" s="12" t="s">
        <v>16</v>
      </c>
      <c r="P266" s="57" t="str">
        <f t="shared" si="12"/>
        <v>un fuste</v>
      </c>
      <c r="Q266">
        <f t="shared" si="13"/>
        <v>5</v>
      </c>
      <c r="R266">
        <f t="shared" si="14"/>
        <v>5</v>
      </c>
    </row>
    <row r="267" spans="1:21" x14ac:dyDescent="0.25">
      <c r="A267" s="7">
        <v>11</v>
      </c>
      <c r="B267" s="7">
        <v>100</v>
      </c>
      <c r="C267" s="8">
        <v>2</v>
      </c>
      <c r="D267" s="8">
        <v>15</v>
      </c>
      <c r="E267" s="8">
        <v>15</v>
      </c>
      <c r="F267" s="9" t="s">
        <v>26</v>
      </c>
      <c r="G267" s="13" t="s">
        <v>27</v>
      </c>
      <c r="H267" s="14" t="s">
        <v>28</v>
      </c>
      <c r="I267" s="7">
        <v>18</v>
      </c>
      <c r="J267" s="15">
        <v>5.7295779513082321</v>
      </c>
      <c r="K267" s="7">
        <v>3.5</v>
      </c>
      <c r="L267" s="8">
        <v>7</v>
      </c>
      <c r="M267" s="7"/>
      <c r="N267" s="12" t="s">
        <v>20</v>
      </c>
      <c r="O267" s="12" t="s">
        <v>16</v>
      </c>
      <c r="P267" s="57" t="str">
        <f t="shared" si="12"/>
        <v>un fuste</v>
      </c>
      <c r="Q267">
        <f t="shared" si="13"/>
        <v>7.5</v>
      </c>
      <c r="R267">
        <f t="shared" si="14"/>
        <v>5</v>
      </c>
    </row>
    <row r="268" spans="1:21" x14ac:dyDescent="0.25">
      <c r="A268" s="7">
        <v>6</v>
      </c>
      <c r="B268" s="7">
        <v>5</v>
      </c>
      <c r="C268" s="7"/>
      <c r="D268" s="8">
        <v>12</v>
      </c>
      <c r="E268" s="7">
        <v>12</v>
      </c>
      <c r="F268" s="9" t="s">
        <v>26</v>
      </c>
      <c r="G268" s="13" t="s">
        <v>27</v>
      </c>
      <c r="H268" s="11" t="s">
        <v>28</v>
      </c>
      <c r="I268" s="7"/>
      <c r="J268" s="7"/>
      <c r="K268" s="7"/>
      <c r="L268" s="7">
        <v>2.2000000000000002</v>
      </c>
      <c r="M268" s="7" t="e">
        <v>#REF!</v>
      </c>
      <c r="N268" s="12"/>
      <c r="O268" s="12" t="s">
        <v>16</v>
      </c>
      <c r="P268" s="57" t="str">
        <f t="shared" si="12"/>
        <v>un fuste</v>
      </c>
      <c r="Q268">
        <f t="shared" si="13"/>
        <v>2.5</v>
      </c>
      <c r="R268">
        <f t="shared" si="14"/>
        <v>5</v>
      </c>
    </row>
    <row r="269" spans="1:21" x14ac:dyDescent="0.25">
      <c r="A269" s="7">
        <v>2</v>
      </c>
      <c r="B269" s="7">
        <v>500</v>
      </c>
      <c r="C269" s="8">
        <v>1</v>
      </c>
      <c r="D269" s="8">
        <v>16</v>
      </c>
      <c r="E269" s="8">
        <v>16</v>
      </c>
      <c r="F269" s="9" t="s">
        <v>26</v>
      </c>
      <c r="G269" s="13" t="s">
        <v>27</v>
      </c>
      <c r="H269" s="14" t="s">
        <v>28</v>
      </c>
      <c r="I269" s="7">
        <v>31.5</v>
      </c>
      <c r="J269" s="15">
        <v>10.026761414789407</v>
      </c>
      <c r="K269" s="7">
        <v>6</v>
      </c>
      <c r="L269" s="7">
        <v>9</v>
      </c>
      <c r="M269" s="7"/>
      <c r="N269" s="12" t="s">
        <v>20</v>
      </c>
      <c r="O269" s="12" t="s">
        <v>16</v>
      </c>
      <c r="P269" s="57" t="str">
        <f t="shared" si="12"/>
        <v>un fuste</v>
      </c>
      <c r="Q269">
        <f t="shared" si="13"/>
        <v>10</v>
      </c>
      <c r="R269">
        <f t="shared" si="14"/>
        <v>10</v>
      </c>
      <c r="S269">
        <v>16</v>
      </c>
      <c r="T269" t="s">
        <v>275</v>
      </c>
      <c r="U269">
        <v>4.2832563889274963E-2</v>
      </c>
    </row>
    <row r="270" spans="1:21" x14ac:dyDescent="0.25">
      <c r="A270" s="7">
        <v>11</v>
      </c>
      <c r="B270" s="7">
        <v>500</v>
      </c>
      <c r="C270" s="8">
        <v>3</v>
      </c>
      <c r="D270" s="8">
        <v>15</v>
      </c>
      <c r="E270" s="8">
        <v>16</v>
      </c>
      <c r="F270" s="9" t="s">
        <v>26</v>
      </c>
      <c r="G270" s="13" t="s">
        <v>27</v>
      </c>
      <c r="H270" s="11" t="s">
        <v>28</v>
      </c>
      <c r="I270" s="7">
        <v>31.5</v>
      </c>
      <c r="J270" s="15">
        <v>10.026761414789407</v>
      </c>
      <c r="K270" s="7">
        <v>5</v>
      </c>
      <c r="L270" s="7">
        <v>12</v>
      </c>
      <c r="M270" s="7"/>
      <c r="N270" s="12" t="s">
        <v>20</v>
      </c>
      <c r="O270" s="12" t="s">
        <v>16</v>
      </c>
      <c r="P270" s="57" t="str">
        <f t="shared" si="12"/>
        <v>un fuste</v>
      </c>
      <c r="Q270">
        <f t="shared" si="13"/>
        <v>12.5</v>
      </c>
      <c r="R270">
        <f t="shared" si="14"/>
        <v>10</v>
      </c>
      <c r="S270">
        <v>16</v>
      </c>
      <c r="T270" t="s">
        <v>275</v>
      </c>
      <c r="U270">
        <v>5.751314793857517E-2</v>
      </c>
    </row>
    <row r="271" spans="1:21" x14ac:dyDescent="0.25">
      <c r="A271" s="7">
        <v>6</v>
      </c>
      <c r="B271" s="7">
        <v>5</v>
      </c>
      <c r="C271" s="8"/>
      <c r="D271" s="8">
        <v>13</v>
      </c>
      <c r="E271" s="8">
        <v>13</v>
      </c>
      <c r="F271" s="9" t="s">
        <v>26</v>
      </c>
      <c r="G271" s="13" t="s">
        <v>27</v>
      </c>
      <c r="H271" s="11" t="s">
        <v>28</v>
      </c>
      <c r="I271" s="7"/>
      <c r="J271" s="7"/>
      <c r="K271" s="7"/>
      <c r="L271" s="7">
        <v>1.9</v>
      </c>
      <c r="M271" s="7" t="e">
        <v>#REF!</v>
      </c>
      <c r="N271" s="12"/>
      <c r="O271" s="12" t="s">
        <v>16</v>
      </c>
      <c r="P271" s="57" t="str">
        <f t="shared" si="12"/>
        <v>un fuste</v>
      </c>
      <c r="Q271">
        <f t="shared" si="13"/>
        <v>2.5</v>
      </c>
      <c r="R271">
        <f t="shared" si="14"/>
        <v>5</v>
      </c>
    </row>
    <row r="272" spans="1:21" x14ac:dyDescent="0.25">
      <c r="A272" s="7">
        <v>6</v>
      </c>
      <c r="B272" s="7">
        <v>500</v>
      </c>
      <c r="C272" s="8">
        <v>4</v>
      </c>
      <c r="D272" s="8">
        <v>16</v>
      </c>
      <c r="E272" s="8">
        <v>17</v>
      </c>
      <c r="F272" s="9" t="s">
        <v>26</v>
      </c>
      <c r="G272" s="13" t="s">
        <v>27</v>
      </c>
      <c r="H272" s="14" t="s">
        <v>28</v>
      </c>
      <c r="I272" s="8">
        <v>34</v>
      </c>
      <c r="J272" s="15">
        <v>10.822536130248883</v>
      </c>
      <c r="K272" s="8">
        <v>5.5</v>
      </c>
      <c r="L272" s="8">
        <v>11</v>
      </c>
      <c r="M272" s="7"/>
      <c r="N272" s="12" t="s">
        <v>20</v>
      </c>
      <c r="O272" s="12" t="s">
        <v>16</v>
      </c>
      <c r="P272" s="57" t="str">
        <f t="shared" si="12"/>
        <v>un fuste</v>
      </c>
      <c r="Q272">
        <f t="shared" si="13"/>
        <v>10</v>
      </c>
      <c r="R272">
        <f t="shared" si="14"/>
        <v>10</v>
      </c>
      <c r="S272">
        <v>16</v>
      </c>
      <c r="T272" t="s">
        <v>275</v>
      </c>
      <c r="U272">
        <v>6.0530089697250426E-2</v>
      </c>
    </row>
    <row r="273" spans="1:21" x14ac:dyDescent="0.25">
      <c r="A273" s="7">
        <v>11</v>
      </c>
      <c r="B273" s="7">
        <v>500</v>
      </c>
      <c r="C273" s="7">
        <v>3</v>
      </c>
      <c r="D273" s="8">
        <v>16</v>
      </c>
      <c r="E273" s="7">
        <v>17</v>
      </c>
      <c r="F273" s="9" t="s">
        <v>26</v>
      </c>
      <c r="G273" s="10" t="s">
        <v>27</v>
      </c>
      <c r="H273" s="11" t="s">
        <v>28</v>
      </c>
      <c r="I273" s="7">
        <v>35</v>
      </c>
      <c r="J273" s="15">
        <v>11.140846016432674</v>
      </c>
      <c r="K273" s="7">
        <v>6</v>
      </c>
      <c r="L273" s="7">
        <v>13</v>
      </c>
      <c r="M273" s="7"/>
      <c r="N273" s="12" t="s">
        <v>20</v>
      </c>
      <c r="O273" s="12" t="s">
        <v>16</v>
      </c>
      <c r="P273" s="57" t="str">
        <f t="shared" si="12"/>
        <v>un fuste</v>
      </c>
      <c r="Q273">
        <f t="shared" si="13"/>
        <v>12.5</v>
      </c>
      <c r="R273">
        <f t="shared" si="14"/>
        <v>10</v>
      </c>
      <c r="S273">
        <v>16</v>
      </c>
      <c r="T273" t="s">
        <v>275</v>
      </c>
      <c r="U273">
        <v>7.5755926738959659E-2</v>
      </c>
    </row>
    <row r="274" spans="1:21" x14ac:dyDescent="0.25">
      <c r="A274" s="7">
        <v>7</v>
      </c>
      <c r="B274" s="7">
        <v>500</v>
      </c>
      <c r="C274" s="8">
        <v>2</v>
      </c>
      <c r="D274" s="8">
        <v>15</v>
      </c>
      <c r="E274" s="8">
        <v>18</v>
      </c>
      <c r="F274" s="9" t="s">
        <v>26</v>
      </c>
      <c r="G274" s="13" t="s">
        <v>27</v>
      </c>
      <c r="H274" s="11" t="s">
        <v>28</v>
      </c>
      <c r="I274" s="7">
        <v>49</v>
      </c>
      <c r="J274" s="15">
        <v>15.597184423005743</v>
      </c>
      <c r="K274" s="7">
        <v>9</v>
      </c>
      <c r="L274" s="8">
        <v>13</v>
      </c>
      <c r="M274" s="7"/>
      <c r="N274" s="12" t="s">
        <v>20</v>
      </c>
      <c r="O274" s="12" t="s">
        <v>16</v>
      </c>
      <c r="P274" s="57" t="str">
        <f t="shared" si="12"/>
        <v>un fuste</v>
      </c>
      <c r="Q274">
        <f t="shared" si="13"/>
        <v>12.5</v>
      </c>
      <c r="R274">
        <f t="shared" si="14"/>
        <v>15</v>
      </c>
      <c r="S274">
        <v>16</v>
      </c>
      <c r="T274" t="s">
        <v>275</v>
      </c>
      <c r="U274">
        <v>0.14053784150461127</v>
      </c>
    </row>
    <row r="275" spans="1:21" x14ac:dyDescent="0.25">
      <c r="A275" s="7">
        <v>11</v>
      </c>
      <c r="B275" s="7">
        <v>500</v>
      </c>
      <c r="C275" s="7">
        <v>3</v>
      </c>
      <c r="D275" s="8">
        <v>17</v>
      </c>
      <c r="E275" s="7">
        <v>18</v>
      </c>
      <c r="F275" s="9" t="s">
        <v>26</v>
      </c>
      <c r="G275" s="13" t="s">
        <v>27</v>
      </c>
      <c r="H275" s="11" t="s">
        <v>28</v>
      </c>
      <c r="I275" s="7">
        <v>34</v>
      </c>
      <c r="J275" s="15">
        <v>10.822536130248883</v>
      </c>
      <c r="K275" s="7">
        <v>6</v>
      </c>
      <c r="L275" s="7">
        <v>10</v>
      </c>
      <c r="M275" s="7"/>
      <c r="N275" s="12" t="s">
        <v>20</v>
      </c>
      <c r="O275" s="12" t="s">
        <v>16</v>
      </c>
      <c r="P275" s="57" t="str">
        <f t="shared" si="12"/>
        <v>un fuste</v>
      </c>
      <c r="Q275">
        <f t="shared" si="13"/>
        <v>10</v>
      </c>
      <c r="R275">
        <f t="shared" si="14"/>
        <v>10</v>
      </c>
      <c r="S275">
        <v>16</v>
      </c>
      <c r="T275" t="s">
        <v>275</v>
      </c>
      <c r="U275">
        <v>5.489928909056653E-2</v>
      </c>
    </row>
    <row r="276" spans="1:21" x14ac:dyDescent="0.25">
      <c r="A276" s="7">
        <v>6</v>
      </c>
      <c r="B276" s="7">
        <v>5</v>
      </c>
      <c r="C276" s="8"/>
      <c r="D276" s="8">
        <v>14</v>
      </c>
      <c r="E276" s="8">
        <v>14</v>
      </c>
      <c r="F276" s="9" t="s">
        <v>26</v>
      </c>
      <c r="G276" s="13" t="s">
        <v>27</v>
      </c>
      <c r="H276" s="14" t="s">
        <v>28</v>
      </c>
      <c r="I276" s="7"/>
      <c r="J276" s="7"/>
      <c r="K276" s="7"/>
      <c r="L276" s="7">
        <v>2.5</v>
      </c>
      <c r="M276" s="7" t="e">
        <v>#REF!</v>
      </c>
      <c r="N276" s="12"/>
      <c r="O276" s="12" t="s">
        <v>16</v>
      </c>
      <c r="P276" s="57" t="str">
        <f t="shared" si="12"/>
        <v>un fuste</v>
      </c>
      <c r="Q276">
        <f t="shared" si="13"/>
        <v>2.5</v>
      </c>
      <c r="R276">
        <f t="shared" si="14"/>
        <v>5</v>
      </c>
    </row>
    <row r="277" spans="1:21" x14ac:dyDescent="0.25">
      <c r="A277" s="7">
        <v>2</v>
      </c>
      <c r="B277" s="7">
        <v>500</v>
      </c>
      <c r="C277" s="7">
        <v>2</v>
      </c>
      <c r="D277" s="8">
        <v>20</v>
      </c>
      <c r="E277" s="8">
        <v>20</v>
      </c>
      <c r="F277" s="9" t="s">
        <v>26</v>
      </c>
      <c r="G277" s="13" t="s">
        <v>27</v>
      </c>
      <c r="H277" s="14" t="s">
        <v>28</v>
      </c>
      <c r="I277" s="7">
        <v>34.5</v>
      </c>
      <c r="J277" s="15">
        <v>10.981691073340778</v>
      </c>
      <c r="K277" s="7">
        <v>7</v>
      </c>
      <c r="L277" s="7">
        <v>10</v>
      </c>
      <c r="M277" s="7"/>
      <c r="N277" s="12" t="s">
        <v>20</v>
      </c>
      <c r="O277" s="12" t="s">
        <v>16</v>
      </c>
      <c r="P277" s="57" t="str">
        <f t="shared" si="12"/>
        <v>un fuste</v>
      </c>
      <c r="Q277">
        <f t="shared" si="13"/>
        <v>10</v>
      </c>
      <c r="R277">
        <f t="shared" si="14"/>
        <v>10</v>
      </c>
      <c r="S277">
        <v>16</v>
      </c>
      <c r="T277" t="s">
        <v>275</v>
      </c>
      <c r="U277">
        <v>5.6391156457334175E-2</v>
      </c>
    </row>
    <row r="278" spans="1:21" x14ac:dyDescent="0.25">
      <c r="A278" s="7">
        <v>11</v>
      </c>
      <c r="B278" s="7">
        <v>500</v>
      </c>
      <c r="C278" s="7">
        <v>4</v>
      </c>
      <c r="D278" s="8">
        <v>20</v>
      </c>
      <c r="E278" s="7">
        <v>21</v>
      </c>
      <c r="F278" s="9" t="s">
        <v>26</v>
      </c>
      <c r="G278" s="13" t="s">
        <v>27</v>
      </c>
      <c r="H278" s="7" t="s">
        <v>28</v>
      </c>
      <c r="I278" s="7">
        <v>36</v>
      </c>
      <c r="J278" s="15">
        <v>11.459155902616464</v>
      </c>
      <c r="K278" s="7">
        <v>6</v>
      </c>
      <c r="L278" s="7">
        <v>12</v>
      </c>
      <c r="M278" s="7"/>
      <c r="N278" s="12" t="s">
        <v>20</v>
      </c>
      <c r="O278" s="12" t="s">
        <v>16</v>
      </c>
      <c r="P278" s="57" t="str">
        <f t="shared" si="12"/>
        <v>un fuste</v>
      </c>
      <c r="Q278">
        <f t="shared" si="13"/>
        <v>12.5</v>
      </c>
      <c r="R278">
        <f t="shared" si="14"/>
        <v>10</v>
      </c>
      <c r="S278">
        <v>16</v>
      </c>
      <c r="T278" t="s">
        <v>275</v>
      </c>
      <c r="U278">
        <v>7.3497796805331805E-2</v>
      </c>
    </row>
    <row r="279" spans="1:21" x14ac:dyDescent="0.25">
      <c r="A279" s="7">
        <v>8</v>
      </c>
      <c r="B279" s="7">
        <v>500</v>
      </c>
      <c r="C279" s="7">
        <v>2</v>
      </c>
      <c r="D279" s="8">
        <v>20</v>
      </c>
      <c r="E279" s="8">
        <v>22</v>
      </c>
      <c r="F279" s="17" t="s">
        <v>26</v>
      </c>
      <c r="G279" s="10" t="s">
        <v>27</v>
      </c>
      <c r="H279" s="11" t="s">
        <v>28</v>
      </c>
      <c r="I279" s="7">
        <v>34</v>
      </c>
      <c r="J279" s="15">
        <v>10.822536130248883</v>
      </c>
      <c r="K279" s="7">
        <v>8</v>
      </c>
      <c r="L279" s="7">
        <v>11</v>
      </c>
      <c r="M279" s="7"/>
      <c r="N279" s="12" t="s">
        <v>20</v>
      </c>
      <c r="O279" s="12" t="s">
        <v>16</v>
      </c>
      <c r="P279" s="57" t="str">
        <f t="shared" si="12"/>
        <v>un fuste</v>
      </c>
      <c r="Q279">
        <f t="shared" si="13"/>
        <v>10</v>
      </c>
      <c r="R279">
        <f t="shared" si="14"/>
        <v>10</v>
      </c>
      <c r="S279">
        <v>16</v>
      </c>
      <c r="T279" t="s">
        <v>275</v>
      </c>
      <c r="U279">
        <v>6.0530089697250426E-2</v>
      </c>
    </row>
    <row r="280" spans="1:21" x14ac:dyDescent="0.25">
      <c r="A280" s="7">
        <v>11</v>
      </c>
      <c r="B280" s="7">
        <v>500</v>
      </c>
      <c r="C280" s="8">
        <v>4</v>
      </c>
      <c r="D280" s="8">
        <v>21</v>
      </c>
      <c r="E280" s="8">
        <v>22</v>
      </c>
      <c r="F280" s="9" t="s">
        <v>26</v>
      </c>
      <c r="G280" s="10" t="s">
        <v>27</v>
      </c>
      <c r="H280" s="11" t="s">
        <v>28</v>
      </c>
      <c r="I280" s="7">
        <v>38.5</v>
      </c>
      <c r="J280" s="15">
        <v>12.254930618075941</v>
      </c>
      <c r="K280" s="7">
        <v>1.4</v>
      </c>
      <c r="L280" s="8">
        <v>12</v>
      </c>
      <c r="M280" s="7"/>
      <c r="N280" s="12" t="s">
        <v>20</v>
      </c>
      <c r="O280" s="12" t="s">
        <v>16</v>
      </c>
      <c r="P280" s="57" t="str">
        <f t="shared" si="12"/>
        <v>un fuste</v>
      </c>
      <c r="Q280">
        <f t="shared" si="13"/>
        <v>12.5</v>
      </c>
      <c r="R280">
        <f t="shared" si="14"/>
        <v>10</v>
      </c>
      <c r="S280">
        <v>16</v>
      </c>
      <c r="T280" t="s">
        <v>275</v>
      </c>
      <c r="U280">
        <v>8.3143041429044176E-2</v>
      </c>
    </row>
    <row r="281" spans="1:21" x14ac:dyDescent="0.25">
      <c r="A281" s="7">
        <v>11</v>
      </c>
      <c r="B281" s="7">
        <v>100</v>
      </c>
      <c r="C281" s="7">
        <v>3</v>
      </c>
      <c r="D281" s="8">
        <v>22</v>
      </c>
      <c r="E281" s="8">
        <v>22</v>
      </c>
      <c r="F281" s="9" t="s">
        <v>26</v>
      </c>
      <c r="G281" s="10" t="s">
        <v>27</v>
      </c>
      <c r="H281" s="11" t="s">
        <v>28</v>
      </c>
      <c r="I281" s="7">
        <v>22</v>
      </c>
      <c r="J281" s="15">
        <v>7.0028174960433951</v>
      </c>
      <c r="K281" s="7">
        <v>3.5</v>
      </c>
      <c r="L281" s="7">
        <v>8</v>
      </c>
      <c r="M281" s="7"/>
      <c r="N281" s="12" t="s">
        <v>20</v>
      </c>
      <c r="O281" s="12" t="s">
        <v>16</v>
      </c>
      <c r="P281" s="57" t="str">
        <f t="shared" si="12"/>
        <v>un fuste</v>
      </c>
      <c r="Q281">
        <f t="shared" si="13"/>
        <v>7.5</v>
      </c>
      <c r="R281">
        <f t="shared" si="14"/>
        <v>5</v>
      </c>
    </row>
    <row r="282" spans="1:21" x14ac:dyDescent="0.25">
      <c r="A282" s="7">
        <v>5</v>
      </c>
      <c r="B282" s="7">
        <v>500</v>
      </c>
      <c r="C282" s="8">
        <v>2</v>
      </c>
      <c r="D282" s="8">
        <v>21</v>
      </c>
      <c r="E282" s="8">
        <v>23</v>
      </c>
      <c r="F282" s="9" t="s">
        <v>26</v>
      </c>
      <c r="G282" s="13" t="s">
        <v>27</v>
      </c>
      <c r="H282" s="11" t="s">
        <v>28</v>
      </c>
      <c r="I282" s="7">
        <v>33</v>
      </c>
      <c r="J282" s="15">
        <v>10.504226244065093</v>
      </c>
      <c r="K282" s="7">
        <v>4</v>
      </c>
      <c r="L282" s="7">
        <v>10</v>
      </c>
      <c r="M282" s="7"/>
      <c r="N282" s="12" t="s">
        <v>20</v>
      </c>
      <c r="O282" s="12" t="s">
        <v>16</v>
      </c>
      <c r="P282" s="57" t="str">
        <f t="shared" si="12"/>
        <v>un fuste</v>
      </c>
      <c r="Q282">
        <f t="shared" si="13"/>
        <v>10</v>
      </c>
      <c r="R282">
        <f t="shared" si="14"/>
        <v>10</v>
      </c>
      <c r="S282">
        <v>16</v>
      </c>
      <c r="T282" t="s">
        <v>275</v>
      </c>
      <c r="U282">
        <v>5.1970324523567132E-2</v>
      </c>
    </row>
    <row r="283" spans="1:21" x14ac:dyDescent="0.25">
      <c r="A283" s="7">
        <v>8</v>
      </c>
      <c r="B283" s="7">
        <v>500</v>
      </c>
      <c r="C283" s="8">
        <v>2</v>
      </c>
      <c r="D283" s="8">
        <v>21</v>
      </c>
      <c r="E283" s="8">
        <v>23</v>
      </c>
      <c r="F283" s="9" t="s">
        <v>26</v>
      </c>
      <c r="G283" s="13" t="s">
        <v>27</v>
      </c>
      <c r="H283" s="11" t="s">
        <v>28</v>
      </c>
      <c r="I283" s="7">
        <v>41.5</v>
      </c>
      <c r="J283" s="15">
        <v>13.209860276627314</v>
      </c>
      <c r="K283" s="7">
        <v>9</v>
      </c>
      <c r="L283" s="8">
        <v>12</v>
      </c>
      <c r="M283" s="7"/>
      <c r="N283" s="12" t="s">
        <v>20</v>
      </c>
      <c r="O283" s="12" t="s">
        <v>16</v>
      </c>
      <c r="P283" s="57" t="str">
        <f t="shared" si="12"/>
        <v>un fuste</v>
      </c>
      <c r="Q283">
        <f t="shared" si="13"/>
        <v>12.5</v>
      </c>
      <c r="R283">
        <f t="shared" si="14"/>
        <v>15</v>
      </c>
      <c r="S283">
        <v>16</v>
      </c>
      <c r="T283" t="s">
        <v>275</v>
      </c>
      <c r="U283">
        <v>9.5427907409601123E-2</v>
      </c>
    </row>
    <row r="284" spans="1:21" x14ac:dyDescent="0.25">
      <c r="A284" s="7">
        <v>6</v>
      </c>
      <c r="B284" s="7">
        <v>100</v>
      </c>
      <c r="C284" s="7">
        <v>3</v>
      </c>
      <c r="D284" s="8">
        <v>20</v>
      </c>
      <c r="E284" s="7">
        <v>23</v>
      </c>
      <c r="F284" s="9" t="s">
        <v>26</v>
      </c>
      <c r="G284" s="10" t="s">
        <v>27</v>
      </c>
      <c r="H284" s="11" t="s">
        <v>28</v>
      </c>
      <c r="I284" s="7">
        <v>16.5</v>
      </c>
      <c r="J284" s="15">
        <v>5.2521131220325463</v>
      </c>
      <c r="K284" s="7">
        <v>5</v>
      </c>
      <c r="L284" s="7">
        <v>8</v>
      </c>
      <c r="M284" s="7"/>
      <c r="N284" s="12" t="s">
        <v>20</v>
      </c>
      <c r="O284" s="12" t="s">
        <v>16</v>
      </c>
      <c r="P284" s="57" t="str">
        <f t="shared" si="12"/>
        <v>un fuste</v>
      </c>
      <c r="Q284">
        <f t="shared" si="13"/>
        <v>7.5</v>
      </c>
      <c r="R284">
        <f t="shared" si="14"/>
        <v>5</v>
      </c>
    </row>
    <row r="285" spans="1:21" x14ac:dyDescent="0.25">
      <c r="A285" s="7">
        <v>11</v>
      </c>
      <c r="B285" s="7">
        <v>100</v>
      </c>
      <c r="C285" s="7">
        <v>3</v>
      </c>
      <c r="D285" s="8">
        <v>23</v>
      </c>
      <c r="E285" s="8">
        <v>23</v>
      </c>
      <c r="F285" s="9" t="s">
        <v>26</v>
      </c>
      <c r="G285" s="13" t="s">
        <v>27</v>
      </c>
      <c r="H285" s="14" t="s">
        <v>28</v>
      </c>
      <c r="I285" s="7">
        <v>21.5</v>
      </c>
      <c r="J285" s="15">
        <v>6.8436625529514998</v>
      </c>
      <c r="K285" s="7">
        <v>3.5</v>
      </c>
      <c r="L285" s="7">
        <v>8</v>
      </c>
      <c r="M285" s="7"/>
      <c r="N285" s="12" t="s">
        <v>20</v>
      </c>
      <c r="O285" s="12" t="s">
        <v>16</v>
      </c>
      <c r="P285" s="57" t="str">
        <f t="shared" si="12"/>
        <v>un fuste</v>
      </c>
      <c r="Q285">
        <f t="shared" si="13"/>
        <v>7.5</v>
      </c>
      <c r="R285">
        <f t="shared" si="14"/>
        <v>5</v>
      </c>
    </row>
    <row r="286" spans="1:21" x14ac:dyDescent="0.25">
      <c r="A286" s="7">
        <v>5</v>
      </c>
      <c r="B286" s="7">
        <v>500</v>
      </c>
      <c r="C286" s="8">
        <v>2</v>
      </c>
      <c r="D286" s="8">
        <v>22</v>
      </c>
      <c r="E286" s="8">
        <v>24</v>
      </c>
      <c r="F286" s="9" t="s">
        <v>26</v>
      </c>
      <c r="G286" s="10" t="s">
        <v>27</v>
      </c>
      <c r="H286" s="11" t="s">
        <v>28</v>
      </c>
      <c r="I286" s="7">
        <v>35</v>
      </c>
      <c r="J286" s="15">
        <v>11.140846016432674</v>
      </c>
      <c r="K286" s="7">
        <v>6</v>
      </c>
      <c r="L286" s="8">
        <v>11</v>
      </c>
      <c r="M286" s="7"/>
      <c r="N286" s="12" t="s">
        <v>20</v>
      </c>
      <c r="O286" s="12" t="s">
        <v>16</v>
      </c>
      <c r="P286" s="57" t="str">
        <f t="shared" si="12"/>
        <v>un fuste</v>
      </c>
      <c r="Q286">
        <f t="shared" si="13"/>
        <v>10</v>
      </c>
      <c r="R286">
        <f t="shared" si="14"/>
        <v>10</v>
      </c>
      <c r="S286">
        <v>16</v>
      </c>
      <c r="T286" t="s">
        <v>275</v>
      </c>
      <c r="U286">
        <v>6.3839919236367462E-2</v>
      </c>
    </row>
    <row r="287" spans="1:21" x14ac:dyDescent="0.25">
      <c r="A287" s="7">
        <v>9</v>
      </c>
      <c r="B287" s="7">
        <v>100</v>
      </c>
      <c r="C287" s="8">
        <v>2</v>
      </c>
      <c r="D287" s="8">
        <v>24</v>
      </c>
      <c r="E287" s="8">
        <v>24</v>
      </c>
      <c r="F287" s="9" t="s">
        <v>26</v>
      </c>
      <c r="G287" s="13" t="s">
        <v>27</v>
      </c>
      <c r="H287" s="14" t="s">
        <v>28</v>
      </c>
      <c r="I287" s="7">
        <v>21</v>
      </c>
      <c r="J287" s="15">
        <v>6.6845076098596046</v>
      </c>
      <c r="K287" s="7">
        <v>3</v>
      </c>
      <c r="L287" s="7">
        <v>9</v>
      </c>
      <c r="M287" s="7"/>
      <c r="N287" s="12" t="s">
        <v>20</v>
      </c>
      <c r="O287" s="12" t="s">
        <v>16</v>
      </c>
      <c r="P287" s="57" t="str">
        <f t="shared" si="12"/>
        <v>un fuste</v>
      </c>
      <c r="Q287">
        <f t="shared" si="13"/>
        <v>10</v>
      </c>
      <c r="R287">
        <f t="shared" si="14"/>
        <v>5</v>
      </c>
    </row>
    <row r="288" spans="1:21" x14ac:dyDescent="0.25">
      <c r="A288" s="7">
        <v>1</v>
      </c>
      <c r="B288" s="7">
        <v>500</v>
      </c>
      <c r="C288" s="8">
        <v>4</v>
      </c>
      <c r="D288" s="8">
        <v>22</v>
      </c>
      <c r="E288" s="8">
        <v>25</v>
      </c>
      <c r="F288" s="9" t="s">
        <v>26</v>
      </c>
      <c r="G288" s="10" t="s">
        <v>27</v>
      </c>
      <c r="H288" s="11" t="s">
        <v>28</v>
      </c>
      <c r="I288" s="7">
        <v>54.5</v>
      </c>
      <c r="J288" s="15">
        <v>17.347888797016591</v>
      </c>
      <c r="K288" s="7">
        <v>8</v>
      </c>
      <c r="L288" s="7">
        <v>15</v>
      </c>
      <c r="M288" s="7"/>
      <c r="N288" s="12" t="s">
        <v>20</v>
      </c>
      <c r="O288" s="12" t="s">
        <v>16</v>
      </c>
      <c r="P288" s="57" t="str">
        <f t="shared" si="12"/>
        <v>un fuste</v>
      </c>
      <c r="Q288">
        <f t="shared" si="13"/>
        <v>15</v>
      </c>
      <c r="R288">
        <f t="shared" si="14"/>
        <v>15</v>
      </c>
      <c r="S288">
        <v>16</v>
      </c>
      <c r="T288" t="s">
        <v>275</v>
      </c>
      <c r="U288">
        <v>0.19783882699633751</v>
      </c>
    </row>
    <row r="289" spans="1:21" x14ac:dyDescent="0.25">
      <c r="A289" s="7">
        <v>9</v>
      </c>
      <c r="B289" s="7">
        <v>100</v>
      </c>
      <c r="C289" s="8">
        <v>2</v>
      </c>
      <c r="D289" s="8">
        <v>25</v>
      </c>
      <c r="E289" s="8">
        <v>25</v>
      </c>
      <c r="F289" s="9" t="s">
        <v>26</v>
      </c>
      <c r="G289" s="13" t="s">
        <v>27</v>
      </c>
      <c r="H289" s="14" t="s">
        <v>28</v>
      </c>
      <c r="I289" s="7">
        <v>25</v>
      </c>
      <c r="J289" s="15">
        <v>7.9577471545947667</v>
      </c>
      <c r="K289" s="7">
        <v>5</v>
      </c>
      <c r="L289" s="8">
        <v>9</v>
      </c>
      <c r="M289" s="7"/>
      <c r="N289" s="12" t="s">
        <v>20</v>
      </c>
      <c r="O289" s="12" t="s">
        <v>16</v>
      </c>
      <c r="P289" s="57" t="str">
        <f t="shared" si="12"/>
        <v>un fuste</v>
      </c>
      <c r="Q289">
        <f t="shared" si="13"/>
        <v>10</v>
      </c>
      <c r="R289">
        <f t="shared" si="14"/>
        <v>10</v>
      </c>
    </row>
    <row r="290" spans="1:21" x14ac:dyDescent="0.25">
      <c r="A290" s="7">
        <v>11</v>
      </c>
      <c r="B290" s="7">
        <v>100</v>
      </c>
      <c r="C290" s="7">
        <v>3</v>
      </c>
      <c r="D290" s="8">
        <v>25</v>
      </c>
      <c r="E290" s="7">
        <v>25</v>
      </c>
      <c r="F290" s="9" t="s">
        <v>26</v>
      </c>
      <c r="G290" s="13" t="s">
        <v>27</v>
      </c>
      <c r="H290" s="11" t="s">
        <v>28</v>
      </c>
      <c r="I290" s="7">
        <v>18</v>
      </c>
      <c r="J290" s="15">
        <v>5.7295779513082321</v>
      </c>
      <c r="K290" s="7">
        <v>5.5</v>
      </c>
      <c r="L290" s="7">
        <v>5.5</v>
      </c>
      <c r="M290" s="7"/>
      <c r="N290" s="12" t="s">
        <v>20</v>
      </c>
      <c r="O290" s="12" t="s">
        <v>16</v>
      </c>
      <c r="P290" s="57" t="str">
        <f t="shared" si="12"/>
        <v>un fuste</v>
      </c>
      <c r="Q290">
        <f t="shared" si="13"/>
        <v>5</v>
      </c>
      <c r="R290">
        <f t="shared" si="14"/>
        <v>5</v>
      </c>
    </row>
    <row r="291" spans="1:21" x14ac:dyDescent="0.25">
      <c r="A291" s="7">
        <v>9</v>
      </c>
      <c r="B291" s="7">
        <v>500</v>
      </c>
      <c r="C291" s="8">
        <v>4</v>
      </c>
      <c r="D291" s="8">
        <v>23</v>
      </c>
      <c r="E291" s="8">
        <v>26</v>
      </c>
      <c r="F291" s="9" t="s">
        <v>26</v>
      </c>
      <c r="G291" s="10" t="s">
        <v>27</v>
      </c>
      <c r="H291" s="11" t="s">
        <v>28</v>
      </c>
      <c r="I291" s="7">
        <v>35.5</v>
      </c>
      <c r="J291" s="15">
        <v>11.300000959524569</v>
      </c>
      <c r="K291" s="7">
        <v>2.2000000000000002</v>
      </c>
      <c r="L291" s="7">
        <v>9</v>
      </c>
      <c r="M291" s="7"/>
      <c r="N291" s="12" t="s">
        <v>20</v>
      </c>
      <c r="O291" s="12" t="s">
        <v>16</v>
      </c>
      <c r="P291" s="57" t="str">
        <f t="shared" si="12"/>
        <v>un fuste</v>
      </c>
      <c r="Q291">
        <f t="shared" si="13"/>
        <v>10</v>
      </c>
      <c r="R291">
        <f t="shared" si="14"/>
        <v>10</v>
      </c>
      <c r="S291">
        <v>16</v>
      </c>
      <c r="T291" t="s">
        <v>275</v>
      </c>
      <c r="U291">
        <v>5.3348911172938406E-2</v>
      </c>
    </row>
    <row r="292" spans="1:21" x14ac:dyDescent="0.25">
      <c r="A292" s="7">
        <v>9</v>
      </c>
      <c r="B292" s="7">
        <v>500</v>
      </c>
      <c r="C292" s="7">
        <v>4</v>
      </c>
      <c r="D292" s="8">
        <v>25</v>
      </c>
      <c r="E292" s="7">
        <v>28</v>
      </c>
      <c r="F292" s="9" t="s">
        <v>26</v>
      </c>
      <c r="G292" s="10" t="s">
        <v>27</v>
      </c>
      <c r="H292" s="11" t="s">
        <v>28</v>
      </c>
      <c r="I292" s="7">
        <v>37.200000000000003</v>
      </c>
      <c r="J292" s="15">
        <v>11.841127766037014</v>
      </c>
      <c r="K292" s="7">
        <v>4</v>
      </c>
      <c r="L292" s="7">
        <v>10</v>
      </c>
      <c r="M292" s="7"/>
      <c r="N292" s="12" t="s">
        <v>20</v>
      </c>
      <c r="O292" s="12" t="s">
        <v>16</v>
      </c>
      <c r="P292" s="57" t="str">
        <f t="shared" si="12"/>
        <v>un fuste</v>
      </c>
      <c r="Q292">
        <f t="shared" si="13"/>
        <v>10</v>
      </c>
      <c r="R292">
        <f t="shared" si="14"/>
        <v>10</v>
      </c>
      <c r="S292">
        <v>16</v>
      </c>
      <c r="T292" t="s">
        <v>275</v>
      </c>
      <c r="U292">
        <v>6.4760642257022452E-2</v>
      </c>
    </row>
    <row r="293" spans="1:21" x14ac:dyDescent="0.25">
      <c r="A293" s="7">
        <v>4</v>
      </c>
      <c r="B293" s="7">
        <v>500</v>
      </c>
      <c r="C293" s="8">
        <v>2</v>
      </c>
      <c r="D293" s="8">
        <v>28</v>
      </c>
      <c r="E293" s="8">
        <v>29</v>
      </c>
      <c r="F293" s="17" t="s">
        <v>26</v>
      </c>
      <c r="G293" s="10" t="s">
        <v>27</v>
      </c>
      <c r="H293" s="11" t="s">
        <v>28</v>
      </c>
      <c r="I293" s="7">
        <v>48.5</v>
      </c>
      <c r="J293" s="15">
        <v>15.438029479913848</v>
      </c>
      <c r="K293" s="7">
        <v>3.5</v>
      </c>
      <c r="L293" s="8">
        <v>13</v>
      </c>
      <c r="M293" s="7"/>
      <c r="N293" s="12" t="s">
        <v>20</v>
      </c>
      <c r="O293" s="12" t="s">
        <v>16</v>
      </c>
      <c r="P293" s="57" t="str">
        <f t="shared" si="12"/>
        <v>un fuste</v>
      </c>
      <c r="Q293">
        <f t="shared" si="13"/>
        <v>12.5</v>
      </c>
      <c r="R293">
        <f t="shared" si="14"/>
        <v>15</v>
      </c>
      <c r="S293">
        <v>16</v>
      </c>
      <c r="T293" t="s">
        <v>275</v>
      </c>
      <c r="U293">
        <v>0.13791531609601446</v>
      </c>
    </row>
    <row r="294" spans="1:21" x14ac:dyDescent="0.25">
      <c r="A294" s="7">
        <v>5</v>
      </c>
      <c r="B294" s="7">
        <v>500</v>
      </c>
      <c r="C294" s="7">
        <v>3</v>
      </c>
      <c r="D294" s="7">
        <v>28</v>
      </c>
      <c r="E294" s="7">
        <v>30</v>
      </c>
      <c r="F294" s="17" t="s">
        <v>26</v>
      </c>
      <c r="G294" s="10" t="s">
        <v>27</v>
      </c>
      <c r="H294" s="11" t="s">
        <v>28</v>
      </c>
      <c r="I294" s="7">
        <v>31.5</v>
      </c>
      <c r="J294" s="15">
        <v>10.026761414789407</v>
      </c>
      <c r="K294" s="7">
        <v>6</v>
      </c>
      <c r="L294" s="7">
        <v>9</v>
      </c>
      <c r="M294" s="7"/>
      <c r="N294" s="12" t="s">
        <v>20</v>
      </c>
      <c r="O294" s="12" t="s">
        <v>16</v>
      </c>
      <c r="P294" s="57" t="str">
        <f t="shared" si="12"/>
        <v>un fuste</v>
      </c>
      <c r="Q294">
        <f t="shared" si="13"/>
        <v>10</v>
      </c>
      <c r="R294">
        <f t="shared" si="14"/>
        <v>10</v>
      </c>
      <c r="S294">
        <v>16</v>
      </c>
      <c r="T294" t="s">
        <v>275</v>
      </c>
      <c r="U294">
        <v>4.2832563889274963E-2</v>
      </c>
    </row>
    <row r="295" spans="1:21" x14ac:dyDescent="0.25">
      <c r="A295" s="7">
        <v>11</v>
      </c>
      <c r="B295" s="7">
        <v>100</v>
      </c>
      <c r="C295" s="7">
        <v>3</v>
      </c>
      <c r="D295" s="8">
        <v>30</v>
      </c>
      <c r="E295" s="7">
        <v>30</v>
      </c>
      <c r="F295" s="9" t="s">
        <v>26</v>
      </c>
      <c r="G295" s="10" t="s">
        <v>27</v>
      </c>
      <c r="H295" s="11" t="s">
        <v>28</v>
      </c>
      <c r="I295" s="7">
        <v>18.5</v>
      </c>
      <c r="J295" s="15">
        <v>5.8887328944001274</v>
      </c>
      <c r="K295" s="7">
        <v>3</v>
      </c>
      <c r="L295" s="7">
        <v>6</v>
      </c>
      <c r="M295" s="7"/>
      <c r="N295" s="12" t="s">
        <v>20</v>
      </c>
      <c r="O295" s="12" t="s">
        <v>16</v>
      </c>
      <c r="P295" s="57" t="str">
        <f t="shared" si="12"/>
        <v>un fuste</v>
      </c>
      <c r="Q295">
        <f t="shared" si="13"/>
        <v>5</v>
      </c>
      <c r="R295">
        <f t="shared" si="14"/>
        <v>5</v>
      </c>
    </row>
    <row r="296" spans="1:21" x14ac:dyDescent="0.25">
      <c r="A296" s="7">
        <v>5</v>
      </c>
      <c r="B296" s="7">
        <v>500</v>
      </c>
      <c r="C296" s="8">
        <v>3</v>
      </c>
      <c r="D296" s="8">
        <v>29</v>
      </c>
      <c r="E296" s="8">
        <v>31</v>
      </c>
      <c r="F296" s="9" t="s">
        <v>26</v>
      </c>
      <c r="G296" s="13" t="s">
        <v>27</v>
      </c>
      <c r="H296" s="11" t="s">
        <v>28</v>
      </c>
      <c r="I296" s="8">
        <v>35</v>
      </c>
      <c r="J296" s="15">
        <v>11.140846016432674</v>
      </c>
      <c r="K296" s="8">
        <v>5.5</v>
      </c>
      <c r="L296" s="8">
        <v>11</v>
      </c>
      <c r="M296" s="7"/>
      <c r="N296" s="12" t="s">
        <v>20</v>
      </c>
      <c r="O296" s="12" t="s">
        <v>16</v>
      </c>
      <c r="P296" s="57" t="str">
        <f t="shared" si="12"/>
        <v>un fuste</v>
      </c>
      <c r="Q296">
        <f t="shared" si="13"/>
        <v>10</v>
      </c>
      <c r="R296">
        <f t="shared" si="14"/>
        <v>10</v>
      </c>
      <c r="S296">
        <v>16</v>
      </c>
      <c r="T296" t="s">
        <v>275</v>
      </c>
      <c r="U296">
        <v>6.3839919236367462E-2</v>
      </c>
    </row>
    <row r="297" spans="1:21" x14ac:dyDescent="0.25">
      <c r="A297" s="7">
        <v>2</v>
      </c>
      <c r="B297" s="7">
        <v>500</v>
      </c>
      <c r="C297" s="8">
        <v>2</v>
      </c>
      <c r="D297" s="8">
        <v>31</v>
      </c>
      <c r="E297" s="8">
        <v>32</v>
      </c>
      <c r="F297" s="9" t="s">
        <v>26</v>
      </c>
      <c r="G297" s="13" t="s">
        <v>27</v>
      </c>
      <c r="H297" s="14" t="s">
        <v>28</v>
      </c>
      <c r="I297" s="8">
        <v>48</v>
      </c>
      <c r="J297" s="15">
        <v>15.278874536821952</v>
      </c>
      <c r="K297" s="8">
        <v>7</v>
      </c>
      <c r="L297" s="8">
        <v>11</v>
      </c>
      <c r="M297" s="7"/>
      <c r="N297" s="12" t="s">
        <v>20</v>
      </c>
      <c r="O297" s="12" t="s">
        <v>16</v>
      </c>
      <c r="P297" s="57" t="str">
        <f t="shared" si="12"/>
        <v>un fuste</v>
      </c>
      <c r="Q297">
        <f t="shared" si="13"/>
        <v>10</v>
      </c>
      <c r="R297">
        <f t="shared" si="14"/>
        <v>15</v>
      </c>
      <c r="S297">
        <v>16</v>
      </c>
      <c r="T297" t="s">
        <v>275</v>
      </c>
      <c r="U297">
        <v>0.11403092739822697</v>
      </c>
    </row>
    <row r="298" spans="1:21" x14ac:dyDescent="0.25">
      <c r="A298" s="7">
        <v>5</v>
      </c>
      <c r="B298" s="7">
        <v>500</v>
      </c>
      <c r="C298" s="8">
        <v>3</v>
      </c>
      <c r="D298" s="8">
        <v>30</v>
      </c>
      <c r="E298" s="8">
        <v>32</v>
      </c>
      <c r="F298" s="9" t="s">
        <v>26</v>
      </c>
      <c r="G298" s="13" t="s">
        <v>27</v>
      </c>
      <c r="H298" s="11" t="s">
        <v>28</v>
      </c>
      <c r="I298" s="8">
        <v>34</v>
      </c>
      <c r="J298" s="15">
        <v>10.822536130248883</v>
      </c>
      <c r="K298" s="8">
        <v>6</v>
      </c>
      <c r="L298" s="8">
        <v>10</v>
      </c>
      <c r="M298" s="7"/>
      <c r="N298" s="12" t="s">
        <v>20</v>
      </c>
      <c r="O298" s="12" t="s">
        <v>16</v>
      </c>
      <c r="P298" s="57" t="str">
        <f t="shared" si="12"/>
        <v>un fuste</v>
      </c>
      <c r="Q298">
        <f t="shared" si="13"/>
        <v>10</v>
      </c>
      <c r="R298">
        <f t="shared" si="14"/>
        <v>10</v>
      </c>
      <c r="S298">
        <v>16</v>
      </c>
      <c r="T298" t="s">
        <v>275</v>
      </c>
      <c r="U298">
        <v>5.489928909056653E-2</v>
      </c>
    </row>
    <row r="299" spans="1:21" x14ac:dyDescent="0.25">
      <c r="A299" s="7">
        <v>4</v>
      </c>
      <c r="B299" s="7">
        <v>500</v>
      </c>
      <c r="C299" s="8">
        <v>2</v>
      </c>
      <c r="D299" s="8">
        <v>32</v>
      </c>
      <c r="E299" s="8">
        <v>33</v>
      </c>
      <c r="F299" s="9" t="s">
        <v>26</v>
      </c>
      <c r="G299" s="13" t="s">
        <v>27</v>
      </c>
      <c r="H299" s="11" t="s">
        <v>28</v>
      </c>
      <c r="I299" s="7">
        <v>33</v>
      </c>
      <c r="J299" s="15">
        <v>10.504226244065093</v>
      </c>
      <c r="K299" s="7">
        <v>4</v>
      </c>
      <c r="L299" s="7">
        <v>9</v>
      </c>
      <c r="M299" s="7"/>
      <c r="N299" s="12" t="s">
        <v>20</v>
      </c>
      <c r="O299" s="12" t="s">
        <v>16</v>
      </c>
      <c r="P299" s="57" t="str">
        <f t="shared" si="12"/>
        <v>un fuste</v>
      </c>
      <c r="Q299">
        <f t="shared" si="13"/>
        <v>10</v>
      </c>
      <c r="R299">
        <f t="shared" si="14"/>
        <v>10</v>
      </c>
      <c r="S299">
        <v>16</v>
      </c>
      <c r="T299" t="s">
        <v>275</v>
      </c>
      <c r="U299">
        <v>4.6652972676895367E-2</v>
      </c>
    </row>
    <row r="300" spans="1:21" x14ac:dyDescent="0.25">
      <c r="A300" s="7">
        <v>9</v>
      </c>
      <c r="B300" s="7">
        <v>100</v>
      </c>
      <c r="C300" s="7">
        <v>3</v>
      </c>
      <c r="D300" s="8">
        <v>33</v>
      </c>
      <c r="E300" s="7">
        <v>33</v>
      </c>
      <c r="F300" s="17" t="s">
        <v>26</v>
      </c>
      <c r="G300" s="10" t="s">
        <v>27</v>
      </c>
      <c r="H300" s="11" t="s">
        <v>28</v>
      </c>
      <c r="I300" s="7">
        <v>25.5</v>
      </c>
      <c r="J300" s="15">
        <v>8.1169020976866619</v>
      </c>
      <c r="K300" s="7">
        <v>7</v>
      </c>
      <c r="L300" s="7">
        <v>10</v>
      </c>
      <c r="M300" s="7"/>
      <c r="N300" s="12" t="s">
        <v>20</v>
      </c>
      <c r="O300" s="12" t="s">
        <v>16</v>
      </c>
      <c r="P300" s="57" t="str">
        <f t="shared" si="12"/>
        <v>un fuste</v>
      </c>
      <c r="Q300">
        <f t="shared" si="13"/>
        <v>10</v>
      </c>
      <c r="R300">
        <f t="shared" si="14"/>
        <v>10</v>
      </c>
    </row>
    <row r="301" spans="1:21" x14ac:dyDescent="0.25">
      <c r="A301" s="7">
        <v>7</v>
      </c>
      <c r="B301" s="7">
        <v>500</v>
      </c>
      <c r="C301" s="8">
        <v>3</v>
      </c>
      <c r="D301" s="7">
        <v>31</v>
      </c>
      <c r="E301" s="7">
        <v>34</v>
      </c>
      <c r="F301" s="9" t="s">
        <v>26</v>
      </c>
      <c r="G301" s="13" t="s">
        <v>27</v>
      </c>
      <c r="H301" s="11" t="s">
        <v>28</v>
      </c>
      <c r="I301" s="7">
        <v>38.5</v>
      </c>
      <c r="J301" s="15">
        <v>12.254930618075941</v>
      </c>
      <c r="K301" s="7">
        <v>5</v>
      </c>
      <c r="L301" s="7">
        <v>13</v>
      </c>
      <c r="M301" s="7"/>
      <c r="N301" s="12" t="s">
        <v>20</v>
      </c>
      <c r="O301" s="12" t="s">
        <v>16</v>
      </c>
      <c r="P301" s="57" t="str">
        <f t="shared" si="12"/>
        <v>un fuste</v>
      </c>
      <c r="Q301">
        <f t="shared" si="13"/>
        <v>12.5</v>
      </c>
      <c r="R301">
        <f t="shared" si="14"/>
        <v>10</v>
      </c>
      <c r="S301">
        <v>16</v>
      </c>
      <c r="T301" t="s">
        <v>275</v>
      </c>
      <c r="U301">
        <v>9.0248050629486057E-2</v>
      </c>
    </row>
    <row r="302" spans="1:21" x14ac:dyDescent="0.25">
      <c r="A302" s="7">
        <v>11</v>
      </c>
      <c r="B302" s="7">
        <v>100</v>
      </c>
      <c r="C302" s="8">
        <v>3</v>
      </c>
      <c r="D302" s="8">
        <v>34</v>
      </c>
      <c r="E302" s="8">
        <v>34</v>
      </c>
      <c r="F302" s="9" t="s">
        <v>26</v>
      </c>
      <c r="G302" s="10" t="s">
        <v>27</v>
      </c>
      <c r="H302" s="11" t="s">
        <v>28</v>
      </c>
      <c r="I302" s="7">
        <v>31</v>
      </c>
      <c r="J302" s="15">
        <v>9.8676064716975116</v>
      </c>
      <c r="K302" s="7">
        <v>6</v>
      </c>
      <c r="L302" s="7">
        <v>11</v>
      </c>
      <c r="M302" s="7"/>
      <c r="N302" s="12" t="s">
        <v>20</v>
      </c>
      <c r="O302" s="12" t="s">
        <v>16</v>
      </c>
      <c r="P302" s="57" t="str">
        <f t="shared" si="12"/>
        <v>un fuste</v>
      </c>
      <c r="Q302">
        <f t="shared" si="13"/>
        <v>10</v>
      </c>
      <c r="R302">
        <f t="shared" si="14"/>
        <v>10</v>
      </c>
    </row>
    <row r="303" spans="1:21" x14ac:dyDescent="0.25">
      <c r="A303" s="7">
        <v>8</v>
      </c>
      <c r="B303" s="7">
        <v>500</v>
      </c>
      <c r="C303" s="7">
        <v>3</v>
      </c>
      <c r="D303" s="8">
        <v>30</v>
      </c>
      <c r="E303" s="7">
        <v>35</v>
      </c>
      <c r="F303" s="9" t="s">
        <v>26</v>
      </c>
      <c r="G303" s="10" t="s">
        <v>27</v>
      </c>
      <c r="H303" s="11" t="s">
        <v>28</v>
      </c>
      <c r="I303" s="7">
        <v>42</v>
      </c>
      <c r="J303" s="15">
        <v>13.369015219719209</v>
      </c>
      <c r="K303" s="7">
        <v>9</v>
      </c>
      <c r="L303" s="7">
        <v>13</v>
      </c>
      <c r="M303" s="7"/>
      <c r="N303" s="12" t="s">
        <v>20</v>
      </c>
      <c r="O303" s="12" t="s">
        <v>16</v>
      </c>
      <c r="P303" s="57" t="str">
        <f t="shared" si="12"/>
        <v>un fuste</v>
      </c>
      <c r="Q303">
        <f t="shared" si="13"/>
        <v>12.5</v>
      </c>
      <c r="R303">
        <f t="shared" si="14"/>
        <v>15</v>
      </c>
      <c r="S303">
        <v>16</v>
      </c>
      <c r="T303" t="s">
        <v>275</v>
      </c>
      <c r="U303">
        <v>0.10588629712540945</v>
      </c>
    </row>
    <row r="304" spans="1:21" x14ac:dyDescent="0.25">
      <c r="A304" s="7">
        <v>9</v>
      </c>
      <c r="B304" s="7">
        <v>100</v>
      </c>
      <c r="C304" s="8">
        <v>3</v>
      </c>
      <c r="D304" s="8">
        <v>35</v>
      </c>
      <c r="E304" s="8">
        <v>35</v>
      </c>
      <c r="F304" s="9" t="s">
        <v>26</v>
      </c>
      <c r="G304" s="10" t="s">
        <v>27</v>
      </c>
      <c r="H304" s="11" t="s">
        <v>28</v>
      </c>
      <c r="I304" s="7">
        <v>21.5</v>
      </c>
      <c r="J304" s="15">
        <v>6.8436625529514998</v>
      </c>
      <c r="K304" s="7">
        <v>5</v>
      </c>
      <c r="L304" s="8">
        <v>7</v>
      </c>
      <c r="M304" s="7"/>
      <c r="N304" s="12" t="s">
        <v>20</v>
      </c>
      <c r="O304" s="12" t="s">
        <v>16</v>
      </c>
      <c r="P304" s="57" t="str">
        <f t="shared" si="12"/>
        <v>un fuste</v>
      </c>
      <c r="Q304">
        <f t="shared" si="13"/>
        <v>7.5</v>
      </c>
      <c r="R304">
        <f t="shared" si="14"/>
        <v>5</v>
      </c>
    </row>
    <row r="305" spans="1:21" x14ac:dyDescent="0.25">
      <c r="A305" s="7">
        <v>4</v>
      </c>
      <c r="B305" s="7">
        <v>500</v>
      </c>
      <c r="C305" s="8">
        <v>3</v>
      </c>
      <c r="D305" s="8">
        <v>37</v>
      </c>
      <c r="E305" s="8">
        <v>38</v>
      </c>
      <c r="F305" s="9" t="s">
        <v>26</v>
      </c>
      <c r="G305" s="10" t="s">
        <v>27</v>
      </c>
      <c r="H305" s="11" t="s">
        <v>28</v>
      </c>
      <c r="I305" s="8">
        <v>32</v>
      </c>
      <c r="J305" s="15">
        <v>10.185916357881302</v>
      </c>
      <c r="K305" s="8">
        <v>4</v>
      </c>
      <c r="L305" s="8">
        <v>10</v>
      </c>
      <c r="M305" s="7"/>
      <c r="N305" s="12" t="s">
        <v>20</v>
      </c>
      <c r="O305" s="12" t="s">
        <v>16</v>
      </c>
      <c r="P305" s="57" t="str">
        <f t="shared" si="12"/>
        <v>un fuste</v>
      </c>
      <c r="Q305">
        <f t="shared" si="13"/>
        <v>10</v>
      </c>
      <c r="R305">
        <f t="shared" si="14"/>
        <v>10</v>
      </c>
      <c r="S305">
        <v>16</v>
      </c>
      <c r="T305" t="s">
        <v>275</v>
      </c>
      <c r="U305">
        <v>4.9114685538601273E-2</v>
      </c>
    </row>
    <row r="306" spans="1:21" x14ac:dyDescent="0.25">
      <c r="A306" s="7">
        <v>9</v>
      </c>
      <c r="B306" s="7">
        <v>100</v>
      </c>
      <c r="C306" s="8">
        <v>3</v>
      </c>
      <c r="D306" s="8">
        <v>39</v>
      </c>
      <c r="E306" s="8">
        <v>39</v>
      </c>
      <c r="F306" s="9" t="s">
        <v>26</v>
      </c>
      <c r="G306" s="13" t="s">
        <v>27</v>
      </c>
      <c r="H306" s="11" t="s">
        <v>28</v>
      </c>
      <c r="I306" s="7">
        <v>19.5</v>
      </c>
      <c r="J306" s="15">
        <v>6.2070427805839179</v>
      </c>
      <c r="K306" s="7">
        <v>6</v>
      </c>
      <c r="L306" s="7">
        <v>9</v>
      </c>
      <c r="M306" s="7"/>
      <c r="N306" s="12" t="s">
        <v>20</v>
      </c>
      <c r="O306" s="12" t="s">
        <v>16</v>
      </c>
      <c r="P306" s="57" t="str">
        <f t="shared" si="12"/>
        <v>un fuste</v>
      </c>
      <c r="Q306">
        <f t="shared" si="13"/>
        <v>10</v>
      </c>
      <c r="R306">
        <f t="shared" si="14"/>
        <v>5</v>
      </c>
    </row>
    <row r="307" spans="1:21" x14ac:dyDescent="0.25">
      <c r="A307" s="7">
        <v>9</v>
      </c>
      <c r="B307" s="7">
        <v>100</v>
      </c>
      <c r="C307" s="8">
        <v>3</v>
      </c>
      <c r="D307" s="8">
        <v>40</v>
      </c>
      <c r="E307" s="8">
        <v>40</v>
      </c>
      <c r="F307" s="9" t="s">
        <v>26</v>
      </c>
      <c r="G307" s="13" t="s">
        <v>27</v>
      </c>
      <c r="H307" s="11" t="s">
        <v>28</v>
      </c>
      <c r="I307" s="7">
        <v>16</v>
      </c>
      <c r="J307" s="15">
        <v>5.0929581789406511</v>
      </c>
      <c r="K307" s="7">
        <v>4</v>
      </c>
      <c r="L307" s="8">
        <v>8</v>
      </c>
      <c r="M307" s="7"/>
      <c r="N307" s="12" t="s">
        <v>20</v>
      </c>
      <c r="O307" s="12" t="s">
        <v>16</v>
      </c>
      <c r="P307" s="57" t="str">
        <f t="shared" si="12"/>
        <v>un fuste</v>
      </c>
      <c r="Q307">
        <f t="shared" si="13"/>
        <v>7.5</v>
      </c>
      <c r="R307">
        <f t="shared" si="14"/>
        <v>5</v>
      </c>
    </row>
    <row r="308" spans="1:21" x14ac:dyDescent="0.25">
      <c r="A308" s="7">
        <v>2</v>
      </c>
      <c r="B308" s="7">
        <v>500</v>
      </c>
      <c r="C308" s="7">
        <v>3</v>
      </c>
      <c r="D308" s="8">
        <v>44</v>
      </c>
      <c r="E308" s="7">
        <v>46</v>
      </c>
      <c r="F308" s="9" t="s">
        <v>26</v>
      </c>
      <c r="G308" s="13" t="s">
        <v>27</v>
      </c>
      <c r="H308" s="11" t="s">
        <v>28</v>
      </c>
      <c r="I308" s="7">
        <v>36</v>
      </c>
      <c r="J308" s="15">
        <v>11.459155902616464</v>
      </c>
      <c r="K308" s="7">
        <v>5.5</v>
      </c>
      <c r="L308" s="7">
        <v>10</v>
      </c>
      <c r="M308" s="7"/>
      <c r="N308" s="12" t="s">
        <v>20</v>
      </c>
      <c r="O308" s="12" t="s">
        <v>16</v>
      </c>
      <c r="P308" s="57" t="str">
        <f t="shared" si="12"/>
        <v>un fuste</v>
      </c>
      <c r="Q308">
        <f t="shared" si="13"/>
        <v>10</v>
      </c>
      <c r="R308">
        <f t="shared" si="14"/>
        <v>10</v>
      </c>
      <c r="S308">
        <v>16</v>
      </c>
      <c r="T308" t="s">
        <v>275</v>
      </c>
      <c r="U308">
        <v>6.0975779374989041E-2</v>
      </c>
    </row>
    <row r="309" spans="1:21" x14ac:dyDescent="0.25">
      <c r="A309" s="7">
        <v>9</v>
      </c>
      <c r="B309" s="7">
        <v>100</v>
      </c>
      <c r="C309" s="7">
        <v>4</v>
      </c>
      <c r="D309" s="8">
        <v>48</v>
      </c>
      <c r="E309" s="8">
        <v>48</v>
      </c>
      <c r="F309" s="9" t="s">
        <v>26</v>
      </c>
      <c r="G309" s="10" t="s">
        <v>27</v>
      </c>
      <c r="H309" s="11" t="s">
        <v>28</v>
      </c>
      <c r="I309" s="7">
        <v>24.5</v>
      </c>
      <c r="J309" s="15">
        <v>7.7985922115028714</v>
      </c>
      <c r="K309" s="7">
        <v>7</v>
      </c>
      <c r="L309" s="7">
        <v>9</v>
      </c>
      <c r="M309" s="7"/>
      <c r="N309" s="12" t="s">
        <v>20</v>
      </c>
      <c r="O309" s="12" t="s">
        <v>16</v>
      </c>
      <c r="P309" s="57" t="str">
        <f t="shared" si="12"/>
        <v>un fuste</v>
      </c>
      <c r="Q309">
        <f t="shared" si="13"/>
        <v>10</v>
      </c>
      <c r="R309">
        <f t="shared" si="14"/>
        <v>10</v>
      </c>
    </row>
    <row r="310" spans="1:21" x14ac:dyDescent="0.25">
      <c r="A310" s="7">
        <v>9</v>
      </c>
      <c r="B310" s="7">
        <v>100</v>
      </c>
      <c r="C310" s="8">
        <v>4</v>
      </c>
      <c r="D310" s="8">
        <v>49</v>
      </c>
      <c r="E310" s="8">
        <v>49</v>
      </c>
      <c r="F310" s="9" t="s">
        <v>26</v>
      </c>
      <c r="G310" s="13" t="s">
        <v>27</v>
      </c>
      <c r="H310" s="14" t="s">
        <v>28</v>
      </c>
      <c r="I310" s="7">
        <v>21.5</v>
      </c>
      <c r="J310" s="15">
        <v>6.8436625529514998</v>
      </c>
      <c r="K310" s="7">
        <v>6</v>
      </c>
      <c r="L310" s="7">
        <v>8</v>
      </c>
      <c r="M310" s="7"/>
      <c r="N310" s="12" t="s">
        <v>20</v>
      </c>
      <c r="O310" s="12" t="s">
        <v>16</v>
      </c>
      <c r="P310" s="57" t="str">
        <f t="shared" si="12"/>
        <v>un fuste</v>
      </c>
      <c r="Q310">
        <f t="shared" si="13"/>
        <v>7.5</v>
      </c>
      <c r="R310">
        <f t="shared" si="14"/>
        <v>5</v>
      </c>
    </row>
    <row r="311" spans="1:21" x14ac:dyDescent="0.25">
      <c r="A311" s="7">
        <v>8</v>
      </c>
      <c r="B311" s="7">
        <v>500</v>
      </c>
      <c r="C311" s="8">
        <v>4</v>
      </c>
      <c r="D311" s="8">
        <v>47</v>
      </c>
      <c r="E311" s="8">
        <v>52</v>
      </c>
      <c r="F311" s="9" t="s">
        <v>26</v>
      </c>
      <c r="G311" s="13" t="s">
        <v>27</v>
      </c>
      <c r="H311" s="14" t="s">
        <v>28</v>
      </c>
      <c r="I311" s="7">
        <v>31.5</v>
      </c>
      <c r="J311" s="15">
        <v>10.026761414789407</v>
      </c>
      <c r="K311" s="7">
        <v>6</v>
      </c>
      <c r="L311" s="7">
        <v>10</v>
      </c>
      <c r="M311" s="7"/>
      <c r="N311" s="12" t="s">
        <v>20</v>
      </c>
      <c r="O311" s="12" t="s">
        <v>16</v>
      </c>
      <c r="P311" s="57" t="str">
        <f t="shared" si="12"/>
        <v>un fuste</v>
      </c>
      <c r="Q311">
        <f t="shared" si="13"/>
        <v>10</v>
      </c>
      <c r="R311">
        <f t="shared" si="14"/>
        <v>10</v>
      </c>
      <c r="S311">
        <v>16</v>
      </c>
      <c r="T311" t="s">
        <v>275</v>
      </c>
      <c r="U311">
        <v>4.771447815166701E-2</v>
      </c>
    </row>
    <row r="312" spans="1:21" x14ac:dyDescent="0.25">
      <c r="A312" s="7">
        <v>3</v>
      </c>
      <c r="B312" s="7">
        <v>500</v>
      </c>
      <c r="C312" s="7">
        <v>4</v>
      </c>
      <c r="D312" s="8">
        <v>45</v>
      </c>
      <c r="E312" s="7">
        <v>54</v>
      </c>
      <c r="F312" s="9" t="s">
        <v>26</v>
      </c>
      <c r="G312" s="13" t="s">
        <v>27</v>
      </c>
      <c r="H312" s="14" t="s">
        <v>28</v>
      </c>
      <c r="I312" s="7">
        <v>37.5</v>
      </c>
      <c r="J312" s="15">
        <v>11.93662073189215</v>
      </c>
      <c r="K312" s="7">
        <v>6</v>
      </c>
      <c r="L312" s="7">
        <v>13</v>
      </c>
      <c r="M312" s="7"/>
      <c r="N312" s="12" t="s">
        <v>20</v>
      </c>
      <c r="O312" s="12" t="s">
        <v>16</v>
      </c>
      <c r="P312" s="57" t="str">
        <f t="shared" si="12"/>
        <v>un fuste</v>
      </c>
      <c r="Q312">
        <f t="shared" si="13"/>
        <v>12.5</v>
      </c>
      <c r="R312">
        <f t="shared" si="14"/>
        <v>10</v>
      </c>
      <c r="S312">
        <v>16</v>
      </c>
      <c r="T312" t="s">
        <v>275</v>
      </c>
      <c r="U312">
        <v>8.5989741535008518E-2</v>
      </c>
    </row>
    <row r="313" spans="1:21" x14ac:dyDescent="0.25">
      <c r="A313" s="7">
        <v>8</v>
      </c>
      <c r="B313" s="7">
        <v>500</v>
      </c>
      <c r="C313" s="7">
        <v>4</v>
      </c>
      <c r="D313" s="8">
        <v>51</v>
      </c>
      <c r="E313" s="7">
        <v>56</v>
      </c>
      <c r="F313" s="9" t="s">
        <v>26</v>
      </c>
      <c r="G313" s="13" t="s">
        <v>27</v>
      </c>
      <c r="H313" s="11" t="s">
        <v>28</v>
      </c>
      <c r="I313" s="7">
        <v>35</v>
      </c>
      <c r="J313" s="15">
        <v>11.140846016432674</v>
      </c>
      <c r="K313" s="7">
        <v>6</v>
      </c>
      <c r="L313" s="7">
        <v>9</v>
      </c>
      <c r="M313" s="7"/>
      <c r="N313" s="12" t="s">
        <v>20</v>
      </c>
      <c r="O313" s="12" t="s">
        <v>16</v>
      </c>
      <c r="P313" s="57" t="str">
        <f t="shared" si="12"/>
        <v>un fuste</v>
      </c>
      <c r="Q313">
        <f t="shared" si="13"/>
        <v>10</v>
      </c>
      <c r="R313">
        <f t="shared" si="14"/>
        <v>10</v>
      </c>
      <c r="S313">
        <v>16</v>
      </c>
      <c r="T313" t="s">
        <v>275</v>
      </c>
      <c r="U313">
        <v>5.197704975750627E-2</v>
      </c>
    </row>
    <row r="314" spans="1:21" x14ac:dyDescent="0.25">
      <c r="A314" s="7">
        <v>8</v>
      </c>
      <c r="B314" s="7">
        <v>500</v>
      </c>
      <c r="C314" s="7">
        <v>4</v>
      </c>
      <c r="D314" s="8">
        <v>52</v>
      </c>
      <c r="E314" s="7">
        <v>57</v>
      </c>
      <c r="F314" s="9" t="s">
        <v>26</v>
      </c>
      <c r="G314" s="13" t="s">
        <v>27</v>
      </c>
      <c r="H314" s="11" t="s">
        <v>28</v>
      </c>
      <c r="I314" s="7">
        <v>37.5</v>
      </c>
      <c r="J314" s="15">
        <v>11.93662073189215</v>
      </c>
      <c r="K314" s="7">
        <v>4</v>
      </c>
      <c r="L314" s="7">
        <v>13</v>
      </c>
      <c r="M314" s="7"/>
      <c r="N314" s="12" t="s">
        <v>20</v>
      </c>
      <c r="O314" s="12" t="s">
        <v>16</v>
      </c>
      <c r="P314" s="57" t="str">
        <f t="shared" si="12"/>
        <v>un fuste</v>
      </c>
      <c r="Q314">
        <f t="shared" si="13"/>
        <v>12.5</v>
      </c>
      <c r="R314">
        <f t="shared" si="14"/>
        <v>10</v>
      </c>
      <c r="S314">
        <v>16</v>
      </c>
      <c r="T314" t="s">
        <v>275</v>
      </c>
      <c r="U314">
        <v>8.5989741535008518E-2</v>
      </c>
    </row>
    <row r="315" spans="1:21" x14ac:dyDescent="0.25">
      <c r="A315" s="7">
        <v>3</v>
      </c>
      <c r="B315" s="7">
        <v>500</v>
      </c>
      <c r="C315" s="7">
        <v>4</v>
      </c>
      <c r="D315" s="8">
        <v>51</v>
      </c>
      <c r="E315" s="8">
        <v>60</v>
      </c>
      <c r="F315" s="9" t="s">
        <v>26</v>
      </c>
      <c r="G315" s="13" t="s">
        <v>27</v>
      </c>
      <c r="H315" s="11" t="s">
        <v>28</v>
      </c>
      <c r="I315" s="7">
        <v>49</v>
      </c>
      <c r="J315" s="15">
        <v>15.597184423005743</v>
      </c>
      <c r="K315" s="7">
        <v>5</v>
      </c>
      <c r="L315" s="7">
        <v>13</v>
      </c>
      <c r="M315" s="7"/>
      <c r="N315" s="12" t="s">
        <v>20</v>
      </c>
      <c r="O315" s="12" t="s">
        <v>16</v>
      </c>
      <c r="P315" s="57" t="str">
        <f t="shared" si="12"/>
        <v>un fuste</v>
      </c>
      <c r="Q315">
        <f t="shared" si="13"/>
        <v>12.5</v>
      </c>
      <c r="R315">
        <f t="shared" si="14"/>
        <v>15</v>
      </c>
      <c r="S315">
        <v>16</v>
      </c>
      <c r="T315" t="s">
        <v>275</v>
      </c>
      <c r="U315">
        <v>0.14053784150461127</v>
      </c>
    </row>
    <row r="316" spans="1:21" x14ac:dyDescent="0.25">
      <c r="A316" s="7">
        <v>3</v>
      </c>
      <c r="B316" s="7">
        <v>500</v>
      </c>
      <c r="C316" s="8">
        <v>4</v>
      </c>
      <c r="D316" s="8">
        <v>53</v>
      </c>
      <c r="E316" s="8">
        <v>62</v>
      </c>
      <c r="F316" s="17" t="s">
        <v>26</v>
      </c>
      <c r="G316" s="10" t="s">
        <v>27</v>
      </c>
      <c r="H316" s="11" t="s">
        <v>28</v>
      </c>
      <c r="I316" s="7">
        <v>36.5</v>
      </c>
      <c r="J316" s="15">
        <v>11.618310845708359</v>
      </c>
      <c r="K316" s="7">
        <v>6</v>
      </c>
      <c r="L316" s="8">
        <v>11</v>
      </c>
      <c r="M316" s="7"/>
      <c r="N316" s="12" t="s">
        <v>20</v>
      </c>
      <c r="O316" s="12" t="s">
        <v>16</v>
      </c>
      <c r="P316" s="57" t="str">
        <f t="shared" si="12"/>
        <v>un fuste</v>
      </c>
      <c r="Q316">
        <f t="shared" si="13"/>
        <v>10</v>
      </c>
      <c r="R316">
        <f t="shared" si="14"/>
        <v>10</v>
      </c>
      <c r="S316">
        <v>16</v>
      </c>
      <c r="T316" t="s">
        <v>275</v>
      </c>
      <c r="U316">
        <v>6.8954684113488304E-2</v>
      </c>
    </row>
    <row r="317" spans="1:21" x14ac:dyDescent="0.25">
      <c r="A317" s="7">
        <v>6</v>
      </c>
      <c r="B317" s="7">
        <v>5</v>
      </c>
      <c r="C317" s="7"/>
      <c r="D317" s="8">
        <v>15</v>
      </c>
      <c r="E317" s="8">
        <v>15</v>
      </c>
      <c r="F317" s="9" t="s">
        <v>26</v>
      </c>
      <c r="G317" s="13" t="s">
        <v>27</v>
      </c>
      <c r="H317" s="11" t="s">
        <v>28</v>
      </c>
      <c r="I317" s="7"/>
      <c r="J317" s="7"/>
      <c r="K317" s="7"/>
      <c r="L317" s="7">
        <v>2.5</v>
      </c>
      <c r="M317" s="7" t="e">
        <v>#REF!</v>
      </c>
      <c r="N317" s="12"/>
      <c r="O317" s="12" t="s">
        <v>16</v>
      </c>
      <c r="P317" s="57" t="str">
        <f t="shared" si="12"/>
        <v>un fuste</v>
      </c>
      <c r="Q317">
        <f t="shared" si="13"/>
        <v>2.5</v>
      </c>
      <c r="R317">
        <f t="shared" si="14"/>
        <v>5</v>
      </c>
    </row>
    <row r="318" spans="1:21" x14ac:dyDescent="0.25">
      <c r="A318" s="7">
        <v>6</v>
      </c>
      <c r="B318" s="7">
        <v>5</v>
      </c>
      <c r="C318" s="8"/>
      <c r="D318" s="8">
        <v>16</v>
      </c>
      <c r="E318" s="8">
        <v>16</v>
      </c>
      <c r="F318" s="9" t="s">
        <v>26</v>
      </c>
      <c r="G318" s="10" t="s">
        <v>27</v>
      </c>
      <c r="H318" s="11" t="s">
        <v>28</v>
      </c>
      <c r="I318" s="7"/>
      <c r="J318" s="7"/>
      <c r="K318" s="7"/>
      <c r="L318" s="7">
        <v>7</v>
      </c>
      <c r="M318" s="7" t="e">
        <v>#REF!</v>
      </c>
      <c r="N318" s="12"/>
      <c r="O318" s="12" t="s">
        <v>16</v>
      </c>
      <c r="P318" s="57" t="str">
        <f t="shared" si="12"/>
        <v>un fuste</v>
      </c>
      <c r="Q318">
        <f t="shared" si="13"/>
        <v>7.5</v>
      </c>
      <c r="R318">
        <f t="shared" si="14"/>
        <v>5</v>
      </c>
    </row>
    <row r="319" spans="1:21" x14ac:dyDescent="0.25">
      <c r="A319" s="7">
        <v>6</v>
      </c>
      <c r="B319" s="7">
        <v>5</v>
      </c>
      <c r="C319" s="8"/>
      <c r="D319" s="8">
        <v>17</v>
      </c>
      <c r="E319" s="8">
        <v>17</v>
      </c>
      <c r="F319" s="9" t="s">
        <v>36</v>
      </c>
      <c r="G319" s="13" t="s">
        <v>37</v>
      </c>
      <c r="H319" s="11" t="s">
        <v>38</v>
      </c>
      <c r="I319" s="7"/>
      <c r="J319" s="7"/>
      <c r="K319" s="7"/>
      <c r="L319" s="8">
        <v>3</v>
      </c>
      <c r="M319" s="7" t="e">
        <v>#REF!</v>
      </c>
      <c r="N319" s="12"/>
      <c r="O319" s="12" t="s">
        <v>16</v>
      </c>
      <c r="P319" s="57" t="str">
        <f t="shared" si="12"/>
        <v>un fuste</v>
      </c>
      <c r="Q319">
        <f t="shared" si="13"/>
        <v>2.5</v>
      </c>
      <c r="R319">
        <f t="shared" si="14"/>
        <v>5</v>
      </c>
    </row>
    <row r="320" spans="1:21" x14ac:dyDescent="0.25">
      <c r="A320" s="7">
        <v>6</v>
      </c>
      <c r="B320" s="7">
        <v>5</v>
      </c>
      <c r="C320" s="7"/>
      <c r="D320" s="8">
        <v>18</v>
      </c>
      <c r="E320" s="7">
        <v>18</v>
      </c>
      <c r="F320" s="9" t="s">
        <v>90</v>
      </c>
      <c r="G320" s="10" t="s">
        <v>177</v>
      </c>
      <c r="H320" s="11" t="s">
        <v>178</v>
      </c>
      <c r="I320" s="7"/>
      <c r="J320" s="7"/>
      <c r="K320" s="7"/>
      <c r="L320" s="7">
        <v>0.8</v>
      </c>
      <c r="M320" s="7" t="e">
        <v>#REF!</v>
      </c>
      <c r="N320" s="12"/>
      <c r="O320" s="12" t="s">
        <v>16</v>
      </c>
      <c r="P320" s="57" t="str">
        <f t="shared" si="12"/>
        <v>un fuste</v>
      </c>
      <c r="Q320">
        <f t="shared" si="13"/>
        <v>2.5</v>
      </c>
      <c r="R320">
        <f t="shared" si="14"/>
        <v>5</v>
      </c>
    </row>
    <row r="321" spans="1:18" x14ac:dyDescent="0.25">
      <c r="A321" s="7">
        <v>6</v>
      </c>
      <c r="B321" s="7">
        <v>5</v>
      </c>
      <c r="C321" s="7"/>
      <c r="D321" s="8">
        <v>19</v>
      </c>
      <c r="E321" s="8">
        <v>19</v>
      </c>
      <c r="F321" s="9" t="s">
        <v>90</v>
      </c>
      <c r="G321" s="10" t="s">
        <v>177</v>
      </c>
      <c r="H321" s="11" t="s">
        <v>178</v>
      </c>
      <c r="I321" s="7"/>
      <c r="J321" s="7"/>
      <c r="K321" s="7"/>
      <c r="L321" s="7">
        <v>0.7</v>
      </c>
      <c r="M321" s="7" t="e">
        <v>#REF!</v>
      </c>
      <c r="N321" s="12"/>
      <c r="O321" s="12" t="s">
        <v>16</v>
      </c>
      <c r="P321" s="57" t="str">
        <f t="shared" si="12"/>
        <v>un fuste</v>
      </c>
      <c r="Q321">
        <f t="shared" si="13"/>
        <v>2.5</v>
      </c>
      <c r="R321">
        <f t="shared" si="14"/>
        <v>5</v>
      </c>
    </row>
    <row r="322" spans="1:18" x14ac:dyDescent="0.25">
      <c r="A322" s="7">
        <v>6</v>
      </c>
      <c r="B322" s="7">
        <v>5</v>
      </c>
      <c r="C322" s="8"/>
      <c r="D322" s="8">
        <v>20</v>
      </c>
      <c r="E322" s="8">
        <v>20</v>
      </c>
      <c r="F322" s="9" t="s">
        <v>90</v>
      </c>
      <c r="G322" s="10" t="s">
        <v>177</v>
      </c>
      <c r="H322" s="11" t="s">
        <v>178</v>
      </c>
      <c r="I322" s="7"/>
      <c r="J322" s="7"/>
      <c r="K322" s="7"/>
      <c r="L322" s="8">
        <v>0.5</v>
      </c>
      <c r="M322" s="7" t="e">
        <v>#REF!</v>
      </c>
      <c r="N322" s="12"/>
      <c r="O322" s="12" t="s">
        <v>16</v>
      </c>
      <c r="P322" s="57" t="str">
        <f t="shared" si="12"/>
        <v>un fuste</v>
      </c>
      <c r="Q322">
        <f t="shared" si="13"/>
        <v>2.5</v>
      </c>
      <c r="R322">
        <f t="shared" si="14"/>
        <v>5</v>
      </c>
    </row>
    <row r="323" spans="1:18" x14ac:dyDescent="0.25">
      <c r="A323" s="7">
        <v>6</v>
      </c>
      <c r="B323" s="7">
        <v>5</v>
      </c>
      <c r="C323" s="8"/>
      <c r="D323" s="8">
        <v>21</v>
      </c>
      <c r="E323" s="8">
        <v>21</v>
      </c>
      <c r="F323" s="9" t="s">
        <v>90</v>
      </c>
      <c r="G323" s="10" t="s">
        <v>177</v>
      </c>
      <c r="H323" s="11" t="s">
        <v>178</v>
      </c>
      <c r="I323" s="7"/>
      <c r="J323" s="7"/>
      <c r="K323" s="7"/>
      <c r="L323" s="7">
        <v>0.4</v>
      </c>
      <c r="M323" s="7" t="e">
        <v>#REF!</v>
      </c>
      <c r="N323" s="12"/>
      <c r="O323" s="12" t="s">
        <v>16</v>
      </c>
      <c r="P323" s="57" t="str">
        <f t="shared" ref="P323:P386" si="15">IF((D323/D323)=1,"un fuste","bifurcado")</f>
        <v>un fuste</v>
      </c>
      <c r="Q323">
        <f t="shared" ref="Q323:Q386" si="16">IF(L323&lt;3.75,2.5,IF(L323&lt;6.25,5,IF(L323&lt;8.74,7.5,IF(L323&lt;11.24,10,IF(L323&lt;13.75,12.5,IF(L323&lt;16.25,15,IF(L323&lt;18.75,17.5,IF(L323&lt;21.25,20,IF(L323&lt;23.75,22.5,IF(L323&lt;26.25,25,IF(L323&lt;28.75,27.5,IF(L323&lt;31.25,30,IF(L323&lt;33.75,32.5,IF(L323&lt;36.25,35,IF(L323&lt;38.75,37.5,IF(L323&lt;41.24,40,IF(L323&lt;43.75,42.5,IF(L323&lt;46.25,45," "))))))))))))))))))</f>
        <v>2.5</v>
      </c>
      <c r="R323">
        <f t="shared" ref="R323:R386" si="17">IF(J323&lt;7.5,5,IF(J323&lt;12.5,10,IF(J323&lt;17.5,15,IF(J323&lt;22.5,20,IF(J323&lt;27.5,25,IF(J323&lt;32.5,30,IF(J323&lt;37.5,35,IF(J323&lt;42.5,40,IF(J323&lt;47.5,45,IF(J323&lt;52.5,50,IF(J323&lt;57.5,55,0)))))))))))</f>
        <v>5</v>
      </c>
    </row>
    <row r="324" spans="1:18" x14ac:dyDescent="0.25">
      <c r="A324" s="7">
        <v>6</v>
      </c>
      <c r="B324" s="7">
        <v>5</v>
      </c>
      <c r="C324" s="8"/>
      <c r="D324" s="8">
        <v>22</v>
      </c>
      <c r="E324" s="8">
        <v>22</v>
      </c>
      <c r="F324" s="9" t="s">
        <v>90</v>
      </c>
      <c r="G324" s="10" t="s">
        <v>177</v>
      </c>
      <c r="H324" s="11" t="s">
        <v>178</v>
      </c>
      <c r="I324" s="7"/>
      <c r="J324" s="7"/>
      <c r="K324" s="7"/>
      <c r="L324" s="7">
        <v>0.3</v>
      </c>
      <c r="M324" s="7" t="e">
        <v>#REF!</v>
      </c>
      <c r="N324" s="12"/>
      <c r="O324" s="12" t="s">
        <v>16</v>
      </c>
      <c r="P324" s="57" t="str">
        <f t="shared" si="15"/>
        <v>un fuste</v>
      </c>
      <c r="Q324">
        <f t="shared" si="16"/>
        <v>2.5</v>
      </c>
      <c r="R324">
        <f t="shared" si="17"/>
        <v>5</v>
      </c>
    </row>
    <row r="325" spans="1:18" x14ac:dyDescent="0.25">
      <c r="A325" s="7">
        <v>2</v>
      </c>
      <c r="B325" s="7">
        <v>100</v>
      </c>
      <c r="C325" s="8">
        <v>4</v>
      </c>
      <c r="D325" s="8">
        <v>13</v>
      </c>
      <c r="E325" s="8">
        <v>13</v>
      </c>
      <c r="F325" s="9" t="s">
        <v>17</v>
      </c>
      <c r="G325" s="13" t="s">
        <v>54</v>
      </c>
      <c r="H325" s="14" t="s">
        <v>55</v>
      </c>
      <c r="I325" s="7">
        <v>16.5</v>
      </c>
      <c r="J325" s="15">
        <v>5.2521131220325463</v>
      </c>
      <c r="K325" s="7">
        <v>1.8</v>
      </c>
      <c r="L325" s="7">
        <v>7</v>
      </c>
      <c r="M325" s="7"/>
      <c r="N325" s="12" t="s">
        <v>20</v>
      </c>
      <c r="O325" s="12" t="s">
        <v>16</v>
      </c>
      <c r="P325" s="57" t="str">
        <f t="shared" si="15"/>
        <v>un fuste</v>
      </c>
      <c r="Q325">
        <f t="shared" si="16"/>
        <v>7.5</v>
      </c>
      <c r="R325">
        <f t="shared" si="17"/>
        <v>5</v>
      </c>
    </row>
    <row r="326" spans="1:18" x14ac:dyDescent="0.25">
      <c r="A326" s="7">
        <v>6</v>
      </c>
      <c r="B326" s="7">
        <v>5</v>
      </c>
      <c r="C326" s="8"/>
      <c r="D326" s="7">
        <v>23</v>
      </c>
      <c r="E326" s="7">
        <v>23</v>
      </c>
      <c r="F326" s="9" t="s">
        <v>17</v>
      </c>
      <c r="G326" s="10" t="s">
        <v>65</v>
      </c>
      <c r="H326" s="11" t="s">
        <v>66</v>
      </c>
      <c r="I326" s="7"/>
      <c r="J326" s="7"/>
      <c r="K326" s="7"/>
      <c r="L326" s="7">
        <v>0.2</v>
      </c>
      <c r="M326" s="7" t="e">
        <v>#REF!</v>
      </c>
      <c r="N326" s="12"/>
      <c r="O326" s="12" t="s">
        <v>16</v>
      </c>
      <c r="P326" s="57" t="str">
        <f t="shared" si="15"/>
        <v>un fuste</v>
      </c>
      <c r="Q326">
        <f t="shared" si="16"/>
        <v>2.5</v>
      </c>
      <c r="R326">
        <f t="shared" si="17"/>
        <v>5</v>
      </c>
    </row>
    <row r="327" spans="1:18" x14ac:dyDescent="0.25">
      <c r="A327" s="7">
        <v>6</v>
      </c>
      <c r="B327" s="7">
        <v>5</v>
      </c>
      <c r="C327" s="8"/>
      <c r="D327" s="8">
        <v>24</v>
      </c>
      <c r="E327" s="8">
        <v>24</v>
      </c>
      <c r="F327" s="9" t="s">
        <v>158</v>
      </c>
      <c r="G327" s="21" t="s">
        <v>159</v>
      </c>
      <c r="H327" s="14" t="s">
        <v>160</v>
      </c>
      <c r="I327" s="7"/>
      <c r="J327" s="7"/>
      <c r="K327" s="7"/>
      <c r="L327" s="8">
        <v>0.4</v>
      </c>
      <c r="M327" s="7" t="e">
        <v>#REF!</v>
      </c>
      <c r="N327" s="12"/>
      <c r="O327" s="12" t="s">
        <v>16</v>
      </c>
      <c r="P327" s="57" t="str">
        <f t="shared" si="15"/>
        <v>un fuste</v>
      </c>
      <c r="Q327">
        <f t="shared" si="16"/>
        <v>2.5</v>
      </c>
      <c r="R327">
        <f t="shared" si="17"/>
        <v>5</v>
      </c>
    </row>
    <row r="328" spans="1:18" x14ac:dyDescent="0.25">
      <c r="A328" s="7">
        <v>6</v>
      </c>
      <c r="B328" s="7">
        <v>5</v>
      </c>
      <c r="C328" s="8"/>
      <c r="D328" s="8">
        <v>25</v>
      </c>
      <c r="E328" s="8">
        <v>25</v>
      </c>
      <c r="F328" s="9" t="s">
        <v>158</v>
      </c>
      <c r="G328" s="10" t="s">
        <v>159</v>
      </c>
      <c r="H328" s="11" t="s">
        <v>160</v>
      </c>
      <c r="I328" s="7"/>
      <c r="J328" s="7"/>
      <c r="K328" s="7"/>
      <c r="L328" s="7">
        <v>0.4</v>
      </c>
      <c r="M328" s="7" t="e">
        <v>#REF!</v>
      </c>
      <c r="N328" s="12"/>
      <c r="O328" s="12" t="s">
        <v>16</v>
      </c>
      <c r="P328" s="57" t="str">
        <f t="shared" si="15"/>
        <v>un fuste</v>
      </c>
      <c r="Q328">
        <f t="shared" si="16"/>
        <v>2.5</v>
      </c>
      <c r="R328">
        <f t="shared" si="17"/>
        <v>5</v>
      </c>
    </row>
    <row r="329" spans="1:18" x14ac:dyDescent="0.25">
      <c r="A329" s="7">
        <v>6</v>
      </c>
      <c r="B329" s="7">
        <v>5</v>
      </c>
      <c r="C329" s="7"/>
      <c r="D329" s="7">
        <v>26</v>
      </c>
      <c r="E329" s="7">
        <v>26</v>
      </c>
      <c r="F329" s="9" t="s">
        <v>158</v>
      </c>
      <c r="G329" s="10" t="s">
        <v>159</v>
      </c>
      <c r="H329" s="11" t="s">
        <v>160</v>
      </c>
      <c r="I329" s="7"/>
      <c r="J329" s="7"/>
      <c r="K329" s="7"/>
      <c r="L329" s="7">
        <v>0.4</v>
      </c>
      <c r="M329" s="7" t="e">
        <v>#REF!</v>
      </c>
      <c r="N329" s="12"/>
      <c r="O329" s="12" t="s">
        <v>16</v>
      </c>
      <c r="P329" s="57" t="str">
        <f t="shared" si="15"/>
        <v>un fuste</v>
      </c>
      <c r="Q329">
        <f t="shared" si="16"/>
        <v>2.5</v>
      </c>
      <c r="R329">
        <f t="shared" si="17"/>
        <v>5</v>
      </c>
    </row>
    <row r="330" spans="1:18" x14ac:dyDescent="0.25">
      <c r="A330" s="7">
        <v>6</v>
      </c>
      <c r="B330" s="7">
        <v>5</v>
      </c>
      <c r="C330" s="8"/>
      <c r="D330" s="8">
        <v>27</v>
      </c>
      <c r="E330" s="8">
        <v>27</v>
      </c>
      <c r="F330" s="9" t="s">
        <v>158</v>
      </c>
      <c r="G330" s="13" t="s">
        <v>159</v>
      </c>
      <c r="H330" s="11" t="s">
        <v>160</v>
      </c>
      <c r="I330" s="7"/>
      <c r="J330" s="7"/>
      <c r="K330" s="7"/>
      <c r="L330" s="7">
        <v>0.4</v>
      </c>
      <c r="M330" s="7" t="e">
        <v>#REF!</v>
      </c>
      <c r="N330" s="12"/>
      <c r="O330" s="12" t="s">
        <v>16</v>
      </c>
      <c r="P330" s="57" t="str">
        <f t="shared" si="15"/>
        <v>un fuste</v>
      </c>
      <c r="Q330">
        <f t="shared" si="16"/>
        <v>2.5</v>
      </c>
      <c r="R330">
        <f t="shared" si="17"/>
        <v>5</v>
      </c>
    </row>
    <row r="331" spans="1:18" x14ac:dyDescent="0.25">
      <c r="A331" s="7">
        <v>6</v>
      </c>
      <c r="B331" s="7">
        <v>5</v>
      </c>
      <c r="C331" s="7"/>
      <c r="D331" s="8">
        <v>28</v>
      </c>
      <c r="E331" s="7">
        <v>28</v>
      </c>
      <c r="F331" s="9" t="s">
        <v>158</v>
      </c>
      <c r="G331" s="10" t="s">
        <v>159</v>
      </c>
      <c r="H331" s="11" t="s">
        <v>160</v>
      </c>
      <c r="I331" s="7"/>
      <c r="J331" s="7"/>
      <c r="K331" s="7"/>
      <c r="L331" s="7">
        <v>0.4</v>
      </c>
      <c r="M331" s="7" t="e">
        <v>#REF!</v>
      </c>
      <c r="N331" s="12"/>
      <c r="O331" s="12" t="s">
        <v>16</v>
      </c>
      <c r="P331" s="57" t="str">
        <f t="shared" si="15"/>
        <v>un fuste</v>
      </c>
      <c r="Q331">
        <f t="shared" si="16"/>
        <v>2.5</v>
      </c>
      <c r="R331">
        <f t="shared" si="17"/>
        <v>5</v>
      </c>
    </row>
    <row r="332" spans="1:18" x14ac:dyDescent="0.25">
      <c r="A332" s="7">
        <v>6</v>
      </c>
      <c r="B332" s="7">
        <v>5</v>
      </c>
      <c r="C332" s="8"/>
      <c r="D332" s="8">
        <v>29</v>
      </c>
      <c r="E332" s="8">
        <v>29</v>
      </c>
      <c r="F332" s="9" t="s">
        <v>158</v>
      </c>
      <c r="G332" s="13" t="s">
        <v>159</v>
      </c>
      <c r="H332" s="14" t="s">
        <v>160</v>
      </c>
      <c r="I332" s="8"/>
      <c r="J332" s="7"/>
      <c r="K332" s="8"/>
      <c r="L332" s="8">
        <v>0.4</v>
      </c>
      <c r="M332" s="7" t="e">
        <v>#REF!</v>
      </c>
      <c r="N332" s="12"/>
      <c r="O332" s="12" t="s">
        <v>16</v>
      </c>
      <c r="P332" s="57" t="str">
        <f t="shared" si="15"/>
        <v>un fuste</v>
      </c>
      <c r="Q332">
        <f t="shared" si="16"/>
        <v>2.5</v>
      </c>
      <c r="R332">
        <f t="shared" si="17"/>
        <v>5</v>
      </c>
    </row>
    <row r="333" spans="1:18" x14ac:dyDescent="0.25">
      <c r="A333" s="7">
        <v>6</v>
      </c>
      <c r="B333" s="7">
        <v>5</v>
      </c>
      <c r="C333" s="8"/>
      <c r="D333" s="8">
        <v>30</v>
      </c>
      <c r="E333" s="8">
        <v>30</v>
      </c>
      <c r="F333" s="9" t="s">
        <v>158</v>
      </c>
      <c r="G333" s="22" t="s">
        <v>159</v>
      </c>
      <c r="H333" s="23" t="s">
        <v>160</v>
      </c>
      <c r="I333" s="8"/>
      <c r="J333" s="7"/>
      <c r="K333" s="8"/>
      <c r="L333" s="8">
        <v>0.4</v>
      </c>
      <c r="M333" s="7" t="e">
        <v>#REF!</v>
      </c>
      <c r="N333" s="12"/>
      <c r="O333" s="12" t="s">
        <v>16</v>
      </c>
      <c r="P333" s="57" t="str">
        <f t="shared" si="15"/>
        <v>un fuste</v>
      </c>
      <c r="Q333">
        <f t="shared" si="16"/>
        <v>2.5</v>
      </c>
      <c r="R333">
        <f t="shared" si="17"/>
        <v>5</v>
      </c>
    </row>
    <row r="334" spans="1:18" x14ac:dyDescent="0.25">
      <c r="A334" s="7">
        <v>6</v>
      </c>
      <c r="B334" s="7">
        <v>5</v>
      </c>
      <c r="C334" s="8"/>
      <c r="D334" s="8">
        <v>31</v>
      </c>
      <c r="E334" s="8">
        <v>31</v>
      </c>
      <c r="F334" s="9" t="s">
        <v>158</v>
      </c>
      <c r="G334" s="13" t="s">
        <v>159</v>
      </c>
      <c r="H334" s="11" t="s">
        <v>160</v>
      </c>
      <c r="I334" s="8"/>
      <c r="J334" s="7"/>
      <c r="K334" s="8"/>
      <c r="L334" s="8">
        <v>0.4</v>
      </c>
      <c r="M334" s="7" t="e">
        <v>#REF!</v>
      </c>
      <c r="N334" s="12"/>
      <c r="O334" s="12" t="s">
        <v>16</v>
      </c>
      <c r="P334" s="57" t="str">
        <f t="shared" si="15"/>
        <v>un fuste</v>
      </c>
      <c r="Q334">
        <f t="shared" si="16"/>
        <v>2.5</v>
      </c>
      <c r="R334">
        <f t="shared" si="17"/>
        <v>5</v>
      </c>
    </row>
    <row r="335" spans="1:18" x14ac:dyDescent="0.25">
      <c r="A335" s="7">
        <v>6</v>
      </c>
      <c r="B335" s="7">
        <v>5</v>
      </c>
      <c r="C335" s="7"/>
      <c r="D335" s="8">
        <v>32</v>
      </c>
      <c r="E335" s="7">
        <v>32</v>
      </c>
      <c r="F335" s="9" t="s">
        <v>158</v>
      </c>
      <c r="G335" s="10" t="s">
        <v>159</v>
      </c>
      <c r="H335" s="11" t="s">
        <v>160</v>
      </c>
      <c r="I335" s="7"/>
      <c r="J335" s="7"/>
      <c r="K335" s="7"/>
      <c r="L335" s="7">
        <v>0.4</v>
      </c>
      <c r="M335" s="7" t="e">
        <v>#REF!</v>
      </c>
      <c r="N335" s="12"/>
      <c r="O335" s="12" t="s">
        <v>16</v>
      </c>
      <c r="P335" s="57" t="str">
        <f t="shared" si="15"/>
        <v>un fuste</v>
      </c>
      <c r="Q335">
        <f t="shared" si="16"/>
        <v>2.5</v>
      </c>
      <c r="R335">
        <f t="shared" si="17"/>
        <v>5</v>
      </c>
    </row>
    <row r="336" spans="1:18" x14ac:dyDescent="0.25">
      <c r="A336" s="7">
        <v>6</v>
      </c>
      <c r="B336" s="7">
        <v>5</v>
      </c>
      <c r="C336" s="7"/>
      <c r="D336" s="8">
        <v>33</v>
      </c>
      <c r="E336" s="7">
        <v>33</v>
      </c>
      <c r="F336" s="9" t="s">
        <v>158</v>
      </c>
      <c r="G336" s="13" t="s">
        <v>159</v>
      </c>
      <c r="H336" s="11" t="s">
        <v>160</v>
      </c>
      <c r="I336" s="7"/>
      <c r="J336" s="7"/>
      <c r="K336" s="7"/>
      <c r="L336" s="7">
        <v>0.4</v>
      </c>
      <c r="M336" s="7" t="e">
        <v>#REF!</v>
      </c>
      <c r="N336" s="12"/>
      <c r="O336" s="12" t="s">
        <v>16</v>
      </c>
      <c r="P336" s="57" t="str">
        <f t="shared" si="15"/>
        <v>un fuste</v>
      </c>
      <c r="Q336">
        <f t="shared" si="16"/>
        <v>2.5</v>
      </c>
      <c r="R336">
        <f t="shared" si="17"/>
        <v>5</v>
      </c>
    </row>
    <row r="337" spans="1:18" x14ac:dyDescent="0.25">
      <c r="A337" s="7">
        <v>6</v>
      </c>
      <c r="B337" s="7">
        <v>5</v>
      </c>
      <c r="C337" s="8"/>
      <c r="D337" s="8">
        <v>34</v>
      </c>
      <c r="E337" s="8">
        <v>34</v>
      </c>
      <c r="F337" s="9" t="s">
        <v>158</v>
      </c>
      <c r="G337" s="13" t="s">
        <v>159</v>
      </c>
      <c r="H337" s="11" t="s">
        <v>160</v>
      </c>
      <c r="I337" s="7"/>
      <c r="J337" s="7"/>
      <c r="K337" s="7"/>
      <c r="L337" s="7">
        <v>0.4</v>
      </c>
      <c r="M337" s="7" t="e">
        <v>#REF!</v>
      </c>
      <c r="N337" s="12"/>
      <c r="O337" s="12" t="s">
        <v>16</v>
      </c>
      <c r="P337" s="57" t="str">
        <f t="shared" si="15"/>
        <v>un fuste</v>
      </c>
      <c r="Q337">
        <f t="shared" si="16"/>
        <v>2.5</v>
      </c>
      <c r="R337">
        <f t="shared" si="17"/>
        <v>5</v>
      </c>
    </row>
    <row r="338" spans="1:18" x14ac:dyDescent="0.25">
      <c r="A338" s="7">
        <v>6</v>
      </c>
      <c r="B338" s="7">
        <v>5</v>
      </c>
      <c r="C338" s="7"/>
      <c r="D338" s="8">
        <v>35</v>
      </c>
      <c r="E338" s="8">
        <v>35</v>
      </c>
      <c r="F338" s="9" t="s">
        <v>158</v>
      </c>
      <c r="G338" s="13" t="s">
        <v>159</v>
      </c>
      <c r="H338" s="11" t="s">
        <v>160</v>
      </c>
      <c r="I338" s="7"/>
      <c r="J338" s="7"/>
      <c r="K338" s="7"/>
      <c r="L338" s="7">
        <v>0.4</v>
      </c>
      <c r="M338" s="7" t="e">
        <v>#REF!</v>
      </c>
      <c r="N338" s="12"/>
      <c r="O338" s="12" t="s">
        <v>16</v>
      </c>
      <c r="P338" s="57" t="str">
        <f t="shared" si="15"/>
        <v>un fuste</v>
      </c>
      <c r="Q338">
        <f t="shared" si="16"/>
        <v>2.5</v>
      </c>
      <c r="R338">
        <f t="shared" si="17"/>
        <v>5</v>
      </c>
    </row>
    <row r="339" spans="1:18" x14ac:dyDescent="0.25">
      <c r="A339" s="7">
        <v>6</v>
      </c>
      <c r="B339" s="7">
        <v>5</v>
      </c>
      <c r="C339" s="8"/>
      <c r="D339" s="8">
        <v>36</v>
      </c>
      <c r="E339" s="8">
        <v>36</v>
      </c>
      <c r="F339" s="9" t="s">
        <v>158</v>
      </c>
      <c r="G339" s="10" t="s">
        <v>159</v>
      </c>
      <c r="H339" s="11" t="s">
        <v>160</v>
      </c>
      <c r="I339" s="8"/>
      <c r="J339" s="7"/>
      <c r="K339" s="8"/>
      <c r="L339" s="8">
        <v>0.4</v>
      </c>
      <c r="M339" s="7" t="e">
        <v>#REF!</v>
      </c>
      <c r="N339" s="12"/>
      <c r="O339" s="12" t="s">
        <v>16</v>
      </c>
      <c r="P339" s="57" t="str">
        <f t="shared" si="15"/>
        <v>un fuste</v>
      </c>
      <c r="Q339">
        <f t="shared" si="16"/>
        <v>2.5</v>
      </c>
      <c r="R339">
        <f t="shared" si="17"/>
        <v>5</v>
      </c>
    </row>
    <row r="340" spans="1:18" x14ac:dyDescent="0.25">
      <c r="A340" s="7">
        <v>3</v>
      </c>
      <c r="B340" s="7">
        <v>100</v>
      </c>
      <c r="C340" s="7">
        <v>1</v>
      </c>
      <c r="D340" s="8">
        <v>2</v>
      </c>
      <c r="E340" s="7">
        <v>2</v>
      </c>
      <c r="F340" s="9" t="s">
        <v>108</v>
      </c>
      <c r="G340" s="21" t="s">
        <v>122</v>
      </c>
      <c r="H340" s="14" t="s">
        <v>123</v>
      </c>
      <c r="I340" s="7">
        <v>21</v>
      </c>
      <c r="J340" s="15">
        <v>6.6845076098596046</v>
      </c>
      <c r="K340" s="7">
        <v>2.5</v>
      </c>
      <c r="L340" s="7">
        <v>9</v>
      </c>
      <c r="M340" s="7"/>
      <c r="N340" s="12" t="s">
        <v>20</v>
      </c>
      <c r="O340" s="12" t="s">
        <v>16</v>
      </c>
      <c r="P340" s="57" t="str">
        <f t="shared" si="15"/>
        <v>un fuste</v>
      </c>
      <c r="Q340">
        <f t="shared" si="16"/>
        <v>10</v>
      </c>
      <c r="R340">
        <f t="shared" si="17"/>
        <v>5</v>
      </c>
    </row>
    <row r="341" spans="1:18" x14ac:dyDescent="0.25">
      <c r="A341" s="7">
        <v>8</v>
      </c>
      <c r="B341" s="7">
        <v>100</v>
      </c>
      <c r="C341" s="8">
        <v>1</v>
      </c>
      <c r="D341" s="8">
        <v>9</v>
      </c>
      <c r="E341" s="8">
        <v>9</v>
      </c>
      <c r="F341" s="9" t="s">
        <v>108</v>
      </c>
      <c r="G341" s="13" t="s">
        <v>122</v>
      </c>
      <c r="H341" s="11" t="s">
        <v>123</v>
      </c>
      <c r="I341" s="7">
        <v>16</v>
      </c>
      <c r="J341" s="15">
        <v>5.0929581789406511</v>
      </c>
      <c r="K341" s="7">
        <v>2.5</v>
      </c>
      <c r="L341" s="7">
        <v>6</v>
      </c>
      <c r="M341" s="7"/>
      <c r="N341" s="12" t="s">
        <v>20</v>
      </c>
      <c r="O341" s="12" t="s">
        <v>16</v>
      </c>
      <c r="P341" s="57" t="str">
        <f t="shared" si="15"/>
        <v>un fuste</v>
      </c>
      <c r="Q341">
        <f t="shared" si="16"/>
        <v>5</v>
      </c>
      <c r="R341">
        <f t="shared" si="17"/>
        <v>5</v>
      </c>
    </row>
    <row r="342" spans="1:18" x14ac:dyDescent="0.25">
      <c r="A342" s="7">
        <v>6</v>
      </c>
      <c r="B342" s="7">
        <v>5</v>
      </c>
      <c r="C342" s="7"/>
      <c r="D342" s="8">
        <v>37</v>
      </c>
      <c r="E342" s="7">
        <v>37</v>
      </c>
      <c r="F342" s="9" t="s">
        <v>158</v>
      </c>
      <c r="G342" s="10" t="s">
        <v>159</v>
      </c>
      <c r="H342" s="11" t="s">
        <v>160</v>
      </c>
      <c r="I342" s="7"/>
      <c r="J342" s="7"/>
      <c r="K342" s="7"/>
      <c r="L342" s="7">
        <v>0.4</v>
      </c>
      <c r="M342" s="7" t="e">
        <v>#REF!</v>
      </c>
      <c r="N342" s="12"/>
      <c r="O342" s="12" t="s">
        <v>16</v>
      </c>
      <c r="P342" s="57" t="str">
        <f t="shared" si="15"/>
        <v>un fuste</v>
      </c>
      <c r="Q342">
        <f t="shared" si="16"/>
        <v>2.5</v>
      </c>
      <c r="R342">
        <f t="shared" si="17"/>
        <v>5</v>
      </c>
    </row>
    <row r="343" spans="1:18" x14ac:dyDescent="0.25">
      <c r="A343" s="7">
        <v>6</v>
      </c>
      <c r="B343" s="7">
        <v>5</v>
      </c>
      <c r="C343" s="8"/>
      <c r="D343" s="8">
        <v>38</v>
      </c>
      <c r="E343" s="8">
        <v>38</v>
      </c>
      <c r="F343" s="9" t="s">
        <v>158</v>
      </c>
      <c r="G343" s="13" t="s">
        <v>159</v>
      </c>
      <c r="H343" s="14" t="s">
        <v>160</v>
      </c>
      <c r="I343" s="7"/>
      <c r="J343" s="7"/>
      <c r="K343" s="7"/>
      <c r="L343" s="7">
        <v>0.4</v>
      </c>
      <c r="M343" s="7" t="e">
        <v>#REF!</v>
      </c>
      <c r="N343" s="12"/>
      <c r="O343" s="12" t="s">
        <v>16</v>
      </c>
      <c r="P343" s="57" t="str">
        <f t="shared" si="15"/>
        <v>un fuste</v>
      </c>
      <c r="Q343">
        <f t="shared" si="16"/>
        <v>2.5</v>
      </c>
      <c r="R343">
        <f t="shared" si="17"/>
        <v>5</v>
      </c>
    </row>
    <row r="344" spans="1:18" x14ac:dyDescent="0.25">
      <c r="A344" s="7">
        <v>6</v>
      </c>
      <c r="B344" s="7">
        <v>5</v>
      </c>
      <c r="C344" s="8"/>
      <c r="D344" s="8">
        <v>39</v>
      </c>
      <c r="E344" s="8">
        <v>39</v>
      </c>
      <c r="F344" s="9" t="s">
        <v>158</v>
      </c>
      <c r="G344" s="10" t="s">
        <v>159</v>
      </c>
      <c r="H344" s="11" t="s">
        <v>160</v>
      </c>
      <c r="I344" s="7"/>
      <c r="J344" s="7"/>
      <c r="K344" s="7"/>
      <c r="L344" s="8">
        <v>0.4</v>
      </c>
      <c r="M344" s="7" t="e">
        <v>#REF!</v>
      </c>
      <c r="N344" s="12"/>
      <c r="O344" s="12" t="s">
        <v>16</v>
      </c>
      <c r="P344" s="57" t="str">
        <f t="shared" si="15"/>
        <v>un fuste</v>
      </c>
      <c r="Q344">
        <f t="shared" si="16"/>
        <v>2.5</v>
      </c>
      <c r="R344">
        <f t="shared" si="17"/>
        <v>5</v>
      </c>
    </row>
    <row r="345" spans="1:18" x14ac:dyDescent="0.25">
      <c r="A345" s="7">
        <v>6</v>
      </c>
      <c r="B345" s="7">
        <v>5</v>
      </c>
      <c r="C345" s="7"/>
      <c r="D345" s="8">
        <v>40</v>
      </c>
      <c r="E345" s="7">
        <v>40</v>
      </c>
      <c r="F345" s="9" t="s">
        <v>158</v>
      </c>
      <c r="G345" s="10" t="s">
        <v>159</v>
      </c>
      <c r="H345" s="11" t="s">
        <v>160</v>
      </c>
      <c r="I345" s="7"/>
      <c r="J345" s="7"/>
      <c r="K345" s="7"/>
      <c r="L345" s="7">
        <v>0.4</v>
      </c>
      <c r="M345" s="7" t="e">
        <v>#REF!</v>
      </c>
      <c r="N345" s="12"/>
      <c r="O345" s="12" t="s">
        <v>16</v>
      </c>
      <c r="P345" s="57" t="str">
        <f t="shared" si="15"/>
        <v>un fuste</v>
      </c>
      <c r="Q345">
        <f t="shared" si="16"/>
        <v>2.5</v>
      </c>
      <c r="R345">
        <f t="shared" si="17"/>
        <v>5</v>
      </c>
    </row>
    <row r="346" spans="1:18" x14ac:dyDescent="0.25">
      <c r="A346" s="7">
        <v>6</v>
      </c>
      <c r="B346" s="7">
        <v>5</v>
      </c>
      <c r="C346" s="7"/>
      <c r="D346" s="8">
        <v>41</v>
      </c>
      <c r="E346" s="7">
        <v>41</v>
      </c>
      <c r="F346" s="9" t="s">
        <v>158</v>
      </c>
      <c r="G346" s="13" t="s">
        <v>159</v>
      </c>
      <c r="H346" s="11" t="s">
        <v>160</v>
      </c>
      <c r="I346" s="7"/>
      <c r="J346" s="7"/>
      <c r="K346" s="7"/>
      <c r="L346" s="7">
        <v>0.4</v>
      </c>
      <c r="M346" s="7" t="e">
        <v>#REF!</v>
      </c>
      <c r="N346" s="12"/>
      <c r="O346" s="12" t="s">
        <v>16</v>
      </c>
      <c r="P346" s="57" t="str">
        <f t="shared" si="15"/>
        <v>un fuste</v>
      </c>
      <c r="Q346">
        <f t="shared" si="16"/>
        <v>2.5</v>
      </c>
      <c r="R346">
        <f t="shared" si="17"/>
        <v>5</v>
      </c>
    </row>
    <row r="347" spans="1:18" x14ac:dyDescent="0.25">
      <c r="A347" s="7">
        <v>6</v>
      </c>
      <c r="B347" s="7">
        <v>5</v>
      </c>
      <c r="C347" s="8"/>
      <c r="D347" s="8">
        <v>42</v>
      </c>
      <c r="E347" s="8">
        <v>42</v>
      </c>
      <c r="F347" s="9" t="s">
        <v>158</v>
      </c>
      <c r="G347" s="10" t="s">
        <v>159</v>
      </c>
      <c r="H347" s="11" t="s">
        <v>160</v>
      </c>
      <c r="I347" s="7"/>
      <c r="J347" s="7"/>
      <c r="K347" s="7"/>
      <c r="L347" s="7">
        <v>0.4</v>
      </c>
      <c r="M347" s="7" t="e">
        <v>#REF!</v>
      </c>
      <c r="N347" s="12"/>
      <c r="O347" s="12" t="s">
        <v>16</v>
      </c>
      <c r="P347" s="57" t="str">
        <f t="shared" si="15"/>
        <v>un fuste</v>
      </c>
      <c r="Q347">
        <f t="shared" si="16"/>
        <v>2.5</v>
      </c>
      <c r="R347">
        <f t="shared" si="17"/>
        <v>5</v>
      </c>
    </row>
    <row r="348" spans="1:18" x14ac:dyDescent="0.25">
      <c r="A348" s="7">
        <v>6</v>
      </c>
      <c r="B348" s="7">
        <v>5</v>
      </c>
      <c r="C348" s="7"/>
      <c r="D348" s="8">
        <v>43</v>
      </c>
      <c r="E348" s="7">
        <v>43</v>
      </c>
      <c r="F348" s="9" t="s">
        <v>158</v>
      </c>
      <c r="G348" s="13" t="s">
        <v>159</v>
      </c>
      <c r="H348" s="11" t="s">
        <v>160</v>
      </c>
      <c r="I348" s="7"/>
      <c r="J348" s="7"/>
      <c r="K348" s="7"/>
      <c r="L348" s="7">
        <v>0.4</v>
      </c>
      <c r="M348" s="7" t="e">
        <v>#REF!</v>
      </c>
      <c r="N348" s="12"/>
      <c r="O348" s="12" t="s">
        <v>16</v>
      </c>
      <c r="P348" s="57" t="str">
        <f t="shared" si="15"/>
        <v>un fuste</v>
      </c>
      <c r="Q348">
        <f t="shared" si="16"/>
        <v>2.5</v>
      </c>
      <c r="R348">
        <f t="shared" si="17"/>
        <v>5</v>
      </c>
    </row>
    <row r="349" spans="1:18" x14ac:dyDescent="0.25">
      <c r="A349" s="7">
        <v>6</v>
      </c>
      <c r="B349" s="7">
        <v>5</v>
      </c>
      <c r="C349" s="7"/>
      <c r="D349" s="8">
        <v>44</v>
      </c>
      <c r="E349" s="8">
        <v>44</v>
      </c>
      <c r="F349" s="9" t="s">
        <v>158</v>
      </c>
      <c r="G349" s="13" t="s">
        <v>159</v>
      </c>
      <c r="H349" s="11" t="s">
        <v>160</v>
      </c>
      <c r="I349" s="7"/>
      <c r="J349" s="7"/>
      <c r="K349" s="7"/>
      <c r="L349" s="7">
        <v>0.4</v>
      </c>
      <c r="M349" s="7" t="e">
        <v>#REF!</v>
      </c>
      <c r="N349" s="12"/>
      <c r="O349" s="12" t="s">
        <v>16</v>
      </c>
      <c r="P349" s="57" t="str">
        <f t="shared" si="15"/>
        <v>un fuste</v>
      </c>
      <c r="Q349">
        <f t="shared" si="16"/>
        <v>2.5</v>
      </c>
      <c r="R349">
        <f t="shared" si="17"/>
        <v>5</v>
      </c>
    </row>
    <row r="350" spans="1:18" x14ac:dyDescent="0.25">
      <c r="A350" s="7">
        <v>6</v>
      </c>
      <c r="B350" s="7">
        <v>5</v>
      </c>
      <c r="C350" s="8"/>
      <c r="D350" s="8">
        <v>45</v>
      </c>
      <c r="E350" s="8">
        <v>45</v>
      </c>
      <c r="F350" s="9" t="s">
        <v>158</v>
      </c>
      <c r="G350" s="10" t="s">
        <v>159</v>
      </c>
      <c r="H350" s="11" t="s">
        <v>160</v>
      </c>
      <c r="I350" s="7"/>
      <c r="J350" s="7"/>
      <c r="K350" s="7"/>
      <c r="L350" s="8">
        <v>0.4</v>
      </c>
      <c r="M350" s="7" t="e">
        <v>#REF!</v>
      </c>
      <c r="N350" s="12"/>
      <c r="O350" s="12" t="s">
        <v>16</v>
      </c>
      <c r="P350" s="57" t="str">
        <f t="shared" si="15"/>
        <v>un fuste</v>
      </c>
      <c r="Q350">
        <f t="shared" si="16"/>
        <v>2.5</v>
      </c>
      <c r="R350">
        <f t="shared" si="17"/>
        <v>5</v>
      </c>
    </row>
    <row r="351" spans="1:18" x14ac:dyDescent="0.25">
      <c r="A351" s="7">
        <v>6</v>
      </c>
      <c r="B351" s="7">
        <v>5</v>
      </c>
      <c r="C351" s="7"/>
      <c r="D351" s="8">
        <v>46</v>
      </c>
      <c r="E351" s="8">
        <v>46</v>
      </c>
      <c r="F351" s="9" t="s">
        <v>158</v>
      </c>
      <c r="G351" s="13" t="s">
        <v>159</v>
      </c>
      <c r="H351" s="11" t="s">
        <v>160</v>
      </c>
      <c r="I351" s="7"/>
      <c r="J351" s="7"/>
      <c r="K351" s="7"/>
      <c r="L351" s="7">
        <v>0.4</v>
      </c>
      <c r="M351" s="7" t="e">
        <v>#REF!</v>
      </c>
      <c r="N351" s="12"/>
      <c r="O351" s="12" t="s">
        <v>16</v>
      </c>
      <c r="P351" s="57" t="str">
        <f t="shared" si="15"/>
        <v>un fuste</v>
      </c>
      <c r="Q351">
        <f t="shared" si="16"/>
        <v>2.5</v>
      </c>
      <c r="R351">
        <f t="shared" si="17"/>
        <v>5</v>
      </c>
    </row>
    <row r="352" spans="1:18" x14ac:dyDescent="0.25">
      <c r="A352" s="7">
        <v>6</v>
      </c>
      <c r="B352" s="7">
        <v>5</v>
      </c>
      <c r="C352" s="8"/>
      <c r="D352" s="8">
        <v>47</v>
      </c>
      <c r="E352" s="8">
        <v>47</v>
      </c>
      <c r="F352" s="9" t="s">
        <v>158</v>
      </c>
      <c r="G352" s="13" t="s">
        <v>159</v>
      </c>
      <c r="H352" s="11" t="s">
        <v>160</v>
      </c>
      <c r="I352" s="7"/>
      <c r="J352" s="7"/>
      <c r="K352" s="7"/>
      <c r="L352" s="7">
        <v>0.4</v>
      </c>
      <c r="M352" s="7" t="e">
        <v>#REF!</v>
      </c>
      <c r="N352" s="12"/>
      <c r="O352" s="12" t="s">
        <v>16</v>
      </c>
      <c r="P352" s="57" t="str">
        <f t="shared" si="15"/>
        <v>un fuste</v>
      </c>
      <c r="Q352">
        <f t="shared" si="16"/>
        <v>2.5</v>
      </c>
      <c r="R352">
        <f t="shared" si="17"/>
        <v>5</v>
      </c>
    </row>
    <row r="353" spans="1:18" x14ac:dyDescent="0.25">
      <c r="A353" s="7">
        <v>6</v>
      </c>
      <c r="B353" s="7">
        <v>5</v>
      </c>
      <c r="C353" s="8"/>
      <c r="D353" s="8">
        <v>48</v>
      </c>
      <c r="E353" s="8">
        <v>48</v>
      </c>
      <c r="F353" s="17" t="s">
        <v>158</v>
      </c>
      <c r="G353" s="10" t="s">
        <v>159</v>
      </c>
      <c r="H353" s="11" t="s">
        <v>160</v>
      </c>
      <c r="I353" s="7"/>
      <c r="J353" s="7"/>
      <c r="K353" s="7"/>
      <c r="L353" s="8">
        <v>0.4</v>
      </c>
      <c r="M353" s="7" t="e">
        <v>#REF!</v>
      </c>
      <c r="N353" s="12"/>
      <c r="O353" s="12" t="s">
        <v>16</v>
      </c>
      <c r="P353" s="57" t="str">
        <f t="shared" si="15"/>
        <v>un fuste</v>
      </c>
      <c r="Q353">
        <f t="shared" si="16"/>
        <v>2.5</v>
      </c>
      <c r="R353">
        <f t="shared" si="17"/>
        <v>5</v>
      </c>
    </row>
    <row r="354" spans="1:18" x14ac:dyDescent="0.25">
      <c r="A354" s="7">
        <v>6</v>
      </c>
      <c r="B354" s="7">
        <v>5</v>
      </c>
      <c r="C354" s="7"/>
      <c r="D354" s="8">
        <v>49</v>
      </c>
      <c r="E354" s="7">
        <v>49</v>
      </c>
      <c r="F354" s="9" t="s">
        <v>158</v>
      </c>
      <c r="G354" s="10" t="s">
        <v>159</v>
      </c>
      <c r="H354" s="11" t="s">
        <v>160</v>
      </c>
      <c r="I354" s="7"/>
      <c r="J354" s="7"/>
      <c r="K354" s="7"/>
      <c r="L354" s="7">
        <v>0.4</v>
      </c>
      <c r="M354" s="7" t="e">
        <v>#REF!</v>
      </c>
      <c r="N354" s="12"/>
      <c r="O354" s="12" t="s">
        <v>16</v>
      </c>
      <c r="P354" s="57" t="str">
        <f t="shared" si="15"/>
        <v>un fuste</v>
      </c>
      <c r="Q354">
        <f t="shared" si="16"/>
        <v>2.5</v>
      </c>
      <c r="R354">
        <f t="shared" si="17"/>
        <v>5</v>
      </c>
    </row>
    <row r="355" spans="1:18" x14ac:dyDescent="0.25">
      <c r="A355" s="7">
        <v>6</v>
      </c>
      <c r="B355" s="7">
        <v>5</v>
      </c>
      <c r="C355" s="7"/>
      <c r="D355" s="8">
        <v>50</v>
      </c>
      <c r="E355" s="8">
        <v>50</v>
      </c>
      <c r="F355" s="9" t="s">
        <v>158</v>
      </c>
      <c r="G355" s="10" t="s">
        <v>159</v>
      </c>
      <c r="H355" s="11" t="s">
        <v>160</v>
      </c>
      <c r="I355" s="7"/>
      <c r="J355" s="7"/>
      <c r="K355" s="7"/>
      <c r="L355" s="7">
        <v>0.4</v>
      </c>
      <c r="M355" s="7" t="e">
        <v>#REF!</v>
      </c>
      <c r="N355" s="12"/>
      <c r="O355" s="12" t="s">
        <v>16</v>
      </c>
      <c r="P355" s="57" t="str">
        <f t="shared" si="15"/>
        <v>un fuste</v>
      </c>
      <c r="Q355">
        <f t="shared" si="16"/>
        <v>2.5</v>
      </c>
      <c r="R355">
        <f t="shared" si="17"/>
        <v>5</v>
      </c>
    </row>
    <row r="356" spans="1:18" x14ac:dyDescent="0.25">
      <c r="A356" s="7">
        <v>6</v>
      </c>
      <c r="B356" s="7">
        <v>5</v>
      </c>
      <c r="C356" s="8"/>
      <c r="D356" s="8">
        <v>51</v>
      </c>
      <c r="E356" s="8">
        <v>51</v>
      </c>
      <c r="F356" s="9" t="s">
        <v>158</v>
      </c>
      <c r="G356" s="13" t="s">
        <v>159</v>
      </c>
      <c r="H356" s="11" t="s">
        <v>160</v>
      </c>
      <c r="I356" s="7"/>
      <c r="J356" s="7"/>
      <c r="K356" s="7"/>
      <c r="L356" s="8">
        <v>0.4</v>
      </c>
      <c r="M356" s="7" t="e">
        <v>#REF!</v>
      </c>
      <c r="N356" s="12"/>
      <c r="O356" s="12" t="s">
        <v>16</v>
      </c>
      <c r="P356" s="57" t="str">
        <f t="shared" si="15"/>
        <v>un fuste</v>
      </c>
      <c r="Q356">
        <f t="shared" si="16"/>
        <v>2.5</v>
      </c>
      <c r="R356">
        <f t="shared" si="17"/>
        <v>5</v>
      </c>
    </row>
    <row r="357" spans="1:18" x14ac:dyDescent="0.25">
      <c r="A357" s="7">
        <v>6</v>
      </c>
      <c r="B357" s="7">
        <v>5</v>
      </c>
      <c r="C357" s="8"/>
      <c r="D357" s="8">
        <v>52</v>
      </c>
      <c r="E357" s="8">
        <v>52</v>
      </c>
      <c r="F357" s="9" t="s">
        <v>158</v>
      </c>
      <c r="G357" s="10" t="s">
        <v>159</v>
      </c>
      <c r="H357" s="11" t="s">
        <v>160</v>
      </c>
      <c r="I357" s="7"/>
      <c r="J357" s="7"/>
      <c r="K357" s="7"/>
      <c r="L357" s="7">
        <v>0.4</v>
      </c>
      <c r="M357" s="7" t="e">
        <v>#REF!</v>
      </c>
      <c r="N357" s="12"/>
      <c r="O357" s="12" t="s">
        <v>16</v>
      </c>
      <c r="P357" s="57" t="str">
        <f t="shared" si="15"/>
        <v>un fuste</v>
      </c>
      <c r="Q357">
        <f t="shared" si="16"/>
        <v>2.5</v>
      </c>
      <c r="R357">
        <f t="shared" si="17"/>
        <v>5</v>
      </c>
    </row>
    <row r="358" spans="1:18" x14ac:dyDescent="0.25">
      <c r="A358" s="7">
        <v>6</v>
      </c>
      <c r="B358" s="7">
        <v>5</v>
      </c>
      <c r="C358" s="8"/>
      <c r="D358" s="8">
        <v>53</v>
      </c>
      <c r="E358" s="8">
        <v>53</v>
      </c>
      <c r="F358" s="9" t="s">
        <v>158</v>
      </c>
      <c r="G358" s="10" t="s">
        <v>159</v>
      </c>
      <c r="H358" s="11" t="s">
        <v>160</v>
      </c>
      <c r="I358" s="7"/>
      <c r="J358" s="7"/>
      <c r="K358" s="7"/>
      <c r="L358" s="7">
        <v>0.4</v>
      </c>
      <c r="M358" s="7" t="e">
        <v>#REF!</v>
      </c>
      <c r="N358" s="12"/>
      <c r="O358" s="12" t="s">
        <v>16</v>
      </c>
      <c r="P358" s="57" t="str">
        <f t="shared" si="15"/>
        <v>un fuste</v>
      </c>
      <c r="Q358">
        <f t="shared" si="16"/>
        <v>2.5</v>
      </c>
      <c r="R358">
        <f t="shared" si="17"/>
        <v>5</v>
      </c>
    </row>
    <row r="359" spans="1:18" x14ac:dyDescent="0.25">
      <c r="A359" s="7">
        <v>6</v>
      </c>
      <c r="B359" s="7">
        <v>5</v>
      </c>
      <c r="C359" s="8"/>
      <c r="D359" s="8">
        <v>54</v>
      </c>
      <c r="E359" s="8">
        <v>54</v>
      </c>
      <c r="F359" s="9" t="s">
        <v>158</v>
      </c>
      <c r="G359" s="13" t="s">
        <v>159</v>
      </c>
      <c r="H359" s="14" t="s">
        <v>160</v>
      </c>
      <c r="I359" s="7"/>
      <c r="J359" s="7"/>
      <c r="K359" s="7"/>
      <c r="L359" s="7">
        <v>0.4</v>
      </c>
      <c r="M359" s="7" t="e">
        <v>#REF!</v>
      </c>
      <c r="N359" s="12"/>
      <c r="O359" s="12" t="s">
        <v>16</v>
      </c>
      <c r="P359" s="57" t="str">
        <f t="shared" si="15"/>
        <v>un fuste</v>
      </c>
      <c r="Q359">
        <f t="shared" si="16"/>
        <v>2.5</v>
      </c>
      <c r="R359">
        <f t="shared" si="17"/>
        <v>5</v>
      </c>
    </row>
    <row r="360" spans="1:18" x14ac:dyDescent="0.25">
      <c r="A360" s="7">
        <v>6</v>
      </c>
      <c r="B360" s="7">
        <v>5</v>
      </c>
      <c r="C360" s="7"/>
      <c r="D360" s="8">
        <v>55</v>
      </c>
      <c r="E360" s="7">
        <v>55</v>
      </c>
      <c r="F360" s="9" t="s">
        <v>179</v>
      </c>
      <c r="G360" s="13" t="s">
        <v>284</v>
      </c>
      <c r="H360" s="11" t="s">
        <v>285</v>
      </c>
      <c r="I360" s="7"/>
      <c r="J360" s="7"/>
      <c r="K360" s="7"/>
      <c r="L360" s="7">
        <v>1</v>
      </c>
      <c r="M360" s="7" t="e">
        <v>#REF!</v>
      </c>
      <c r="N360" s="12"/>
      <c r="O360" s="12" t="s">
        <v>16</v>
      </c>
      <c r="P360" s="57" t="str">
        <f t="shared" si="15"/>
        <v>un fuste</v>
      </c>
      <c r="Q360">
        <f t="shared" si="16"/>
        <v>2.5</v>
      </c>
      <c r="R360">
        <f t="shared" si="17"/>
        <v>5</v>
      </c>
    </row>
    <row r="361" spans="1:18" x14ac:dyDescent="0.25">
      <c r="A361" s="7">
        <v>6</v>
      </c>
      <c r="B361" s="7">
        <v>5</v>
      </c>
      <c r="C361" s="8"/>
      <c r="D361" s="8">
        <v>56</v>
      </c>
      <c r="E361" s="8">
        <v>56</v>
      </c>
      <c r="F361" s="9" t="s">
        <v>43</v>
      </c>
      <c r="G361" s="13" t="s">
        <v>146</v>
      </c>
      <c r="H361" s="11" t="s">
        <v>147</v>
      </c>
      <c r="I361" s="8"/>
      <c r="J361" s="7"/>
      <c r="K361" s="8"/>
      <c r="L361" s="8">
        <v>0.6</v>
      </c>
      <c r="M361" s="7" t="e">
        <v>#REF!</v>
      </c>
      <c r="N361" s="12"/>
      <c r="O361" s="12" t="s">
        <v>16</v>
      </c>
      <c r="P361" s="57" t="str">
        <f t="shared" si="15"/>
        <v>un fuste</v>
      </c>
      <c r="Q361">
        <f t="shared" si="16"/>
        <v>2.5</v>
      </c>
      <c r="R361">
        <f t="shared" si="17"/>
        <v>5</v>
      </c>
    </row>
    <row r="362" spans="1:18" x14ac:dyDescent="0.25">
      <c r="A362" s="7">
        <v>7</v>
      </c>
      <c r="B362" s="7">
        <v>5</v>
      </c>
      <c r="C362" s="7"/>
      <c r="D362" s="8">
        <v>1</v>
      </c>
      <c r="E362" s="7">
        <v>1</v>
      </c>
      <c r="F362" s="9" t="s">
        <v>108</v>
      </c>
      <c r="G362" s="13" t="s">
        <v>111</v>
      </c>
      <c r="H362" s="11" t="s">
        <v>112</v>
      </c>
      <c r="I362" s="7"/>
      <c r="J362" s="7"/>
      <c r="K362" s="7"/>
      <c r="L362" s="7">
        <v>5</v>
      </c>
      <c r="M362" s="7" t="e">
        <v>#REF!</v>
      </c>
      <c r="N362" s="12"/>
      <c r="O362" s="12" t="s">
        <v>209</v>
      </c>
      <c r="P362" s="57" t="str">
        <f t="shared" si="15"/>
        <v>un fuste</v>
      </c>
      <c r="Q362">
        <f t="shared" si="16"/>
        <v>5</v>
      </c>
      <c r="R362">
        <f t="shared" si="17"/>
        <v>5</v>
      </c>
    </row>
    <row r="363" spans="1:18" x14ac:dyDescent="0.25">
      <c r="A363" s="7">
        <v>7</v>
      </c>
      <c r="B363" s="7">
        <v>5</v>
      </c>
      <c r="C363" s="8"/>
      <c r="D363" s="7">
        <v>2</v>
      </c>
      <c r="E363" s="7">
        <v>2</v>
      </c>
      <c r="F363" s="9" t="s">
        <v>129</v>
      </c>
      <c r="G363" s="13" t="s">
        <v>130</v>
      </c>
      <c r="H363" s="11" t="s">
        <v>131</v>
      </c>
      <c r="I363" s="7"/>
      <c r="J363" s="7"/>
      <c r="K363" s="7"/>
      <c r="L363" s="7">
        <v>1.5</v>
      </c>
      <c r="M363" s="7" t="e">
        <v>#REF!</v>
      </c>
      <c r="N363" s="12"/>
      <c r="O363" s="12" t="s">
        <v>16</v>
      </c>
      <c r="P363" s="57" t="str">
        <f t="shared" si="15"/>
        <v>un fuste</v>
      </c>
      <c r="Q363">
        <f t="shared" si="16"/>
        <v>2.5</v>
      </c>
      <c r="R363">
        <f t="shared" si="17"/>
        <v>5</v>
      </c>
    </row>
    <row r="364" spans="1:18" x14ac:dyDescent="0.25">
      <c r="A364" s="7">
        <v>7</v>
      </c>
      <c r="B364" s="7">
        <v>5</v>
      </c>
      <c r="C364" s="7"/>
      <c r="D364" s="7">
        <v>3</v>
      </c>
      <c r="E364" s="7">
        <v>3</v>
      </c>
      <c r="F364" s="17" t="s">
        <v>36</v>
      </c>
      <c r="G364" s="18" t="s">
        <v>37</v>
      </c>
      <c r="H364" s="11" t="s">
        <v>38</v>
      </c>
      <c r="I364" s="7"/>
      <c r="J364" s="7"/>
      <c r="K364" s="7"/>
      <c r="L364" s="7">
        <v>1.5</v>
      </c>
      <c r="M364" s="7" t="e">
        <v>#REF!</v>
      </c>
      <c r="N364" s="12"/>
      <c r="O364" s="12" t="s">
        <v>16</v>
      </c>
      <c r="P364" s="57" t="str">
        <f t="shared" si="15"/>
        <v>un fuste</v>
      </c>
      <c r="Q364">
        <f t="shared" si="16"/>
        <v>2.5</v>
      </c>
      <c r="R364">
        <f t="shared" si="17"/>
        <v>5</v>
      </c>
    </row>
    <row r="365" spans="1:18" x14ac:dyDescent="0.25">
      <c r="A365" s="7">
        <v>7</v>
      </c>
      <c r="B365" s="7">
        <v>5</v>
      </c>
      <c r="C365" s="8"/>
      <c r="D365" s="8">
        <v>4</v>
      </c>
      <c r="E365" s="8">
        <v>4</v>
      </c>
      <c r="F365" s="9" t="s">
        <v>36</v>
      </c>
      <c r="G365" s="13" t="s">
        <v>101</v>
      </c>
      <c r="H365" s="11" t="s">
        <v>102</v>
      </c>
      <c r="I365" s="7"/>
      <c r="J365" s="7"/>
      <c r="K365" s="7"/>
      <c r="L365" s="8">
        <v>1.2</v>
      </c>
      <c r="M365" s="7" t="e">
        <v>#REF!</v>
      </c>
      <c r="N365" s="12"/>
      <c r="O365" s="12" t="s">
        <v>16</v>
      </c>
      <c r="P365" s="57" t="str">
        <f t="shared" si="15"/>
        <v>un fuste</v>
      </c>
      <c r="Q365">
        <f t="shared" si="16"/>
        <v>2.5</v>
      </c>
      <c r="R365">
        <f t="shared" si="17"/>
        <v>5</v>
      </c>
    </row>
    <row r="366" spans="1:18" x14ac:dyDescent="0.25">
      <c r="A366" s="7">
        <v>7</v>
      </c>
      <c r="B366" s="7">
        <v>5</v>
      </c>
      <c r="C366" s="8"/>
      <c r="D366" s="8">
        <v>5</v>
      </c>
      <c r="E366" s="8">
        <v>5</v>
      </c>
      <c r="F366" s="9" t="s">
        <v>13</v>
      </c>
      <c r="G366" s="13" t="s">
        <v>14</v>
      </c>
      <c r="H366" s="11" t="s">
        <v>15</v>
      </c>
      <c r="I366" s="8"/>
      <c r="J366" s="7"/>
      <c r="K366" s="8"/>
      <c r="L366" s="8">
        <v>0.4</v>
      </c>
      <c r="M366" s="7" t="e">
        <v>#REF!</v>
      </c>
      <c r="N366" s="12"/>
      <c r="O366" s="12" t="s">
        <v>16</v>
      </c>
      <c r="P366" s="57" t="str">
        <f t="shared" si="15"/>
        <v>un fuste</v>
      </c>
      <c r="Q366">
        <f t="shared" si="16"/>
        <v>2.5</v>
      </c>
      <c r="R366">
        <f t="shared" si="17"/>
        <v>5</v>
      </c>
    </row>
    <row r="367" spans="1:18" x14ac:dyDescent="0.25">
      <c r="A367" s="7">
        <v>7</v>
      </c>
      <c r="B367" s="7">
        <v>5</v>
      </c>
      <c r="C367" s="8"/>
      <c r="D367" s="8">
        <v>6</v>
      </c>
      <c r="E367" s="8">
        <v>6</v>
      </c>
      <c r="F367" s="9" t="s">
        <v>13</v>
      </c>
      <c r="G367" s="13" t="s">
        <v>14</v>
      </c>
      <c r="H367" s="11" t="s">
        <v>15</v>
      </c>
      <c r="I367" s="7"/>
      <c r="J367" s="7"/>
      <c r="K367" s="7"/>
      <c r="L367" s="7">
        <v>0.4</v>
      </c>
      <c r="M367" s="7" t="e">
        <v>#REF!</v>
      </c>
      <c r="N367" s="12"/>
      <c r="O367" s="12" t="s">
        <v>16</v>
      </c>
      <c r="P367" s="57" t="str">
        <f t="shared" si="15"/>
        <v>un fuste</v>
      </c>
      <c r="Q367">
        <f t="shared" si="16"/>
        <v>2.5</v>
      </c>
      <c r="R367">
        <f t="shared" si="17"/>
        <v>5</v>
      </c>
    </row>
    <row r="368" spans="1:18" x14ac:dyDescent="0.25">
      <c r="A368" s="7">
        <v>7</v>
      </c>
      <c r="B368" s="7">
        <v>5</v>
      </c>
      <c r="C368" s="8"/>
      <c r="D368" s="8">
        <v>7</v>
      </c>
      <c r="E368" s="8">
        <v>7</v>
      </c>
      <c r="F368" s="9" t="s">
        <v>13</v>
      </c>
      <c r="G368" s="13" t="s">
        <v>14</v>
      </c>
      <c r="H368" s="11" t="s">
        <v>15</v>
      </c>
      <c r="I368" s="7"/>
      <c r="J368" s="7"/>
      <c r="K368" s="7"/>
      <c r="L368" s="7">
        <v>0.4</v>
      </c>
      <c r="M368" s="7" t="e">
        <v>#REF!</v>
      </c>
      <c r="N368" s="12"/>
      <c r="O368" s="12" t="s">
        <v>16</v>
      </c>
      <c r="P368" s="57" t="str">
        <f t="shared" si="15"/>
        <v>un fuste</v>
      </c>
      <c r="Q368">
        <f t="shared" si="16"/>
        <v>2.5</v>
      </c>
      <c r="R368">
        <f t="shared" si="17"/>
        <v>5</v>
      </c>
    </row>
    <row r="369" spans="1:21" x14ac:dyDescent="0.25">
      <c r="A369" s="7">
        <v>7</v>
      </c>
      <c r="B369" s="7">
        <v>5</v>
      </c>
      <c r="C369" s="7"/>
      <c r="D369" s="8">
        <v>8</v>
      </c>
      <c r="E369" s="7">
        <v>8</v>
      </c>
      <c r="F369" s="9" t="s">
        <v>13</v>
      </c>
      <c r="G369" s="10" t="s">
        <v>14</v>
      </c>
      <c r="H369" s="11" t="s">
        <v>15</v>
      </c>
      <c r="I369" s="7"/>
      <c r="J369" s="7"/>
      <c r="K369" s="7"/>
      <c r="L369" s="7">
        <v>0.4</v>
      </c>
      <c r="M369" s="7" t="e">
        <v>#REF!</v>
      </c>
      <c r="N369" s="12"/>
      <c r="O369" s="12" t="s">
        <v>16</v>
      </c>
      <c r="P369" s="57" t="str">
        <f t="shared" si="15"/>
        <v>un fuste</v>
      </c>
      <c r="Q369">
        <f t="shared" si="16"/>
        <v>2.5</v>
      </c>
      <c r="R369">
        <f t="shared" si="17"/>
        <v>5</v>
      </c>
    </row>
    <row r="370" spans="1:21" x14ac:dyDescent="0.25">
      <c r="A370" s="7">
        <v>7</v>
      </c>
      <c r="B370" s="7">
        <v>5</v>
      </c>
      <c r="C370" s="8"/>
      <c r="D370" s="8">
        <v>9</v>
      </c>
      <c r="E370" s="8">
        <v>9</v>
      </c>
      <c r="F370" s="9" t="s">
        <v>13</v>
      </c>
      <c r="G370" s="13" t="s">
        <v>14</v>
      </c>
      <c r="H370" s="14" t="s">
        <v>15</v>
      </c>
      <c r="I370" s="8"/>
      <c r="J370" s="7"/>
      <c r="K370" s="8"/>
      <c r="L370" s="8">
        <v>0.4</v>
      </c>
      <c r="M370" s="7" t="e">
        <v>#REF!</v>
      </c>
      <c r="N370" s="12"/>
      <c r="O370" s="12" t="s">
        <v>16</v>
      </c>
      <c r="P370" s="57" t="str">
        <f t="shared" si="15"/>
        <v>un fuste</v>
      </c>
      <c r="Q370">
        <f t="shared" si="16"/>
        <v>2.5</v>
      </c>
      <c r="R370">
        <f t="shared" si="17"/>
        <v>5</v>
      </c>
    </row>
    <row r="371" spans="1:21" x14ac:dyDescent="0.25">
      <c r="A371" s="7">
        <v>7</v>
      </c>
      <c r="B371" s="7">
        <v>5</v>
      </c>
      <c r="C371" s="8"/>
      <c r="D371" s="8">
        <v>10</v>
      </c>
      <c r="E371" s="8">
        <v>10</v>
      </c>
      <c r="F371" s="9" t="s">
        <v>13</v>
      </c>
      <c r="G371" s="13" t="s">
        <v>14</v>
      </c>
      <c r="H371" s="11" t="s">
        <v>15</v>
      </c>
      <c r="I371" s="7"/>
      <c r="J371" s="7"/>
      <c r="K371" s="7"/>
      <c r="L371" s="8">
        <v>0.4</v>
      </c>
      <c r="M371" s="7" t="e">
        <v>#REF!</v>
      </c>
      <c r="N371" s="12"/>
      <c r="O371" s="12" t="s">
        <v>16</v>
      </c>
      <c r="P371" s="57" t="str">
        <f t="shared" si="15"/>
        <v>un fuste</v>
      </c>
      <c r="Q371">
        <f t="shared" si="16"/>
        <v>2.5</v>
      </c>
      <c r="R371">
        <f t="shared" si="17"/>
        <v>5</v>
      </c>
    </row>
    <row r="372" spans="1:21" x14ac:dyDescent="0.25">
      <c r="A372" s="7">
        <v>7</v>
      </c>
      <c r="B372" s="7">
        <v>5</v>
      </c>
      <c r="C372" s="7"/>
      <c r="D372" s="8">
        <v>11</v>
      </c>
      <c r="E372" s="7">
        <v>11</v>
      </c>
      <c r="F372" s="9" t="s">
        <v>13</v>
      </c>
      <c r="G372" s="10" t="s">
        <v>14</v>
      </c>
      <c r="H372" s="11" t="s">
        <v>15</v>
      </c>
      <c r="I372" s="7"/>
      <c r="J372" s="7"/>
      <c r="K372" s="7"/>
      <c r="L372" s="7">
        <v>0.4</v>
      </c>
      <c r="M372" s="7" t="e">
        <v>#REF!</v>
      </c>
      <c r="N372" s="12"/>
      <c r="O372" s="12" t="s">
        <v>16</v>
      </c>
      <c r="P372" s="57" t="str">
        <f t="shared" si="15"/>
        <v>un fuste</v>
      </c>
      <c r="Q372">
        <f t="shared" si="16"/>
        <v>2.5</v>
      </c>
      <c r="R372">
        <f t="shared" si="17"/>
        <v>5</v>
      </c>
    </row>
    <row r="373" spans="1:21" x14ac:dyDescent="0.25">
      <c r="A373" s="7">
        <v>7</v>
      </c>
      <c r="B373" s="7">
        <v>5</v>
      </c>
      <c r="C373" s="8"/>
      <c r="D373" s="8">
        <v>12</v>
      </c>
      <c r="E373" s="8">
        <v>12</v>
      </c>
      <c r="F373" s="9" t="s">
        <v>13</v>
      </c>
      <c r="G373" s="10" t="s">
        <v>14</v>
      </c>
      <c r="H373" s="11" t="s">
        <v>15</v>
      </c>
      <c r="I373" s="8"/>
      <c r="J373" s="7"/>
      <c r="K373" s="8"/>
      <c r="L373" s="8">
        <v>0.4</v>
      </c>
      <c r="M373" s="7" t="e">
        <v>#REF!</v>
      </c>
      <c r="N373" s="12"/>
      <c r="O373" s="12" t="s">
        <v>16</v>
      </c>
      <c r="P373" s="57" t="str">
        <f t="shared" si="15"/>
        <v>un fuste</v>
      </c>
      <c r="Q373">
        <f t="shared" si="16"/>
        <v>2.5</v>
      </c>
      <c r="R373">
        <f t="shared" si="17"/>
        <v>5</v>
      </c>
    </row>
    <row r="374" spans="1:21" x14ac:dyDescent="0.25">
      <c r="A374" s="7">
        <v>7</v>
      </c>
      <c r="B374" s="7">
        <v>5</v>
      </c>
      <c r="C374" s="8"/>
      <c r="D374" s="8">
        <v>13</v>
      </c>
      <c r="E374" s="8">
        <v>13</v>
      </c>
      <c r="F374" s="9" t="s">
        <v>13</v>
      </c>
      <c r="G374" s="10" t="s">
        <v>14</v>
      </c>
      <c r="H374" s="11" t="s">
        <v>15</v>
      </c>
      <c r="I374" s="7"/>
      <c r="J374" s="7"/>
      <c r="K374" s="7"/>
      <c r="L374" s="7">
        <v>0.4</v>
      </c>
      <c r="M374" s="7" t="e">
        <v>#REF!</v>
      </c>
      <c r="N374" s="12"/>
      <c r="O374" s="12" t="s">
        <v>16</v>
      </c>
      <c r="P374" s="57" t="str">
        <f t="shared" si="15"/>
        <v>un fuste</v>
      </c>
      <c r="Q374">
        <f t="shared" si="16"/>
        <v>2.5</v>
      </c>
      <c r="R374">
        <f t="shared" si="17"/>
        <v>5</v>
      </c>
    </row>
    <row r="375" spans="1:21" x14ac:dyDescent="0.25">
      <c r="A375" s="7">
        <v>7</v>
      </c>
      <c r="B375" s="7">
        <v>5</v>
      </c>
      <c r="C375" s="8"/>
      <c r="D375" s="8">
        <v>14</v>
      </c>
      <c r="E375" s="8">
        <v>14</v>
      </c>
      <c r="F375" s="9" t="s">
        <v>13</v>
      </c>
      <c r="G375" s="10" t="s">
        <v>14</v>
      </c>
      <c r="H375" s="11" t="s">
        <v>15</v>
      </c>
      <c r="I375" s="7"/>
      <c r="J375" s="7"/>
      <c r="K375" s="7"/>
      <c r="L375" s="7">
        <v>0.4</v>
      </c>
      <c r="M375" s="7" t="e">
        <v>#REF!</v>
      </c>
      <c r="N375" s="12"/>
      <c r="O375" s="12" t="s">
        <v>16</v>
      </c>
      <c r="P375" s="57" t="str">
        <f t="shared" si="15"/>
        <v>un fuste</v>
      </c>
      <c r="Q375">
        <f t="shared" si="16"/>
        <v>2.5</v>
      </c>
      <c r="R375">
        <f t="shared" si="17"/>
        <v>5</v>
      </c>
    </row>
    <row r="376" spans="1:21" x14ac:dyDescent="0.25">
      <c r="A376" s="7">
        <v>7</v>
      </c>
      <c r="B376" s="7">
        <v>5</v>
      </c>
      <c r="C376" s="8"/>
      <c r="D376" s="8">
        <v>15</v>
      </c>
      <c r="E376" s="8">
        <v>15</v>
      </c>
      <c r="F376" s="9" t="s">
        <v>13</v>
      </c>
      <c r="G376" s="10" t="s">
        <v>14</v>
      </c>
      <c r="H376" s="11" t="s">
        <v>15</v>
      </c>
      <c r="I376" s="7"/>
      <c r="J376" s="7"/>
      <c r="K376" s="7"/>
      <c r="L376" s="7">
        <v>0.4</v>
      </c>
      <c r="M376" s="7" t="e">
        <v>#REF!</v>
      </c>
      <c r="N376" s="12"/>
      <c r="O376" s="12" t="s">
        <v>16</v>
      </c>
      <c r="P376" s="57" t="str">
        <f t="shared" si="15"/>
        <v>un fuste</v>
      </c>
      <c r="Q376">
        <f t="shared" si="16"/>
        <v>2.5</v>
      </c>
      <c r="R376">
        <f t="shared" si="17"/>
        <v>5</v>
      </c>
    </row>
    <row r="377" spans="1:21" x14ac:dyDescent="0.25">
      <c r="A377" s="7">
        <v>7</v>
      </c>
      <c r="B377" s="7">
        <v>5</v>
      </c>
      <c r="C377" s="7"/>
      <c r="D377" s="8">
        <v>16</v>
      </c>
      <c r="E377" s="7">
        <v>16</v>
      </c>
      <c r="F377" s="9" t="s">
        <v>13</v>
      </c>
      <c r="G377" s="10" t="s">
        <v>14</v>
      </c>
      <c r="H377" s="11" t="s">
        <v>15</v>
      </c>
      <c r="I377" s="7"/>
      <c r="J377" s="7"/>
      <c r="K377" s="7"/>
      <c r="L377" s="7">
        <v>0.4</v>
      </c>
      <c r="M377" s="7" t="e">
        <v>#REF!</v>
      </c>
      <c r="N377" s="12"/>
      <c r="O377" s="12" t="s">
        <v>16</v>
      </c>
      <c r="P377" s="57" t="str">
        <f t="shared" si="15"/>
        <v>un fuste</v>
      </c>
      <c r="Q377">
        <f t="shared" si="16"/>
        <v>2.5</v>
      </c>
      <c r="R377">
        <f t="shared" si="17"/>
        <v>5</v>
      </c>
    </row>
    <row r="378" spans="1:21" x14ac:dyDescent="0.25">
      <c r="A378" s="7">
        <v>7</v>
      </c>
      <c r="B378" s="7">
        <v>5</v>
      </c>
      <c r="C378" s="7"/>
      <c r="D378" s="8">
        <v>17</v>
      </c>
      <c r="E378" s="7">
        <v>17</v>
      </c>
      <c r="F378" s="9" t="s">
        <v>13</v>
      </c>
      <c r="G378" s="13" t="s">
        <v>14</v>
      </c>
      <c r="H378" s="11" t="s">
        <v>15</v>
      </c>
      <c r="I378" s="7"/>
      <c r="J378" s="7"/>
      <c r="K378" s="7"/>
      <c r="L378" s="7">
        <v>0.4</v>
      </c>
      <c r="M378" s="7" t="e">
        <v>#REF!</v>
      </c>
      <c r="N378" s="12"/>
      <c r="O378" s="12" t="s">
        <v>16</v>
      </c>
      <c r="P378" s="57" t="str">
        <f t="shared" si="15"/>
        <v>un fuste</v>
      </c>
      <c r="Q378">
        <f t="shared" si="16"/>
        <v>2.5</v>
      </c>
      <c r="R378">
        <f t="shared" si="17"/>
        <v>5</v>
      </c>
    </row>
    <row r="379" spans="1:21" x14ac:dyDescent="0.25">
      <c r="A379" s="7">
        <v>7</v>
      </c>
      <c r="B379" s="7">
        <v>5</v>
      </c>
      <c r="C379" s="8"/>
      <c r="D379" s="8">
        <v>18</v>
      </c>
      <c r="E379" s="8">
        <v>18</v>
      </c>
      <c r="F379" s="9" t="s">
        <v>33</v>
      </c>
      <c r="G379" s="10" t="s">
        <v>186</v>
      </c>
      <c r="H379" s="11" t="s">
        <v>187</v>
      </c>
      <c r="I379" s="7"/>
      <c r="J379" s="7"/>
      <c r="K379" s="7"/>
      <c r="L379" s="7">
        <v>0.6</v>
      </c>
      <c r="M379" s="7" t="e">
        <v>#REF!</v>
      </c>
      <c r="N379" s="12"/>
      <c r="O379" s="12" t="s">
        <v>16</v>
      </c>
      <c r="P379" s="57" t="str">
        <f t="shared" si="15"/>
        <v>un fuste</v>
      </c>
      <c r="Q379">
        <f t="shared" si="16"/>
        <v>2.5</v>
      </c>
      <c r="R379">
        <f t="shared" si="17"/>
        <v>5</v>
      </c>
    </row>
    <row r="380" spans="1:21" x14ac:dyDescent="0.25">
      <c r="A380" s="7">
        <v>7</v>
      </c>
      <c r="B380" s="7">
        <v>5</v>
      </c>
      <c r="C380" s="7"/>
      <c r="D380" s="8">
        <v>19</v>
      </c>
      <c r="E380" s="8">
        <v>19</v>
      </c>
      <c r="F380" s="9" t="s">
        <v>17</v>
      </c>
      <c r="G380" s="13" t="s">
        <v>18</v>
      </c>
      <c r="H380" s="14" t="s">
        <v>19</v>
      </c>
      <c r="I380" s="7"/>
      <c r="J380" s="7"/>
      <c r="K380" s="7"/>
      <c r="L380" s="7">
        <v>0.15</v>
      </c>
      <c r="M380" s="7" t="e">
        <v>#REF!</v>
      </c>
      <c r="N380" s="12"/>
      <c r="O380" s="12" t="s">
        <v>16</v>
      </c>
      <c r="P380" s="57" t="str">
        <f t="shared" si="15"/>
        <v>un fuste</v>
      </c>
      <c r="Q380">
        <f t="shared" si="16"/>
        <v>2.5</v>
      </c>
      <c r="R380">
        <f t="shared" si="17"/>
        <v>5</v>
      </c>
    </row>
    <row r="381" spans="1:21" x14ac:dyDescent="0.25">
      <c r="A381" s="7">
        <v>7</v>
      </c>
      <c r="B381" s="7">
        <v>5</v>
      </c>
      <c r="C381" s="7"/>
      <c r="D381" s="8">
        <v>20</v>
      </c>
      <c r="E381" s="7">
        <v>20</v>
      </c>
      <c r="F381" s="9" t="s">
        <v>23</v>
      </c>
      <c r="G381" s="13" t="s">
        <v>24</v>
      </c>
      <c r="H381" s="14" t="s">
        <v>25</v>
      </c>
      <c r="I381" s="7"/>
      <c r="J381" s="7"/>
      <c r="K381" s="7"/>
      <c r="L381" s="7">
        <v>0.2</v>
      </c>
      <c r="M381" s="7" t="e">
        <v>#REF!</v>
      </c>
      <c r="N381" s="12"/>
      <c r="O381" s="12" t="s">
        <v>16</v>
      </c>
      <c r="P381" s="57" t="str">
        <f t="shared" si="15"/>
        <v>un fuste</v>
      </c>
      <c r="Q381">
        <f t="shared" si="16"/>
        <v>2.5</v>
      </c>
      <c r="R381">
        <f t="shared" si="17"/>
        <v>5</v>
      </c>
    </row>
    <row r="382" spans="1:21" x14ac:dyDescent="0.25">
      <c r="A382" s="7">
        <v>11</v>
      </c>
      <c r="B382" s="7">
        <v>100</v>
      </c>
      <c r="C382" s="7">
        <v>4</v>
      </c>
      <c r="D382" s="8">
        <v>37</v>
      </c>
      <c r="E382" s="7">
        <v>37</v>
      </c>
      <c r="F382" s="9" t="s">
        <v>226</v>
      </c>
      <c r="G382" s="13" t="s">
        <v>227</v>
      </c>
      <c r="H382" s="11" t="s">
        <v>228</v>
      </c>
      <c r="I382" s="7">
        <v>26.5</v>
      </c>
      <c r="J382" s="15">
        <v>8.4352119838704525</v>
      </c>
      <c r="K382" s="7">
        <v>3</v>
      </c>
      <c r="L382" s="7">
        <v>7</v>
      </c>
      <c r="M382" s="7"/>
      <c r="N382" s="12" t="s">
        <v>20</v>
      </c>
      <c r="O382" s="12" t="s">
        <v>16</v>
      </c>
      <c r="P382" s="57" t="str">
        <f t="shared" si="15"/>
        <v>un fuste</v>
      </c>
      <c r="Q382">
        <f t="shared" si="16"/>
        <v>7.5</v>
      </c>
      <c r="R382">
        <f t="shared" si="17"/>
        <v>10</v>
      </c>
    </row>
    <row r="383" spans="1:21" x14ac:dyDescent="0.25">
      <c r="A383" s="7">
        <v>3</v>
      </c>
      <c r="B383" s="7">
        <v>500</v>
      </c>
      <c r="C383" s="7">
        <v>1</v>
      </c>
      <c r="D383" s="8">
        <v>1</v>
      </c>
      <c r="E383" s="8">
        <v>1</v>
      </c>
      <c r="F383" s="9" t="s">
        <v>30</v>
      </c>
      <c r="G383" s="13" t="s">
        <v>31</v>
      </c>
      <c r="H383" s="11" t="s">
        <v>32</v>
      </c>
      <c r="I383" s="7">
        <v>38.5</v>
      </c>
      <c r="J383" s="15">
        <v>12.254930618075941</v>
      </c>
      <c r="K383" s="7">
        <v>6</v>
      </c>
      <c r="L383" s="7">
        <v>10</v>
      </c>
      <c r="M383" s="7"/>
      <c r="N383" s="12" t="s">
        <v>20</v>
      </c>
      <c r="O383" s="12" t="s">
        <v>16</v>
      </c>
      <c r="P383" s="57" t="str">
        <f t="shared" si="15"/>
        <v>un fuste</v>
      </c>
      <c r="Q383">
        <f t="shared" si="16"/>
        <v>10</v>
      </c>
      <c r="R383">
        <f t="shared" si="17"/>
        <v>10</v>
      </c>
      <c r="S383">
        <v>12</v>
      </c>
      <c r="T383" t="s">
        <v>276</v>
      </c>
      <c r="U383">
        <v>7.3195775547621564E-2</v>
      </c>
    </row>
    <row r="384" spans="1:21" x14ac:dyDescent="0.25">
      <c r="A384" s="7">
        <v>8</v>
      </c>
      <c r="B384" s="7">
        <v>500</v>
      </c>
      <c r="C384" s="8">
        <v>1</v>
      </c>
      <c r="D384" s="8">
        <v>1</v>
      </c>
      <c r="E384" s="8">
        <v>1</v>
      </c>
      <c r="F384" s="9" t="s">
        <v>30</v>
      </c>
      <c r="G384" s="10" t="s">
        <v>31</v>
      </c>
      <c r="H384" s="11" t="s">
        <v>32</v>
      </c>
      <c r="I384" s="7">
        <v>33</v>
      </c>
      <c r="J384" s="15">
        <v>10.504226244065093</v>
      </c>
      <c r="K384" s="7">
        <v>9</v>
      </c>
      <c r="L384" s="8">
        <v>11</v>
      </c>
      <c r="M384" s="7"/>
      <c r="N384" s="12" t="s">
        <v>20</v>
      </c>
      <c r="O384" s="12" t="s">
        <v>16</v>
      </c>
      <c r="P384" s="57" t="str">
        <f t="shared" si="15"/>
        <v>un fuste</v>
      </c>
      <c r="Q384">
        <f t="shared" si="16"/>
        <v>10</v>
      </c>
      <c r="R384">
        <f t="shared" si="17"/>
        <v>10</v>
      </c>
      <c r="S384">
        <v>12</v>
      </c>
      <c r="T384" t="s">
        <v>276</v>
      </c>
      <c r="U384">
        <v>5.992880615699217E-2</v>
      </c>
    </row>
    <row r="385" spans="1:21" x14ac:dyDescent="0.25">
      <c r="A385" s="7">
        <v>4</v>
      </c>
      <c r="B385" s="7">
        <v>100</v>
      </c>
      <c r="C385" s="7">
        <v>1</v>
      </c>
      <c r="D385" s="8">
        <v>1</v>
      </c>
      <c r="E385" s="8">
        <v>1</v>
      </c>
      <c r="F385" s="9" t="s">
        <v>30</v>
      </c>
      <c r="G385" s="13" t="s">
        <v>31</v>
      </c>
      <c r="H385" s="11" t="s">
        <v>32</v>
      </c>
      <c r="I385" s="7">
        <v>29</v>
      </c>
      <c r="J385" s="15">
        <v>9.2309866993299305</v>
      </c>
      <c r="K385" s="7">
        <v>6</v>
      </c>
      <c r="L385" s="7">
        <v>12</v>
      </c>
      <c r="M385" s="7"/>
      <c r="N385" s="12" t="s">
        <v>20</v>
      </c>
      <c r="O385" s="12" t="s">
        <v>16</v>
      </c>
      <c r="P385" s="57" t="str">
        <f t="shared" si="15"/>
        <v>un fuste</v>
      </c>
      <c r="Q385">
        <f t="shared" si="16"/>
        <v>12.5</v>
      </c>
      <c r="R385">
        <f t="shared" si="17"/>
        <v>10</v>
      </c>
    </row>
    <row r="386" spans="1:21" x14ac:dyDescent="0.25">
      <c r="A386" s="7">
        <v>2</v>
      </c>
      <c r="B386" s="7">
        <v>500</v>
      </c>
      <c r="C386" s="8">
        <v>1</v>
      </c>
      <c r="D386" s="8">
        <v>2</v>
      </c>
      <c r="E386" s="8">
        <v>2</v>
      </c>
      <c r="F386" s="9" t="s">
        <v>30</v>
      </c>
      <c r="G386" s="13" t="s">
        <v>31</v>
      </c>
      <c r="H386" s="11" t="s">
        <v>32</v>
      </c>
      <c r="I386" s="7">
        <v>35</v>
      </c>
      <c r="J386" s="15">
        <v>11.140846016432674</v>
      </c>
      <c r="K386" s="7">
        <v>6.5</v>
      </c>
      <c r="L386" s="7">
        <v>12</v>
      </c>
      <c r="M386" s="7"/>
      <c r="N386" s="12" t="s">
        <v>20</v>
      </c>
      <c r="O386" s="12" t="s">
        <v>16</v>
      </c>
      <c r="P386" s="57" t="str">
        <f t="shared" si="15"/>
        <v>un fuste</v>
      </c>
      <c r="Q386">
        <f t="shared" si="16"/>
        <v>12.5</v>
      </c>
      <c r="R386">
        <f t="shared" si="17"/>
        <v>10</v>
      </c>
      <c r="S386">
        <v>12</v>
      </c>
      <c r="T386" t="s">
        <v>276</v>
      </c>
      <c r="U386">
        <v>7.2985625018523723E-2</v>
      </c>
    </row>
    <row r="387" spans="1:21" x14ac:dyDescent="0.25">
      <c r="A387" s="7">
        <v>9</v>
      </c>
      <c r="B387" s="7">
        <v>500</v>
      </c>
      <c r="C387" s="8">
        <v>1</v>
      </c>
      <c r="D387" s="8">
        <v>2</v>
      </c>
      <c r="E387" s="8">
        <v>2</v>
      </c>
      <c r="F387" s="9" t="s">
        <v>30</v>
      </c>
      <c r="G387" s="13" t="s">
        <v>31</v>
      </c>
      <c r="H387" s="11" t="s">
        <v>32</v>
      </c>
      <c r="I387" s="7">
        <v>36.5</v>
      </c>
      <c r="J387" s="15">
        <v>11.618310845708359</v>
      </c>
      <c r="K387" s="7">
        <v>4</v>
      </c>
      <c r="L387" s="8">
        <v>11</v>
      </c>
      <c r="M387" s="7"/>
      <c r="N387" s="12" t="s">
        <v>20</v>
      </c>
      <c r="O387" s="12" t="s">
        <v>16</v>
      </c>
      <c r="P387" s="57" t="str">
        <f t="shared" ref="P387:P450" si="18">IF((D387/D387)=1,"un fuste","bifurcado")</f>
        <v>un fuste</v>
      </c>
      <c r="Q387">
        <f t="shared" ref="Q387:Q450" si="19">IF(L387&lt;3.75,2.5,IF(L387&lt;6.25,5,IF(L387&lt;8.74,7.5,IF(L387&lt;11.24,10,IF(L387&lt;13.75,12.5,IF(L387&lt;16.25,15,IF(L387&lt;18.75,17.5,IF(L387&lt;21.25,20,IF(L387&lt;23.75,22.5,IF(L387&lt;26.25,25,IF(L387&lt;28.75,27.5,IF(L387&lt;31.25,30,IF(L387&lt;33.75,32.5,IF(L387&lt;36.25,35,IF(L387&lt;38.75,37.5,IF(L387&lt;41.24,40,IF(L387&lt;43.75,42.5,IF(L387&lt;46.25,45," "))))))))))))))))))</f>
        <v>10</v>
      </c>
      <c r="R387">
        <f t="shared" ref="R387:R450" si="20">IF(J387&lt;7.5,5,IF(J387&lt;12.5,10,IF(J387&lt;17.5,15,IF(J387&lt;22.5,20,IF(J387&lt;27.5,25,IF(J387&lt;32.5,30,IF(J387&lt;37.5,35,IF(J387&lt;42.5,40,IF(J387&lt;47.5,45,IF(J387&lt;52.5,50,IF(J387&lt;57.5,55,0)))))))))))</f>
        <v>10</v>
      </c>
      <c r="S387">
        <v>12</v>
      </c>
      <c r="T387" t="s">
        <v>276</v>
      </c>
      <c r="U387">
        <v>7.2597802746153378E-2</v>
      </c>
    </row>
    <row r="388" spans="1:21" x14ac:dyDescent="0.25">
      <c r="A388" s="7">
        <v>10</v>
      </c>
      <c r="B388" s="7">
        <v>500</v>
      </c>
      <c r="C388" s="7">
        <v>1</v>
      </c>
      <c r="D388" s="8">
        <v>2</v>
      </c>
      <c r="E388" s="7">
        <v>2</v>
      </c>
      <c r="F388" s="9" t="s">
        <v>30</v>
      </c>
      <c r="G388" s="10" t="s">
        <v>31</v>
      </c>
      <c r="H388" s="11" t="s">
        <v>32</v>
      </c>
      <c r="I388" s="7">
        <v>32.5</v>
      </c>
      <c r="J388" s="15">
        <v>10.345071300973197</v>
      </c>
      <c r="K388" s="7">
        <v>6</v>
      </c>
      <c r="L388" s="7">
        <v>10</v>
      </c>
      <c r="M388" s="7"/>
      <c r="N388" s="12" t="s">
        <v>20</v>
      </c>
      <c r="O388" s="12" t="s">
        <v>16</v>
      </c>
      <c r="P388" s="57" t="str">
        <f t="shared" si="18"/>
        <v>un fuste</v>
      </c>
      <c r="Q388">
        <f t="shared" si="19"/>
        <v>10</v>
      </c>
      <c r="R388">
        <f t="shared" si="20"/>
        <v>10</v>
      </c>
      <c r="S388">
        <v>12</v>
      </c>
      <c r="T388" t="s">
        <v>276</v>
      </c>
      <c r="U388">
        <v>5.3028297531253217E-2</v>
      </c>
    </row>
    <row r="389" spans="1:21" x14ac:dyDescent="0.25">
      <c r="A389" s="7">
        <v>9</v>
      </c>
      <c r="B389" s="7">
        <v>100</v>
      </c>
      <c r="C389" s="7">
        <v>1</v>
      </c>
      <c r="D389" s="8">
        <v>2</v>
      </c>
      <c r="E389" s="8">
        <v>2</v>
      </c>
      <c r="F389" s="9" t="s">
        <v>30</v>
      </c>
      <c r="G389" s="10" t="s">
        <v>31</v>
      </c>
      <c r="H389" s="11" t="s">
        <v>32</v>
      </c>
      <c r="I389" s="7">
        <v>22.5</v>
      </c>
      <c r="J389" s="15">
        <v>7.1619724391352904</v>
      </c>
      <c r="K389" s="7">
        <v>7</v>
      </c>
      <c r="L389" s="7">
        <v>9</v>
      </c>
      <c r="M389" s="7"/>
      <c r="N389" s="12" t="s">
        <v>20</v>
      </c>
      <c r="O389" s="12" t="s">
        <v>16</v>
      </c>
      <c r="P389" s="57" t="str">
        <f t="shared" si="18"/>
        <v>un fuste</v>
      </c>
      <c r="Q389">
        <f t="shared" si="19"/>
        <v>10</v>
      </c>
      <c r="R389">
        <f t="shared" si="20"/>
        <v>5</v>
      </c>
    </row>
    <row r="390" spans="1:21" x14ac:dyDescent="0.25">
      <c r="A390" s="7">
        <v>2</v>
      </c>
      <c r="B390" s="7">
        <v>500</v>
      </c>
      <c r="C390" s="8">
        <v>1</v>
      </c>
      <c r="D390" s="8">
        <v>3</v>
      </c>
      <c r="E390" s="8">
        <v>3</v>
      </c>
      <c r="F390" s="9" t="s">
        <v>30</v>
      </c>
      <c r="G390" s="13" t="s">
        <v>31</v>
      </c>
      <c r="H390" s="11" t="s">
        <v>32</v>
      </c>
      <c r="I390" s="7">
        <v>38.5</v>
      </c>
      <c r="J390" s="15">
        <v>12.254930618075941</v>
      </c>
      <c r="K390" s="7">
        <v>6</v>
      </c>
      <c r="L390" s="8">
        <v>12</v>
      </c>
      <c r="M390" s="7"/>
      <c r="N390" s="12" t="s">
        <v>20</v>
      </c>
      <c r="O390" s="12" t="s">
        <v>16</v>
      </c>
      <c r="P390" s="57" t="str">
        <f t="shared" si="18"/>
        <v>un fuste</v>
      </c>
      <c r="Q390">
        <f t="shared" si="19"/>
        <v>12.5</v>
      </c>
      <c r="R390">
        <f t="shared" si="20"/>
        <v>10</v>
      </c>
      <c r="S390">
        <v>12</v>
      </c>
      <c r="T390" t="s">
        <v>276</v>
      </c>
      <c r="U390">
        <v>8.7495445337458511E-2</v>
      </c>
    </row>
    <row r="391" spans="1:21" x14ac:dyDescent="0.25">
      <c r="A391" s="7">
        <v>7</v>
      </c>
      <c r="B391" s="7">
        <v>500</v>
      </c>
      <c r="C391" s="8">
        <v>1</v>
      </c>
      <c r="D391" s="8">
        <v>3</v>
      </c>
      <c r="E391" s="8">
        <v>3</v>
      </c>
      <c r="F391" s="9" t="s">
        <v>30</v>
      </c>
      <c r="G391" s="10" t="s">
        <v>31</v>
      </c>
      <c r="H391" s="11" t="s">
        <v>32</v>
      </c>
      <c r="I391" s="7">
        <v>79</v>
      </c>
      <c r="J391" s="15">
        <v>25.146481008519466</v>
      </c>
      <c r="K391" s="7">
        <v>6</v>
      </c>
      <c r="L391" s="7">
        <v>14</v>
      </c>
      <c r="M391" s="7"/>
      <c r="N391" s="12" t="s">
        <v>20</v>
      </c>
      <c r="O391" s="12" t="s">
        <v>16</v>
      </c>
      <c r="P391" s="57" t="str">
        <f t="shared" si="18"/>
        <v>un fuste</v>
      </c>
      <c r="Q391">
        <f t="shared" si="19"/>
        <v>15</v>
      </c>
      <c r="R391">
        <f t="shared" si="20"/>
        <v>25</v>
      </c>
      <c r="S391">
        <v>12</v>
      </c>
      <c r="T391" t="s">
        <v>276</v>
      </c>
      <c r="U391">
        <v>0.39938863670000313</v>
      </c>
    </row>
    <row r="392" spans="1:21" x14ac:dyDescent="0.25">
      <c r="A392" s="7">
        <v>1</v>
      </c>
      <c r="B392" s="7">
        <v>100</v>
      </c>
      <c r="C392" s="8">
        <v>1</v>
      </c>
      <c r="D392" s="8">
        <v>3</v>
      </c>
      <c r="E392" s="8">
        <v>3</v>
      </c>
      <c r="F392" s="9" t="s">
        <v>30</v>
      </c>
      <c r="G392" s="10" t="s">
        <v>31</v>
      </c>
      <c r="H392" s="11" t="s">
        <v>32</v>
      </c>
      <c r="I392" s="7">
        <v>24.5</v>
      </c>
      <c r="J392" s="15">
        <v>7.7985922115028714</v>
      </c>
      <c r="K392" s="7">
        <v>6</v>
      </c>
      <c r="L392" s="7">
        <v>8</v>
      </c>
      <c r="M392" s="7"/>
      <c r="N392" s="12" t="s">
        <v>20</v>
      </c>
      <c r="O392" s="12" t="s">
        <v>16</v>
      </c>
      <c r="P392" s="57" t="str">
        <f t="shared" si="18"/>
        <v>un fuste</v>
      </c>
      <c r="Q392">
        <f t="shared" si="19"/>
        <v>7.5</v>
      </c>
      <c r="R392">
        <f t="shared" si="20"/>
        <v>10</v>
      </c>
    </row>
    <row r="393" spans="1:21" x14ac:dyDescent="0.25">
      <c r="A393" s="7">
        <v>2</v>
      </c>
      <c r="B393" s="7">
        <v>100</v>
      </c>
      <c r="C393" s="8">
        <v>1</v>
      </c>
      <c r="D393" s="8">
        <v>3</v>
      </c>
      <c r="E393" s="8">
        <v>3</v>
      </c>
      <c r="F393" s="9" t="s">
        <v>30</v>
      </c>
      <c r="G393" s="21" t="s">
        <v>31</v>
      </c>
      <c r="H393" s="14" t="s">
        <v>32</v>
      </c>
      <c r="I393" s="7">
        <v>19</v>
      </c>
      <c r="J393" s="15">
        <v>6.0478878374920226</v>
      </c>
      <c r="K393" s="7">
        <v>3</v>
      </c>
      <c r="L393" s="7">
        <v>6</v>
      </c>
      <c r="M393" s="7"/>
      <c r="N393" s="12" t="s">
        <v>20</v>
      </c>
      <c r="O393" s="12" t="s">
        <v>39</v>
      </c>
      <c r="P393" s="57" t="str">
        <f t="shared" si="18"/>
        <v>un fuste</v>
      </c>
      <c r="Q393">
        <f t="shared" si="19"/>
        <v>5</v>
      </c>
      <c r="R393">
        <f t="shared" si="20"/>
        <v>5</v>
      </c>
    </row>
    <row r="394" spans="1:21" x14ac:dyDescent="0.25">
      <c r="A394" s="7">
        <v>6</v>
      </c>
      <c r="B394" s="7">
        <v>100</v>
      </c>
      <c r="C394" s="8">
        <v>1</v>
      </c>
      <c r="D394" s="8">
        <v>3</v>
      </c>
      <c r="E394" s="8">
        <v>3</v>
      </c>
      <c r="F394" s="9" t="s">
        <v>30</v>
      </c>
      <c r="G394" s="10" t="s">
        <v>31</v>
      </c>
      <c r="H394" s="11" t="s">
        <v>32</v>
      </c>
      <c r="I394" s="7">
        <v>20.5</v>
      </c>
      <c r="J394" s="15">
        <v>6.5253526667677093</v>
      </c>
      <c r="K394" s="7">
        <v>6</v>
      </c>
      <c r="L394" s="8">
        <v>10</v>
      </c>
      <c r="M394" s="7"/>
      <c r="N394" s="12" t="s">
        <v>20</v>
      </c>
      <c r="O394" s="12" t="s">
        <v>16</v>
      </c>
      <c r="P394" s="57" t="str">
        <f t="shared" si="18"/>
        <v>un fuste</v>
      </c>
      <c r="Q394">
        <f t="shared" si="19"/>
        <v>10</v>
      </c>
      <c r="R394">
        <f t="shared" si="20"/>
        <v>5</v>
      </c>
    </row>
    <row r="395" spans="1:21" x14ac:dyDescent="0.25">
      <c r="A395" s="7">
        <v>9</v>
      </c>
      <c r="B395" s="7">
        <v>100</v>
      </c>
      <c r="C395" s="8">
        <v>1</v>
      </c>
      <c r="D395" s="8">
        <v>3</v>
      </c>
      <c r="E395" s="8">
        <v>3</v>
      </c>
      <c r="F395" s="9" t="s">
        <v>30</v>
      </c>
      <c r="G395" s="13" t="s">
        <v>31</v>
      </c>
      <c r="H395" s="11" t="s">
        <v>32</v>
      </c>
      <c r="I395" s="7">
        <v>19</v>
      </c>
      <c r="J395" s="15">
        <v>6.0478878374920226</v>
      </c>
      <c r="K395" s="7">
        <v>6</v>
      </c>
      <c r="L395" s="7">
        <v>8</v>
      </c>
      <c r="M395" s="7"/>
      <c r="N395" s="12" t="s">
        <v>20</v>
      </c>
      <c r="O395" s="12" t="s">
        <v>16</v>
      </c>
      <c r="P395" s="57" t="str">
        <f t="shared" si="18"/>
        <v>un fuste</v>
      </c>
      <c r="Q395">
        <f t="shared" si="19"/>
        <v>7.5</v>
      </c>
      <c r="R395">
        <f t="shared" si="20"/>
        <v>5</v>
      </c>
    </row>
    <row r="396" spans="1:21" x14ac:dyDescent="0.25">
      <c r="A396" s="7">
        <v>2</v>
      </c>
      <c r="B396" s="7">
        <v>500</v>
      </c>
      <c r="C396" s="7">
        <v>1</v>
      </c>
      <c r="D396" s="8">
        <v>4</v>
      </c>
      <c r="E396" s="7">
        <v>4</v>
      </c>
      <c r="F396" s="17" t="s">
        <v>30</v>
      </c>
      <c r="G396" s="10" t="s">
        <v>31</v>
      </c>
      <c r="H396" s="11" t="s">
        <v>32</v>
      </c>
      <c r="I396" s="7">
        <v>35</v>
      </c>
      <c r="J396" s="15">
        <v>11.140846016432674</v>
      </c>
      <c r="K396" s="7">
        <v>4.5</v>
      </c>
      <c r="L396" s="7">
        <v>10</v>
      </c>
      <c r="M396" s="7"/>
      <c r="N396" s="12" t="s">
        <v>20</v>
      </c>
      <c r="O396" s="12" t="s">
        <v>16</v>
      </c>
      <c r="P396" s="57" t="str">
        <f t="shared" si="18"/>
        <v>un fuste</v>
      </c>
      <c r="Q396">
        <f t="shared" si="19"/>
        <v>10</v>
      </c>
      <c r="R396">
        <f t="shared" si="20"/>
        <v>10</v>
      </c>
      <c r="S396">
        <v>12</v>
      </c>
      <c r="T396" t="s">
        <v>276</v>
      </c>
      <c r="U396">
        <v>6.105734311602639E-2</v>
      </c>
    </row>
    <row r="397" spans="1:21" x14ac:dyDescent="0.25">
      <c r="A397" s="7">
        <v>10</v>
      </c>
      <c r="B397" s="7">
        <v>500</v>
      </c>
      <c r="C397" s="8">
        <v>1</v>
      </c>
      <c r="D397" s="7">
        <v>4</v>
      </c>
      <c r="E397" s="7">
        <v>4</v>
      </c>
      <c r="F397" s="9" t="s">
        <v>30</v>
      </c>
      <c r="G397" s="13" t="s">
        <v>31</v>
      </c>
      <c r="H397" s="11" t="s">
        <v>32</v>
      </c>
      <c r="I397" s="7">
        <v>35.5</v>
      </c>
      <c r="J397" s="15">
        <v>11.300000959524569</v>
      </c>
      <c r="K397" s="7">
        <v>5</v>
      </c>
      <c r="L397" s="7">
        <v>10</v>
      </c>
      <c r="M397" s="7"/>
      <c r="N397" s="12" t="s">
        <v>20</v>
      </c>
      <c r="O397" s="12" t="s">
        <v>16</v>
      </c>
      <c r="P397" s="57" t="str">
        <f t="shared" si="18"/>
        <v>un fuste</v>
      </c>
      <c r="Q397">
        <f t="shared" si="19"/>
        <v>10</v>
      </c>
      <c r="R397">
        <f t="shared" si="20"/>
        <v>10</v>
      </c>
      <c r="S397">
        <v>12</v>
      </c>
      <c r="T397" t="s">
        <v>276</v>
      </c>
      <c r="U397">
        <v>6.2727455486645323E-2</v>
      </c>
    </row>
    <row r="398" spans="1:21" x14ac:dyDescent="0.25">
      <c r="A398" s="7">
        <v>3</v>
      </c>
      <c r="B398" s="7">
        <v>100</v>
      </c>
      <c r="C398" s="8">
        <v>1</v>
      </c>
      <c r="D398" s="8">
        <v>4</v>
      </c>
      <c r="E398" s="8">
        <v>4</v>
      </c>
      <c r="F398" s="9" t="s">
        <v>30</v>
      </c>
      <c r="G398" s="13" t="s">
        <v>31</v>
      </c>
      <c r="H398" s="11" t="s">
        <v>32</v>
      </c>
      <c r="I398" s="8">
        <v>23</v>
      </c>
      <c r="J398" s="15">
        <v>7.3211273822271856</v>
      </c>
      <c r="K398" s="8">
        <v>4</v>
      </c>
      <c r="L398" s="8">
        <v>6</v>
      </c>
      <c r="M398" s="7"/>
      <c r="N398" s="12" t="s">
        <v>20</v>
      </c>
      <c r="O398" s="12" t="s">
        <v>16</v>
      </c>
      <c r="P398" s="57" t="str">
        <f t="shared" si="18"/>
        <v>un fuste</v>
      </c>
      <c r="Q398">
        <f t="shared" si="19"/>
        <v>5</v>
      </c>
      <c r="R398">
        <f t="shared" si="20"/>
        <v>5</v>
      </c>
    </row>
    <row r="399" spans="1:21" x14ac:dyDescent="0.25">
      <c r="A399" s="7">
        <v>11</v>
      </c>
      <c r="B399" s="7">
        <v>100</v>
      </c>
      <c r="C399" s="8">
        <v>1</v>
      </c>
      <c r="D399" s="8">
        <v>4</v>
      </c>
      <c r="E399" s="8">
        <v>4</v>
      </c>
      <c r="F399" s="9" t="s">
        <v>30</v>
      </c>
      <c r="G399" s="13" t="s">
        <v>31</v>
      </c>
      <c r="H399" s="11" t="s">
        <v>32</v>
      </c>
      <c r="I399" s="7">
        <v>17.5</v>
      </c>
      <c r="J399" s="15">
        <v>5.5704230082163368</v>
      </c>
      <c r="K399" s="7">
        <v>4.5</v>
      </c>
      <c r="L399" s="7">
        <v>7</v>
      </c>
      <c r="M399" s="7"/>
      <c r="N399" s="12" t="s">
        <v>20</v>
      </c>
      <c r="O399" s="12" t="s">
        <v>16</v>
      </c>
      <c r="P399" s="57" t="str">
        <f t="shared" si="18"/>
        <v>un fuste</v>
      </c>
      <c r="Q399">
        <f t="shared" si="19"/>
        <v>7.5</v>
      </c>
      <c r="R399">
        <f t="shared" si="20"/>
        <v>5</v>
      </c>
    </row>
    <row r="400" spans="1:21" x14ac:dyDescent="0.25">
      <c r="A400" s="7">
        <v>9</v>
      </c>
      <c r="B400" s="7">
        <v>100</v>
      </c>
      <c r="C400" s="7">
        <v>1</v>
      </c>
      <c r="D400" s="8">
        <v>5</v>
      </c>
      <c r="E400" s="7">
        <v>5</v>
      </c>
      <c r="F400" s="9" t="s">
        <v>30</v>
      </c>
      <c r="G400" s="10" t="s">
        <v>31</v>
      </c>
      <c r="H400" s="11" t="s">
        <v>32</v>
      </c>
      <c r="I400" s="7">
        <v>26</v>
      </c>
      <c r="J400" s="15">
        <v>8.2760570407785572</v>
      </c>
      <c r="K400" s="7">
        <v>6</v>
      </c>
      <c r="L400" s="7">
        <v>9</v>
      </c>
      <c r="M400" s="7"/>
      <c r="N400" s="12" t="s">
        <v>20</v>
      </c>
      <c r="O400" s="12" t="s">
        <v>16</v>
      </c>
      <c r="P400" s="57" t="str">
        <f t="shared" si="18"/>
        <v>un fuste</v>
      </c>
      <c r="Q400">
        <f t="shared" si="19"/>
        <v>10</v>
      </c>
      <c r="R400">
        <f t="shared" si="20"/>
        <v>10</v>
      </c>
    </row>
    <row r="401" spans="1:21" x14ac:dyDescent="0.25">
      <c r="A401" s="7">
        <v>10</v>
      </c>
      <c r="B401" s="7">
        <v>100</v>
      </c>
      <c r="C401" s="7">
        <v>1</v>
      </c>
      <c r="D401" s="8">
        <v>5</v>
      </c>
      <c r="E401" s="7">
        <v>5</v>
      </c>
      <c r="F401" s="9" t="s">
        <v>30</v>
      </c>
      <c r="G401" s="13" t="s">
        <v>31</v>
      </c>
      <c r="H401" s="11" t="s">
        <v>32</v>
      </c>
      <c r="I401" s="7">
        <v>21</v>
      </c>
      <c r="J401" s="15">
        <v>6.6845076098596046</v>
      </c>
      <c r="K401" s="7">
        <v>7</v>
      </c>
      <c r="L401" s="7">
        <v>10</v>
      </c>
      <c r="M401" s="7"/>
      <c r="N401" s="12" t="s">
        <v>20</v>
      </c>
      <c r="O401" s="12" t="s">
        <v>16</v>
      </c>
      <c r="P401" s="57" t="str">
        <f t="shared" si="18"/>
        <v>un fuste</v>
      </c>
      <c r="Q401">
        <f t="shared" si="19"/>
        <v>10</v>
      </c>
      <c r="R401">
        <f t="shared" si="20"/>
        <v>5</v>
      </c>
    </row>
    <row r="402" spans="1:21" x14ac:dyDescent="0.25">
      <c r="A402" s="7">
        <v>7</v>
      </c>
      <c r="B402" s="7">
        <v>5</v>
      </c>
      <c r="C402" s="7"/>
      <c r="D402" s="7">
        <v>21</v>
      </c>
      <c r="E402" s="7">
        <v>21</v>
      </c>
      <c r="F402" s="9" t="s">
        <v>152</v>
      </c>
      <c r="G402" s="10" t="s">
        <v>188</v>
      </c>
      <c r="H402" s="11" t="s">
        <v>189</v>
      </c>
      <c r="I402" s="7"/>
      <c r="J402" s="7"/>
      <c r="K402" s="7"/>
      <c r="L402" s="7">
        <v>1.5</v>
      </c>
      <c r="M402" s="7" t="e">
        <v>#REF!</v>
      </c>
      <c r="N402" s="12"/>
      <c r="O402" s="12" t="s">
        <v>16</v>
      </c>
      <c r="P402" s="57" t="str">
        <f t="shared" si="18"/>
        <v>un fuste</v>
      </c>
      <c r="Q402">
        <f t="shared" si="19"/>
        <v>2.5</v>
      </c>
      <c r="R402">
        <f t="shared" si="20"/>
        <v>5</v>
      </c>
    </row>
    <row r="403" spans="1:21" x14ac:dyDescent="0.25">
      <c r="A403" s="7">
        <v>2</v>
      </c>
      <c r="B403" s="7">
        <v>500</v>
      </c>
      <c r="C403" s="8">
        <v>1</v>
      </c>
      <c r="D403" s="8">
        <v>6</v>
      </c>
      <c r="E403" s="8">
        <v>6</v>
      </c>
      <c r="F403" s="9" t="s">
        <v>30</v>
      </c>
      <c r="G403" s="13" t="s">
        <v>31</v>
      </c>
      <c r="H403" s="14" t="s">
        <v>32</v>
      </c>
      <c r="I403" s="8">
        <v>43.5</v>
      </c>
      <c r="J403" s="15">
        <v>13.846480048994895</v>
      </c>
      <c r="K403" s="8">
        <v>4</v>
      </c>
      <c r="L403" s="8">
        <v>12</v>
      </c>
      <c r="M403" s="7"/>
      <c r="N403" s="12" t="s">
        <v>20</v>
      </c>
      <c r="O403" s="12" t="s">
        <v>16</v>
      </c>
      <c r="P403" s="57" t="str">
        <f t="shared" si="18"/>
        <v>un fuste</v>
      </c>
      <c r="Q403">
        <f t="shared" si="19"/>
        <v>12.5</v>
      </c>
      <c r="R403">
        <f t="shared" si="20"/>
        <v>15</v>
      </c>
      <c r="S403">
        <v>12</v>
      </c>
      <c r="T403" t="s">
        <v>276</v>
      </c>
      <c r="U403">
        <v>0.11037490364679946</v>
      </c>
    </row>
    <row r="404" spans="1:21" x14ac:dyDescent="0.25">
      <c r="A404" s="7">
        <v>3</v>
      </c>
      <c r="B404" s="7">
        <v>500</v>
      </c>
      <c r="C404" s="8">
        <v>1</v>
      </c>
      <c r="D404" s="8">
        <v>6</v>
      </c>
      <c r="E404" s="8">
        <v>6</v>
      </c>
      <c r="F404" s="9" t="s">
        <v>30</v>
      </c>
      <c r="G404" s="13" t="s">
        <v>31</v>
      </c>
      <c r="H404" s="11" t="s">
        <v>32</v>
      </c>
      <c r="I404" s="8">
        <v>38.5</v>
      </c>
      <c r="J404" s="15">
        <v>12.254930618075941</v>
      </c>
      <c r="K404" s="8">
        <v>7</v>
      </c>
      <c r="L404" s="8">
        <v>9</v>
      </c>
      <c r="M404" s="7"/>
      <c r="N404" s="12" t="s">
        <v>20</v>
      </c>
      <c r="O404" s="12" t="s">
        <v>16</v>
      </c>
      <c r="P404" s="57" t="str">
        <f t="shared" si="18"/>
        <v>un fuste</v>
      </c>
      <c r="Q404">
        <f t="shared" si="19"/>
        <v>10</v>
      </c>
      <c r="R404">
        <f t="shared" si="20"/>
        <v>10</v>
      </c>
      <c r="S404">
        <v>12</v>
      </c>
      <c r="T404" t="s">
        <v>276</v>
      </c>
      <c r="U404">
        <v>6.6023785230263032E-2</v>
      </c>
    </row>
    <row r="405" spans="1:21" x14ac:dyDescent="0.25">
      <c r="A405" s="7">
        <v>6</v>
      </c>
      <c r="B405" s="7">
        <v>500</v>
      </c>
      <c r="C405" s="7">
        <v>2</v>
      </c>
      <c r="D405" s="8">
        <v>5</v>
      </c>
      <c r="E405" s="7">
        <v>6</v>
      </c>
      <c r="F405" s="9" t="s">
        <v>30</v>
      </c>
      <c r="G405" s="10" t="s">
        <v>31</v>
      </c>
      <c r="H405" s="11" t="s">
        <v>32</v>
      </c>
      <c r="I405" s="7">
        <v>35</v>
      </c>
      <c r="J405" s="15">
        <v>11.140846016432674</v>
      </c>
      <c r="K405" s="7">
        <v>4</v>
      </c>
      <c r="L405" s="7">
        <v>10</v>
      </c>
      <c r="M405" s="7"/>
      <c r="N405" s="12" t="s">
        <v>20</v>
      </c>
      <c r="O405" s="12" t="s">
        <v>16</v>
      </c>
      <c r="P405" s="57" t="str">
        <f t="shared" si="18"/>
        <v>un fuste</v>
      </c>
      <c r="Q405">
        <f t="shared" si="19"/>
        <v>10</v>
      </c>
      <c r="R405">
        <f t="shared" si="20"/>
        <v>10</v>
      </c>
      <c r="S405">
        <v>12</v>
      </c>
      <c r="T405" t="s">
        <v>276</v>
      </c>
      <c r="U405">
        <v>6.105734311602639E-2</v>
      </c>
    </row>
    <row r="406" spans="1:21" x14ac:dyDescent="0.25">
      <c r="A406" s="7">
        <v>7</v>
      </c>
      <c r="B406" s="7">
        <v>500</v>
      </c>
      <c r="C406" s="8">
        <v>1</v>
      </c>
      <c r="D406" s="8">
        <v>5</v>
      </c>
      <c r="E406" s="8">
        <v>6</v>
      </c>
      <c r="F406" s="9" t="s">
        <v>30</v>
      </c>
      <c r="G406" s="13" t="s">
        <v>31</v>
      </c>
      <c r="H406" s="11" t="s">
        <v>32</v>
      </c>
      <c r="I406" s="8">
        <v>81</v>
      </c>
      <c r="J406" s="15">
        <v>25.783100780887047</v>
      </c>
      <c r="K406" s="8">
        <v>8</v>
      </c>
      <c r="L406" s="8">
        <v>12</v>
      </c>
      <c r="M406" s="7"/>
      <c r="N406" s="12" t="s">
        <v>20</v>
      </c>
      <c r="O406" s="12" t="s">
        <v>16</v>
      </c>
      <c r="P406" s="57" t="str">
        <f t="shared" si="18"/>
        <v>un fuste</v>
      </c>
      <c r="Q406">
        <f t="shared" si="19"/>
        <v>12.5</v>
      </c>
      <c r="R406">
        <f t="shared" si="20"/>
        <v>25</v>
      </c>
      <c r="S406">
        <v>12</v>
      </c>
      <c r="T406" t="s">
        <v>276</v>
      </c>
      <c r="U406">
        <v>0.36018671662514573</v>
      </c>
    </row>
    <row r="407" spans="1:21" x14ac:dyDescent="0.25">
      <c r="A407" s="7">
        <v>9</v>
      </c>
      <c r="B407" s="7">
        <v>500</v>
      </c>
      <c r="C407" s="7">
        <v>1</v>
      </c>
      <c r="D407" s="8">
        <v>6</v>
      </c>
      <c r="E407" s="7">
        <v>6</v>
      </c>
      <c r="F407" s="9" t="s">
        <v>30</v>
      </c>
      <c r="G407" s="13" t="s">
        <v>31</v>
      </c>
      <c r="H407" s="11" t="s">
        <v>32</v>
      </c>
      <c r="I407" s="7">
        <v>32.5</v>
      </c>
      <c r="J407" s="15">
        <v>10.345071300973197</v>
      </c>
      <c r="K407" s="7">
        <v>4</v>
      </c>
      <c r="L407" s="7">
        <v>10</v>
      </c>
      <c r="M407" s="7"/>
      <c r="N407" s="12" t="s">
        <v>20</v>
      </c>
      <c r="O407" s="12" t="s">
        <v>16</v>
      </c>
      <c r="P407" s="57" t="str">
        <f t="shared" si="18"/>
        <v>un fuste</v>
      </c>
      <c r="Q407">
        <f t="shared" si="19"/>
        <v>10</v>
      </c>
      <c r="R407">
        <f t="shared" si="20"/>
        <v>10</v>
      </c>
      <c r="S407">
        <v>12</v>
      </c>
      <c r="T407" t="s">
        <v>276</v>
      </c>
      <c r="U407">
        <v>5.3028297531253217E-2</v>
      </c>
    </row>
    <row r="408" spans="1:21" x14ac:dyDescent="0.25">
      <c r="A408" s="7">
        <v>10</v>
      </c>
      <c r="B408" s="7">
        <v>500</v>
      </c>
      <c r="C408" s="8">
        <v>2</v>
      </c>
      <c r="D408" s="8">
        <v>6</v>
      </c>
      <c r="E408" s="8">
        <v>6</v>
      </c>
      <c r="F408" s="9" t="s">
        <v>30</v>
      </c>
      <c r="G408" s="10" t="s">
        <v>31</v>
      </c>
      <c r="H408" s="11" t="s">
        <v>32</v>
      </c>
      <c r="I408" s="7">
        <v>32</v>
      </c>
      <c r="J408" s="15">
        <v>10.185916357881302</v>
      </c>
      <c r="K408" s="7">
        <v>5</v>
      </c>
      <c r="L408" s="7">
        <v>11</v>
      </c>
      <c r="M408" s="7"/>
      <c r="N408" s="12" t="s">
        <v>20</v>
      </c>
      <c r="O408" s="12" t="s">
        <v>16</v>
      </c>
      <c r="P408" s="57" t="str">
        <f t="shared" si="18"/>
        <v>un fuste</v>
      </c>
      <c r="Q408">
        <f t="shared" si="19"/>
        <v>10</v>
      </c>
      <c r="R408">
        <f t="shared" si="20"/>
        <v>10</v>
      </c>
      <c r="S408">
        <v>12</v>
      </c>
      <c r="T408" t="s">
        <v>276</v>
      </c>
      <c r="U408">
        <v>5.6521172649776755E-2</v>
      </c>
    </row>
    <row r="409" spans="1:21" x14ac:dyDescent="0.25">
      <c r="A409" s="7">
        <v>5</v>
      </c>
      <c r="B409" s="7">
        <v>100</v>
      </c>
      <c r="C409" s="8">
        <v>1</v>
      </c>
      <c r="D409" s="8">
        <v>5</v>
      </c>
      <c r="E409" s="8">
        <v>6</v>
      </c>
      <c r="F409" s="9" t="s">
        <v>30</v>
      </c>
      <c r="G409" s="10" t="s">
        <v>31</v>
      </c>
      <c r="H409" s="11" t="s">
        <v>32</v>
      </c>
      <c r="I409" s="7">
        <v>20</v>
      </c>
      <c r="J409" s="15">
        <v>6.366197723675814</v>
      </c>
      <c r="K409" s="7">
        <v>3</v>
      </c>
      <c r="L409" s="7">
        <v>6</v>
      </c>
      <c r="M409" s="7"/>
      <c r="N409" s="12" t="s">
        <v>20</v>
      </c>
      <c r="O409" s="12" t="s">
        <v>16</v>
      </c>
      <c r="P409" s="57" t="str">
        <f t="shared" si="18"/>
        <v>un fuste</v>
      </c>
      <c r="Q409">
        <f t="shared" si="19"/>
        <v>5</v>
      </c>
      <c r="R409">
        <f t="shared" si="20"/>
        <v>5</v>
      </c>
    </row>
    <row r="410" spans="1:21" x14ac:dyDescent="0.25">
      <c r="A410" s="7">
        <v>6</v>
      </c>
      <c r="B410" s="7">
        <v>100</v>
      </c>
      <c r="C410" s="8">
        <v>1</v>
      </c>
      <c r="D410" s="8">
        <v>6</v>
      </c>
      <c r="E410" s="8">
        <v>6</v>
      </c>
      <c r="F410" s="9" t="s">
        <v>30</v>
      </c>
      <c r="G410" s="10" t="s">
        <v>31</v>
      </c>
      <c r="H410" s="11" t="s">
        <v>32</v>
      </c>
      <c r="I410" s="7">
        <v>23</v>
      </c>
      <c r="J410" s="15">
        <v>7.3211273822271856</v>
      </c>
      <c r="K410" s="7">
        <v>4</v>
      </c>
      <c r="L410" s="7">
        <v>8</v>
      </c>
      <c r="M410" s="7"/>
      <c r="N410" s="12" t="s">
        <v>20</v>
      </c>
      <c r="O410" s="12" t="s">
        <v>16</v>
      </c>
      <c r="P410" s="57" t="str">
        <f t="shared" si="18"/>
        <v>un fuste</v>
      </c>
      <c r="Q410">
        <f t="shared" si="19"/>
        <v>7.5</v>
      </c>
      <c r="R410">
        <f t="shared" si="20"/>
        <v>5</v>
      </c>
    </row>
    <row r="411" spans="1:21" x14ac:dyDescent="0.25">
      <c r="A411" s="7">
        <v>2</v>
      </c>
      <c r="B411" s="7">
        <v>500</v>
      </c>
      <c r="C411" s="8">
        <v>1</v>
      </c>
      <c r="D411" s="8">
        <v>7</v>
      </c>
      <c r="E411" s="8">
        <v>7</v>
      </c>
      <c r="F411" s="9" t="s">
        <v>30</v>
      </c>
      <c r="G411" s="10" t="s">
        <v>31</v>
      </c>
      <c r="H411" s="11" t="s">
        <v>32</v>
      </c>
      <c r="I411" s="7">
        <v>32</v>
      </c>
      <c r="J411" s="15">
        <v>10.185916357881302</v>
      </c>
      <c r="K411" s="7">
        <v>4.5</v>
      </c>
      <c r="L411" s="7">
        <v>9</v>
      </c>
      <c r="M411" s="7"/>
      <c r="N411" s="12" t="s">
        <v>20</v>
      </c>
      <c r="O411" s="12" t="s">
        <v>16</v>
      </c>
      <c r="P411" s="57" t="str">
        <f t="shared" si="18"/>
        <v>un fuste</v>
      </c>
      <c r="Q411">
        <f t="shared" si="19"/>
        <v>10</v>
      </c>
      <c r="R411">
        <f t="shared" si="20"/>
        <v>10</v>
      </c>
      <c r="S411">
        <v>12</v>
      </c>
      <c r="T411" t="s">
        <v>276</v>
      </c>
      <c r="U411">
        <v>4.6442123120946172E-2</v>
      </c>
    </row>
    <row r="412" spans="1:21" x14ac:dyDescent="0.25">
      <c r="A412" s="7">
        <v>3</v>
      </c>
      <c r="B412" s="7">
        <v>500</v>
      </c>
      <c r="C412" s="8">
        <v>1</v>
      </c>
      <c r="D412" s="8">
        <v>7</v>
      </c>
      <c r="E412" s="8">
        <v>7</v>
      </c>
      <c r="F412" s="9" t="s">
        <v>30</v>
      </c>
      <c r="G412" s="10" t="s">
        <v>31</v>
      </c>
      <c r="H412" s="11" t="s">
        <v>32</v>
      </c>
      <c r="I412" s="7">
        <v>42</v>
      </c>
      <c r="J412" s="15">
        <v>13.369015219719209</v>
      </c>
      <c r="K412" s="7">
        <v>7</v>
      </c>
      <c r="L412" s="8">
        <v>10</v>
      </c>
      <c r="M412" s="7"/>
      <c r="N412" s="12" t="s">
        <v>20</v>
      </c>
      <c r="O412" s="12" t="s">
        <v>16</v>
      </c>
      <c r="P412" s="57" t="str">
        <f t="shared" si="18"/>
        <v>un fuste</v>
      </c>
      <c r="Q412">
        <f t="shared" si="19"/>
        <v>10</v>
      </c>
      <c r="R412">
        <f t="shared" si="20"/>
        <v>15</v>
      </c>
      <c r="S412">
        <v>12</v>
      </c>
      <c r="T412" t="s">
        <v>276</v>
      </c>
      <c r="U412">
        <v>8.6372882353242891E-2</v>
      </c>
    </row>
    <row r="413" spans="1:21" x14ac:dyDescent="0.25">
      <c r="A413" s="7">
        <v>10</v>
      </c>
      <c r="B413" s="7">
        <v>100</v>
      </c>
      <c r="C413" s="7">
        <v>1</v>
      </c>
      <c r="D413" s="8">
        <v>7</v>
      </c>
      <c r="E413" s="7">
        <v>7</v>
      </c>
      <c r="F413" s="9" t="s">
        <v>30</v>
      </c>
      <c r="G413" s="10" t="s">
        <v>31</v>
      </c>
      <c r="H413" s="11" t="s">
        <v>32</v>
      </c>
      <c r="I413" s="7">
        <v>16</v>
      </c>
      <c r="J413" s="15">
        <v>5.0929581789406511</v>
      </c>
      <c r="K413" s="7">
        <v>6</v>
      </c>
      <c r="L413" s="7">
        <v>8</v>
      </c>
      <c r="M413" s="7"/>
      <c r="N413" s="12" t="s">
        <v>20</v>
      </c>
      <c r="O413" s="12" t="s">
        <v>16</v>
      </c>
      <c r="P413" s="57" t="str">
        <f t="shared" si="18"/>
        <v>un fuste</v>
      </c>
      <c r="Q413">
        <f t="shared" si="19"/>
        <v>7.5</v>
      </c>
      <c r="R413">
        <f t="shared" si="20"/>
        <v>5</v>
      </c>
    </row>
    <row r="414" spans="1:21" x14ac:dyDescent="0.25">
      <c r="A414" s="7">
        <v>1</v>
      </c>
      <c r="B414" s="7">
        <v>500</v>
      </c>
      <c r="C414" s="7">
        <v>2</v>
      </c>
      <c r="D414" s="8">
        <v>7</v>
      </c>
      <c r="E414" s="7">
        <v>8</v>
      </c>
      <c r="F414" s="9" t="s">
        <v>30</v>
      </c>
      <c r="G414" s="13" t="s">
        <v>31</v>
      </c>
      <c r="H414" s="11" t="s">
        <v>32</v>
      </c>
      <c r="I414" s="7">
        <v>37</v>
      </c>
      <c r="J414" s="15">
        <v>11.777465788800255</v>
      </c>
      <c r="K414" s="7">
        <v>8</v>
      </c>
      <c r="L414" s="7">
        <v>11</v>
      </c>
      <c r="M414" s="7"/>
      <c r="N414" s="12" t="s">
        <v>20</v>
      </c>
      <c r="O414" s="12" t="s">
        <v>16</v>
      </c>
      <c r="P414" s="57" t="str">
        <f t="shared" si="18"/>
        <v>un fuste</v>
      </c>
      <c r="Q414">
        <f t="shared" si="19"/>
        <v>10</v>
      </c>
      <c r="R414">
        <f t="shared" si="20"/>
        <v>10</v>
      </c>
      <c r="S414">
        <v>12</v>
      </c>
      <c r="T414" t="s">
        <v>276</v>
      </c>
      <c r="U414">
        <v>7.4501475185697733E-2</v>
      </c>
    </row>
    <row r="415" spans="1:21" x14ac:dyDescent="0.25">
      <c r="A415" s="7">
        <v>3</v>
      </c>
      <c r="B415" s="7">
        <v>500</v>
      </c>
      <c r="C415" s="7">
        <v>1</v>
      </c>
      <c r="D415" s="8">
        <v>8</v>
      </c>
      <c r="E415" s="8">
        <v>8</v>
      </c>
      <c r="F415" s="9" t="s">
        <v>30</v>
      </c>
      <c r="G415" s="13" t="s">
        <v>31</v>
      </c>
      <c r="H415" s="14" t="s">
        <v>32</v>
      </c>
      <c r="I415" s="7">
        <v>41.5</v>
      </c>
      <c r="J415" s="15">
        <v>13.209860276627314</v>
      </c>
      <c r="K415" s="7">
        <v>8</v>
      </c>
      <c r="L415" s="7">
        <v>10</v>
      </c>
      <c r="M415" s="7"/>
      <c r="N415" s="12" t="s">
        <v>20</v>
      </c>
      <c r="O415" s="12" t="s">
        <v>16</v>
      </c>
      <c r="P415" s="57" t="str">
        <f t="shared" si="18"/>
        <v>un fuste</v>
      </c>
      <c r="Q415">
        <f t="shared" si="19"/>
        <v>10</v>
      </c>
      <c r="R415">
        <f t="shared" si="20"/>
        <v>15</v>
      </c>
      <c r="S415">
        <v>12</v>
      </c>
      <c r="T415" t="s">
        <v>276</v>
      </c>
      <c r="U415">
        <v>8.442718834039023E-2</v>
      </c>
    </row>
    <row r="416" spans="1:21" x14ac:dyDescent="0.25">
      <c r="A416" s="7">
        <v>10</v>
      </c>
      <c r="B416" s="7">
        <v>500</v>
      </c>
      <c r="C416" s="7">
        <v>2</v>
      </c>
      <c r="D416" s="8">
        <v>8</v>
      </c>
      <c r="E416" s="7">
        <v>8</v>
      </c>
      <c r="F416" s="9" t="s">
        <v>30</v>
      </c>
      <c r="G416" s="10" t="s">
        <v>31</v>
      </c>
      <c r="H416" s="11" t="s">
        <v>32</v>
      </c>
      <c r="I416" s="7">
        <v>36</v>
      </c>
      <c r="J416" s="15">
        <v>11.459155902616464</v>
      </c>
      <c r="K416" s="7">
        <v>6.5</v>
      </c>
      <c r="L416" s="7">
        <v>10</v>
      </c>
      <c r="M416" s="7"/>
      <c r="N416" s="12" t="s">
        <v>20</v>
      </c>
      <c r="O416" s="12" t="s">
        <v>16</v>
      </c>
      <c r="P416" s="57" t="str">
        <f t="shared" si="18"/>
        <v>un fuste</v>
      </c>
      <c r="Q416">
        <f t="shared" si="19"/>
        <v>10</v>
      </c>
      <c r="R416">
        <f t="shared" si="20"/>
        <v>10</v>
      </c>
      <c r="S416">
        <v>12</v>
      </c>
      <c r="T416" t="s">
        <v>276</v>
      </c>
      <c r="U416">
        <v>6.4418932145957952E-2</v>
      </c>
    </row>
    <row r="417" spans="1:21" x14ac:dyDescent="0.25">
      <c r="A417" s="7">
        <v>7</v>
      </c>
      <c r="B417" s="7">
        <v>100</v>
      </c>
      <c r="C417" s="7">
        <v>3</v>
      </c>
      <c r="D417" s="8">
        <v>8</v>
      </c>
      <c r="E417" s="8">
        <v>8</v>
      </c>
      <c r="F417" s="17" t="s">
        <v>30</v>
      </c>
      <c r="G417" s="13" t="s">
        <v>31</v>
      </c>
      <c r="H417" s="11" t="s">
        <v>32</v>
      </c>
      <c r="I417" s="7">
        <v>25</v>
      </c>
      <c r="J417" s="15">
        <v>7.9577471545947667</v>
      </c>
      <c r="K417" s="7">
        <v>7</v>
      </c>
      <c r="L417" s="7">
        <v>11</v>
      </c>
      <c r="M417" s="7"/>
      <c r="N417" s="12" t="s">
        <v>20</v>
      </c>
      <c r="O417" s="12" t="s">
        <v>16</v>
      </c>
      <c r="P417" s="57" t="str">
        <f t="shared" si="18"/>
        <v>un fuste</v>
      </c>
      <c r="Q417">
        <f t="shared" si="19"/>
        <v>10</v>
      </c>
      <c r="R417">
        <f t="shared" si="20"/>
        <v>10</v>
      </c>
    </row>
    <row r="418" spans="1:21" x14ac:dyDescent="0.25">
      <c r="A418" s="7">
        <v>10</v>
      </c>
      <c r="B418" s="7">
        <v>100</v>
      </c>
      <c r="C418" s="8">
        <v>1</v>
      </c>
      <c r="D418" s="8">
        <v>8</v>
      </c>
      <c r="E418" s="8">
        <v>8</v>
      </c>
      <c r="F418" s="9" t="s">
        <v>30</v>
      </c>
      <c r="G418" s="10" t="s">
        <v>31</v>
      </c>
      <c r="H418" s="11" t="s">
        <v>32</v>
      </c>
      <c r="I418" s="7">
        <v>17.5</v>
      </c>
      <c r="J418" s="15">
        <v>5.5704230082163368</v>
      </c>
      <c r="K418" s="7">
        <v>7</v>
      </c>
      <c r="L418" s="8">
        <v>8</v>
      </c>
      <c r="M418" s="7"/>
      <c r="N418" s="12" t="s">
        <v>20</v>
      </c>
      <c r="O418" s="12" t="s">
        <v>16</v>
      </c>
      <c r="P418" s="57" t="str">
        <f t="shared" si="18"/>
        <v>un fuste</v>
      </c>
      <c r="Q418">
        <f t="shared" si="19"/>
        <v>7.5</v>
      </c>
      <c r="R418">
        <f t="shared" si="20"/>
        <v>5</v>
      </c>
    </row>
    <row r="419" spans="1:21" x14ac:dyDescent="0.25">
      <c r="A419" s="7">
        <v>11</v>
      </c>
      <c r="B419" s="7">
        <v>100</v>
      </c>
      <c r="C419" s="7">
        <v>1</v>
      </c>
      <c r="D419" s="8">
        <v>8</v>
      </c>
      <c r="E419" s="8">
        <v>8</v>
      </c>
      <c r="F419" s="9" t="s">
        <v>30</v>
      </c>
      <c r="G419" s="13" t="s">
        <v>31</v>
      </c>
      <c r="H419" s="11" t="s">
        <v>32</v>
      </c>
      <c r="I419" s="7">
        <v>19.5</v>
      </c>
      <c r="J419" s="15">
        <v>6.2070427805839179</v>
      </c>
      <c r="K419" s="7">
        <v>7</v>
      </c>
      <c r="L419" s="7">
        <v>8.5</v>
      </c>
      <c r="M419" s="7"/>
      <c r="N419" s="12" t="s">
        <v>20</v>
      </c>
      <c r="O419" s="12" t="s">
        <v>16</v>
      </c>
      <c r="P419" s="57" t="str">
        <f t="shared" si="18"/>
        <v>un fuste</v>
      </c>
      <c r="Q419">
        <f t="shared" si="19"/>
        <v>7.5</v>
      </c>
      <c r="R419">
        <f t="shared" si="20"/>
        <v>5</v>
      </c>
    </row>
    <row r="420" spans="1:21" x14ac:dyDescent="0.25">
      <c r="A420" s="7">
        <v>1</v>
      </c>
      <c r="B420" s="7">
        <v>500</v>
      </c>
      <c r="C420" s="8">
        <v>2</v>
      </c>
      <c r="D420" s="8">
        <v>8</v>
      </c>
      <c r="E420" s="8">
        <v>9</v>
      </c>
      <c r="F420" s="9" t="s">
        <v>30</v>
      </c>
      <c r="G420" s="13" t="s">
        <v>31</v>
      </c>
      <c r="H420" s="11" t="s">
        <v>32</v>
      </c>
      <c r="I420" s="7">
        <v>33</v>
      </c>
      <c r="J420" s="15">
        <v>10.504226244065093</v>
      </c>
      <c r="K420" s="7">
        <v>4</v>
      </c>
      <c r="L420" s="7">
        <v>8</v>
      </c>
      <c r="M420" s="7"/>
      <c r="N420" s="12" t="s">
        <v>20</v>
      </c>
      <c r="O420" s="12" t="s">
        <v>16</v>
      </c>
      <c r="P420" s="57" t="str">
        <f t="shared" si="18"/>
        <v>un fuste</v>
      </c>
      <c r="Q420">
        <f t="shared" si="19"/>
        <v>7.5</v>
      </c>
      <c r="R420">
        <f t="shared" si="20"/>
        <v>10</v>
      </c>
      <c r="S420">
        <v>12</v>
      </c>
      <c r="T420" t="s">
        <v>276</v>
      </c>
      <c r="U420">
        <v>4.3880391105574526E-2</v>
      </c>
    </row>
    <row r="421" spans="1:21" x14ac:dyDescent="0.25">
      <c r="A421" s="7">
        <v>2</v>
      </c>
      <c r="B421" s="7">
        <v>500</v>
      </c>
      <c r="C421" s="8">
        <v>1</v>
      </c>
      <c r="D421" s="8">
        <v>9</v>
      </c>
      <c r="E421" s="8">
        <v>9</v>
      </c>
      <c r="F421" s="9" t="s">
        <v>30</v>
      </c>
      <c r="G421" s="10" t="s">
        <v>31</v>
      </c>
      <c r="H421" s="11" t="s">
        <v>32</v>
      </c>
      <c r="I421" s="7">
        <v>37</v>
      </c>
      <c r="J421" s="15">
        <v>11.777465788800255</v>
      </c>
      <c r="K421" s="7">
        <v>8</v>
      </c>
      <c r="L421" s="8">
        <v>12</v>
      </c>
      <c r="M421" s="7"/>
      <c r="N421" s="12" t="s">
        <v>20</v>
      </c>
      <c r="O421" s="12" t="s">
        <v>16</v>
      </c>
      <c r="P421" s="57" t="str">
        <f t="shared" si="18"/>
        <v>un fuste</v>
      </c>
      <c r="Q421">
        <f t="shared" si="19"/>
        <v>12.5</v>
      </c>
      <c r="R421">
        <f t="shared" si="20"/>
        <v>10</v>
      </c>
      <c r="S421">
        <v>12</v>
      </c>
      <c r="T421" t="s">
        <v>276</v>
      </c>
      <c r="U421">
        <v>8.1124269783116265E-2</v>
      </c>
    </row>
    <row r="422" spans="1:21" x14ac:dyDescent="0.25">
      <c r="A422" s="7">
        <v>1</v>
      </c>
      <c r="B422" s="7">
        <v>100</v>
      </c>
      <c r="C422" s="7">
        <v>2</v>
      </c>
      <c r="D422" s="8">
        <v>9</v>
      </c>
      <c r="E422" s="7">
        <v>9</v>
      </c>
      <c r="F422" s="9" t="s">
        <v>30</v>
      </c>
      <c r="G422" s="10" t="s">
        <v>31</v>
      </c>
      <c r="H422" s="11" t="s">
        <v>32</v>
      </c>
      <c r="I422" s="7">
        <v>16</v>
      </c>
      <c r="J422" s="15">
        <v>5.0929581789406511</v>
      </c>
      <c r="K422" s="7">
        <v>2.5</v>
      </c>
      <c r="L422" s="7">
        <v>7</v>
      </c>
      <c r="M422" s="7"/>
      <c r="N422" s="12" t="s">
        <v>20</v>
      </c>
      <c r="O422" s="12" t="s">
        <v>16</v>
      </c>
      <c r="P422" s="57" t="str">
        <f t="shared" si="18"/>
        <v>un fuste</v>
      </c>
      <c r="Q422">
        <f t="shared" si="19"/>
        <v>7.5</v>
      </c>
      <c r="R422">
        <f t="shared" si="20"/>
        <v>5</v>
      </c>
    </row>
    <row r="423" spans="1:21" x14ac:dyDescent="0.25">
      <c r="A423" s="7">
        <v>9</v>
      </c>
      <c r="B423" s="7">
        <v>100</v>
      </c>
      <c r="C423" s="7">
        <v>1</v>
      </c>
      <c r="D423" s="8">
        <v>9</v>
      </c>
      <c r="E423" s="8">
        <v>9</v>
      </c>
      <c r="F423" s="9" t="s">
        <v>30</v>
      </c>
      <c r="G423" s="13" t="s">
        <v>31</v>
      </c>
      <c r="H423" s="11" t="s">
        <v>32</v>
      </c>
      <c r="I423" s="7">
        <v>18</v>
      </c>
      <c r="J423" s="15">
        <v>5.7295779513082321</v>
      </c>
      <c r="K423" s="7">
        <v>6</v>
      </c>
      <c r="L423" s="7">
        <v>8</v>
      </c>
      <c r="M423" s="7"/>
      <c r="N423" s="12" t="s">
        <v>20</v>
      </c>
      <c r="O423" s="12" t="s">
        <v>16</v>
      </c>
      <c r="P423" s="57" t="str">
        <f t="shared" si="18"/>
        <v>un fuste</v>
      </c>
      <c r="Q423">
        <f t="shared" si="19"/>
        <v>7.5</v>
      </c>
      <c r="R423">
        <f t="shared" si="20"/>
        <v>5</v>
      </c>
    </row>
    <row r="424" spans="1:21" x14ac:dyDescent="0.25">
      <c r="A424" s="7">
        <v>11</v>
      </c>
      <c r="B424" s="7">
        <v>100</v>
      </c>
      <c r="C424" s="8">
        <v>1</v>
      </c>
      <c r="D424" s="8">
        <v>9</v>
      </c>
      <c r="E424" s="8">
        <v>9</v>
      </c>
      <c r="F424" s="9" t="s">
        <v>30</v>
      </c>
      <c r="G424" s="10" t="s">
        <v>31</v>
      </c>
      <c r="H424" s="11" t="s">
        <v>32</v>
      </c>
      <c r="I424" s="7">
        <v>24</v>
      </c>
      <c r="J424" s="15">
        <v>7.6394372684109761</v>
      </c>
      <c r="K424" s="7">
        <v>7</v>
      </c>
      <c r="L424" s="8">
        <v>8.5</v>
      </c>
      <c r="M424" s="7"/>
      <c r="N424" s="12" t="s">
        <v>20</v>
      </c>
      <c r="O424" s="12" t="s">
        <v>16</v>
      </c>
      <c r="P424" s="57" t="str">
        <f t="shared" si="18"/>
        <v>un fuste</v>
      </c>
      <c r="Q424">
        <f t="shared" si="19"/>
        <v>7.5</v>
      </c>
      <c r="R424">
        <f t="shared" si="20"/>
        <v>10</v>
      </c>
    </row>
    <row r="425" spans="1:21" x14ac:dyDescent="0.25">
      <c r="A425" s="7">
        <v>5</v>
      </c>
      <c r="B425" s="7">
        <v>500</v>
      </c>
      <c r="C425" s="8">
        <v>1</v>
      </c>
      <c r="D425" s="8">
        <v>10</v>
      </c>
      <c r="E425" s="8">
        <v>10</v>
      </c>
      <c r="F425" s="9" t="s">
        <v>30</v>
      </c>
      <c r="G425" s="10" t="s">
        <v>31</v>
      </c>
      <c r="H425" s="11" t="s">
        <v>32</v>
      </c>
      <c r="I425" s="7">
        <v>36.5</v>
      </c>
      <c r="J425" s="15">
        <v>11.618310845708359</v>
      </c>
      <c r="K425" s="7">
        <v>5</v>
      </c>
      <c r="L425" s="7">
        <v>8</v>
      </c>
      <c r="M425" s="7"/>
      <c r="N425" s="12" t="s">
        <v>20</v>
      </c>
      <c r="O425" s="12" t="s">
        <v>16</v>
      </c>
      <c r="P425" s="57" t="str">
        <f t="shared" si="18"/>
        <v>un fuste</v>
      </c>
      <c r="Q425">
        <f t="shared" si="19"/>
        <v>7.5</v>
      </c>
      <c r="R425">
        <f t="shared" si="20"/>
        <v>10</v>
      </c>
      <c r="S425">
        <v>12</v>
      </c>
      <c r="T425" t="s">
        <v>276</v>
      </c>
      <c r="U425">
        <v>5.315674017535691E-2</v>
      </c>
    </row>
    <row r="426" spans="1:21" x14ac:dyDescent="0.25">
      <c r="A426" s="7">
        <v>11</v>
      </c>
      <c r="B426" s="7">
        <v>100</v>
      </c>
      <c r="C426" s="8">
        <v>1</v>
      </c>
      <c r="D426" s="8">
        <v>10</v>
      </c>
      <c r="E426" s="8">
        <v>10</v>
      </c>
      <c r="F426" s="9" t="s">
        <v>30</v>
      </c>
      <c r="G426" s="10" t="s">
        <v>31</v>
      </c>
      <c r="H426" s="11" t="s">
        <v>32</v>
      </c>
      <c r="I426" s="7">
        <v>18.5</v>
      </c>
      <c r="J426" s="15">
        <v>5.8887328944001274</v>
      </c>
      <c r="K426" s="7">
        <v>7</v>
      </c>
      <c r="L426" s="7">
        <v>9</v>
      </c>
      <c r="M426" s="7"/>
      <c r="N426" s="12" t="s">
        <v>20</v>
      </c>
      <c r="O426" s="12" t="s">
        <v>16</v>
      </c>
      <c r="P426" s="57" t="str">
        <f t="shared" si="18"/>
        <v>un fuste</v>
      </c>
      <c r="Q426">
        <f t="shared" si="19"/>
        <v>10</v>
      </c>
      <c r="R426">
        <f t="shared" si="20"/>
        <v>5</v>
      </c>
    </row>
    <row r="427" spans="1:21" x14ac:dyDescent="0.25">
      <c r="A427" s="7">
        <v>3</v>
      </c>
      <c r="B427" s="7">
        <v>500</v>
      </c>
      <c r="C427" s="8">
        <v>1</v>
      </c>
      <c r="D427" s="8">
        <v>11</v>
      </c>
      <c r="E427" s="8">
        <v>11</v>
      </c>
      <c r="F427" s="9" t="s">
        <v>30</v>
      </c>
      <c r="G427" s="13" t="s">
        <v>31</v>
      </c>
      <c r="H427" s="11" t="s">
        <v>32</v>
      </c>
      <c r="I427" s="7">
        <v>34</v>
      </c>
      <c r="J427" s="15">
        <v>10.822536130248883</v>
      </c>
      <c r="K427" s="7">
        <v>7</v>
      </c>
      <c r="L427" s="7">
        <v>11</v>
      </c>
      <c r="M427" s="7"/>
      <c r="N427" s="12" t="s">
        <v>20</v>
      </c>
      <c r="O427" s="12" t="s">
        <v>16</v>
      </c>
      <c r="P427" s="57" t="str">
        <f t="shared" si="18"/>
        <v>un fuste</v>
      </c>
      <c r="Q427">
        <f t="shared" si="19"/>
        <v>10</v>
      </c>
      <c r="R427">
        <f t="shared" si="20"/>
        <v>10</v>
      </c>
      <c r="S427">
        <v>12</v>
      </c>
      <c r="T427" t="s">
        <v>276</v>
      </c>
      <c r="U427">
        <v>6.3430923605390391E-2</v>
      </c>
    </row>
    <row r="428" spans="1:21" x14ac:dyDescent="0.25">
      <c r="A428" s="7">
        <v>11</v>
      </c>
      <c r="B428" s="7">
        <v>500</v>
      </c>
      <c r="C428" s="8">
        <v>3</v>
      </c>
      <c r="D428" s="8">
        <v>10</v>
      </c>
      <c r="E428" s="8">
        <v>11</v>
      </c>
      <c r="F428" s="9" t="s">
        <v>30</v>
      </c>
      <c r="G428" s="13" t="s">
        <v>31</v>
      </c>
      <c r="H428" s="11" t="s">
        <v>32</v>
      </c>
      <c r="I428" s="8">
        <v>33.5</v>
      </c>
      <c r="J428" s="15">
        <v>10.663381187156988</v>
      </c>
      <c r="K428" s="8">
        <v>4</v>
      </c>
      <c r="L428" s="8">
        <v>9</v>
      </c>
      <c r="M428" s="7"/>
      <c r="N428" s="12" t="s">
        <v>20</v>
      </c>
      <c r="O428" s="12" t="s">
        <v>16</v>
      </c>
      <c r="P428" s="57" t="str">
        <f t="shared" si="18"/>
        <v>un fuste</v>
      </c>
      <c r="Q428">
        <f t="shared" si="19"/>
        <v>10</v>
      </c>
      <c r="R428">
        <f t="shared" si="20"/>
        <v>10</v>
      </c>
      <c r="S428">
        <v>12</v>
      </c>
      <c r="T428" t="s">
        <v>276</v>
      </c>
      <c r="U428">
        <v>5.0671209523614237E-2</v>
      </c>
    </row>
    <row r="429" spans="1:21" x14ac:dyDescent="0.25">
      <c r="A429" s="7">
        <v>1</v>
      </c>
      <c r="B429" s="7">
        <v>100</v>
      </c>
      <c r="C429" s="7">
        <v>2</v>
      </c>
      <c r="D429" s="7">
        <v>11</v>
      </c>
      <c r="E429" s="7">
        <v>11</v>
      </c>
      <c r="F429" s="9" t="s">
        <v>30</v>
      </c>
      <c r="G429" s="13" t="s">
        <v>31</v>
      </c>
      <c r="H429" s="11" t="s">
        <v>32</v>
      </c>
      <c r="I429" s="7">
        <v>17</v>
      </c>
      <c r="J429" s="15">
        <v>5.4112680651244416</v>
      </c>
      <c r="K429" s="7">
        <v>4</v>
      </c>
      <c r="L429" s="7">
        <v>7</v>
      </c>
      <c r="M429" s="7"/>
      <c r="N429" s="12" t="s">
        <v>20</v>
      </c>
      <c r="O429" s="12" t="s">
        <v>16</v>
      </c>
      <c r="P429" s="57" t="str">
        <f t="shared" si="18"/>
        <v>un fuste</v>
      </c>
      <c r="Q429">
        <f t="shared" si="19"/>
        <v>7.5</v>
      </c>
      <c r="R429">
        <f t="shared" si="20"/>
        <v>5</v>
      </c>
    </row>
    <row r="430" spans="1:21" x14ac:dyDescent="0.25">
      <c r="A430" s="7">
        <v>4</v>
      </c>
      <c r="B430" s="7">
        <v>100</v>
      </c>
      <c r="C430" s="7">
        <v>2</v>
      </c>
      <c r="D430" s="8">
        <v>10</v>
      </c>
      <c r="E430" s="7">
        <v>11</v>
      </c>
      <c r="F430" s="9" t="s">
        <v>30</v>
      </c>
      <c r="G430" s="10" t="s">
        <v>31</v>
      </c>
      <c r="H430" s="11" t="s">
        <v>32</v>
      </c>
      <c r="I430" s="7">
        <v>27</v>
      </c>
      <c r="J430" s="15">
        <v>8.5943669269623477</v>
      </c>
      <c r="K430" s="7">
        <v>9</v>
      </c>
      <c r="L430" s="7">
        <v>13</v>
      </c>
      <c r="M430" s="7"/>
      <c r="N430" s="12" t="s">
        <v>20</v>
      </c>
      <c r="O430" s="12" t="s">
        <v>16</v>
      </c>
      <c r="P430" s="57" t="str">
        <f t="shared" si="18"/>
        <v>un fuste</v>
      </c>
      <c r="Q430">
        <f t="shared" si="19"/>
        <v>12.5</v>
      </c>
      <c r="R430">
        <f t="shared" si="20"/>
        <v>10</v>
      </c>
    </row>
    <row r="431" spans="1:21" x14ac:dyDescent="0.25">
      <c r="A431" s="7">
        <v>8</v>
      </c>
      <c r="B431" s="7">
        <v>100</v>
      </c>
      <c r="C431" s="8">
        <v>1</v>
      </c>
      <c r="D431" s="8">
        <v>11</v>
      </c>
      <c r="E431" s="8">
        <v>11</v>
      </c>
      <c r="F431" s="9" t="s">
        <v>30</v>
      </c>
      <c r="G431" s="10" t="s">
        <v>31</v>
      </c>
      <c r="H431" s="11" t="s">
        <v>32</v>
      </c>
      <c r="I431" s="7">
        <v>17.5</v>
      </c>
      <c r="J431" s="15">
        <v>5.5704230082163368</v>
      </c>
      <c r="K431" s="7">
        <v>3</v>
      </c>
      <c r="L431" s="7">
        <v>8</v>
      </c>
      <c r="M431" s="7"/>
      <c r="N431" s="12" t="s">
        <v>20</v>
      </c>
      <c r="O431" s="12" t="s">
        <v>16</v>
      </c>
      <c r="P431" s="57" t="str">
        <f t="shared" si="18"/>
        <v>un fuste</v>
      </c>
      <c r="Q431">
        <f t="shared" si="19"/>
        <v>7.5</v>
      </c>
      <c r="R431">
        <f t="shared" si="20"/>
        <v>5</v>
      </c>
    </row>
    <row r="432" spans="1:21" x14ac:dyDescent="0.25">
      <c r="A432" s="7">
        <v>11</v>
      </c>
      <c r="B432" s="7">
        <v>100</v>
      </c>
      <c r="C432" s="8">
        <v>1</v>
      </c>
      <c r="D432" s="8">
        <v>11</v>
      </c>
      <c r="E432" s="8">
        <v>11</v>
      </c>
      <c r="F432" s="9" t="s">
        <v>30</v>
      </c>
      <c r="G432" s="13" t="s">
        <v>31</v>
      </c>
      <c r="H432" s="14" t="s">
        <v>32</v>
      </c>
      <c r="I432" s="8">
        <v>23</v>
      </c>
      <c r="J432" s="15">
        <v>7.3211273822271856</v>
      </c>
      <c r="K432" s="8">
        <v>6</v>
      </c>
      <c r="L432" s="8">
        <v>10</v>
      </c>
      <c r="M432" s="7"/>
      <c r="N432" s="12" t="s">
        <v>20</v>
      </c>
      <c r="O432" s="12" t="s">
        <v>16</v>
      </c>
      <c r="P432" s="57" t="str">
        <f t="shared" si="18"/>
        <v>un fuste</v>
      </c>
      <c r="Q432">
        <f t="shared" si="19"/>
        <v>10</v>
      </c>
      <c r="R432">
        <f t="shared" si="20"/>
        <v>5</v>
      </c>
    </row>
    <row r="433" spans="1:21" x14ac:dyDescent="0.25">
      <c r="A433" s="7">
        <v>2</v>
      </c>
      <c r="B433" s="7">
        <v>500</v>
      </c>
      <c r="C433" s="8">
        <v>1</v>
      </c>
      <c r="D433" s="8">
        <v>12</v>
      </c>
      <c r="E433" s="8">
        <v>12</v>
      </c>
      <c r="F433" s="9" t="s">
        <v>30</v>
      </c>
      <c r="G433" s="13" t="s">
        <v>31</v>
      </c>
      <c r="H433" s="11" t="s">
        <v>32</v>
      </c>
      <c r="I433" s="7">
        <v>56</v>
      </c>
      <c r="J433" s="15">
        <v>17.82535362629228</v>
      </c>
      <c r="K433" s="7">
        <v>6.5</v>
      </c>
      <c r="L433" s="8">
        <v>13</v>
      </c>
      <c r="M433" s="7"/>
      <c r="N433" s="12" t="s">
        <v>20</v>
      </c>
      <c r="O433" s="12" t="s">
        <v>16</v>
      </c>
      <c r="P433" s="57" t="str">
        <f t="shared" si="18"/>
        <v>un fuste</v>
      </c>
      <c r="Q433">
        <f t="shared" si="19"/>
        <v>12.5</v>
      </c>
      <c r="R433">
        <f t="shared" si="20"/>
        <v>20</v>
      </c>
      <c r="S433">
        <v>12</v>
      </c>
      <c r="T433" t="s">
        <v>276</v>
      </c>
      <c r="U433">
        <v>0.19301546626322191</v>
      </c>
    </row>
    <row r="434" spans="1:21" x14ac:dyDescent="0.25">
      <c r="A434" s="7">
        <v>5</v>
      </c>
      <c r="B434" s="7">
        <v>100</v>
      </c>
      <c r="C434" s="8">
        <v>1</v>
      </c>
      <c r="D434" s="8">
        <v>11</v>
      </c>
      <c r="E434" s="8">
        <v>12</v>
      </c>
      <c r="F434" s="9" t="s">
        <v>30</v>
      </c>
      <c r="G434" s="10" t="s">
        <v>31</v>
      </c>
      <c r="H434" s="11" t="s">
        <v>32</v>
      </c>
      <c r="I434" s="7">
        <v>22.5</v>
      </c>
      <c r="J434" s="15">
        <v>7.1619724391352904</v>
      </c>
      <c r="K434" s="7">
        <v>3.5</v>
      </c>
      <c r="L434" s="7">
        <v>7</v>
      </c>
      <c r="M434" s="7"/>
      <c r="N434" s="12" t="s">
        <v>20</v>
      </c>
      <c r="O434" s="12" t="s">
        <v>16</v>
      </c>
      <c r="P434" s="57" t="str">
        <f t="shared" si="18"/>
        <v>un fuste</v>
      </c>
      <c r="Q434">
        <f t="shared" si="19"/>
        <v>7.5</v>
      </c>
      <c r="R434">
        <f t="shared" si="20"/>
        <v>5</v>
      </c>
    </row>
    <row r="435" spans="1:21" x14ac:dyDescent="0.25">
      <c r="A435" s="7">
        <v>11</v>
      </c>
      <c r="B435" s="7">
        <v>100</v>
      </c>
      <c r="C435" s="8">
        <v>1</v>
      </c>
      <c r="D435" s="8">
        <v>12</v>
      </c>
      <c r="E435" s="8">
        <v>12</v>
      </c>
      <c r="F435" s="9" t="s">
        <v>30</v>
      </c>
      <c r="G435" s="13" t="s">
        <v>31</v>
      </c>
      <c r="H435" s="11" t="s">
        <v>32</v>
      </c>
      <c r="I435" s="8">
        <v>18</v>
      </c>
      <c r="J435" s="15">
        <v>5.7295779513082321</v>
      </c>
      <c r="K435" s="8">
        <v>7</v>
      </c>
      <c r="L435" s="8">
        <v>9</v>
      </c>
      <c r="M435" s="7"/>
      <c r="N435" s="12" t="s">
        <v>20</v>
      </c>
      <c r="O435" s="12" t="s">
        <v>16</v>
      </c>
      <c r="P435" s="57" t="str">
        <f t="shared" si="18"/>
        <v>un fuste</v>
      </c>
      <c r="Q435">
        <f t="shared" si="19"/>
        <v>10</v>
      </c>
      <c r="R435">
        <f t="shared" si="20"/>
        <v>5</v>
      </c>
    </row>
    <row r="436" spans="1:21" x14ac:dyDescent="0.25">
      <c r="A436" s="7">
        <v>6</v>
      </c>
      <c r="B436" s="7">
        <v>500</v>
      </c>
      <c r="C436" s="7">
        <v>4</v>
      </c>
      <c r="D436" s="8">
        <v>12</v>
      </c>
      <c r="E436" s="7">
        <v>13</v>
      </c>
      <c r="F436" s="9" t="s">
        <v>30</v>
      </c>
      <c r="G436" s="13" t="s">
        <v>31</v>
      </c>
      <c r="H436" s="11" t="s">
        <v>32</v>
      </c>
      <c r="I436" s="7">
        <v>33</v>
      </c>
      <c r="J436" s="15">
        <v>10.504226244065093</v>
      </c>
      <c r="K436" s="7">
        <v>6</v>
      </c>
      <c r="L436" s="7">
        <v>10</v>
      </c>
      <c r="M436" s="7"/>
      <c r="N436" s="12" t="s">
        <v>20</v>
      </c>
      <c r="O436" s="12" t="s">
        <v>16</v>
      </c>
      <c r="P436" s="57" t="str">
        <f t="shared" si="18"/>
        <v>un fuste</v>
      </c>
      <c r="Q436">
        <f t="shared" si="19"/>
        <v>10</v>
      </c>
      <c r="R436">
        <f t="shared" si="20"/>
        <v>10</v>
      </c>
      <c r="S436">
        <v>12</v>
      </c>
      <c r="T436" t="s">
        <v>276</v>
      </c>
      <c r="U436">
        <v>5.4591135202470997E-2</v>
      </c>
    </row>
    <row r="437" spans="1:21" x14ac:dyDescent="0.25">
      <c r="A437" s="7">
        <v>7</v>
      </c>
      <c r="B437" s="7">
        <v>500</v>
      </c>
      <c r="C437" s="7">
        <v>2</v>
      </c>
      <c r="D437" s="8">
        <v>10</v>
      </c>
      <c r="E437" s="7">
        <v>13</v>
      </c>
      <c r="F437" s="9" t="s">
        <v>30</v>
      </c>
      <c r="G437" s="10" t="s">
        <v>31</v>
      </c>
      <c r="H437" s="11" t="s">
        <v>32</v>
      </c>
      <c r="I437" s="7">
        <v>34</v>
      </c>
      <c r="J437" s="15">
        <v>10.822536130248883</v>
      </c>
      <c r="K437" s="7">
        <v>9</v>
      </c>
      <c r="L437" s="7">
        <v>11</v>
      </c>
      <c r="M437" s="7"/>
      <c r="N437" s="12" t="s">
        <v>20</v>
      </c>
      <c r="O437" s="12" t="s">
        <v>16</v>
      </c>
      <c r="P437" s="57" t="str">
        <f t="shared" si="18"/>
        <v>un fuste</v>
      </c>
      <c r="Q437">
        <f t="shared" si="19"/>
        <v>10</v>
      </c>
      <c r="R437">
        <f t="shared" si="20"/>
        <v>10</v>
      </c>
      <c r="S437">
        <v>12</v>
      </c>
      <c r="T437" t="s">
        <v>276</v>
      </c>
      <c r="U437">
        <v>6.3430923605390391E-2</v>
      </c>
    </row>
    <row r="438" spans="1:21" x14ac:dyDescent="0.25">
      <c r="A438" s="7">
        <v>8</v>
      </c>
      <c r="B438" s="7">
        <v>500</v>
      </c>
      <c r="C438" s="8">
        <v>1</v>
      </c>
      <c r="D438" s="7">
        <v>12</v>
      </c>
      <c r="E438" s="7">
        <v>13</v>
      </c>
      <c r="F438" s="9" t="s">
        <v>30</v>
      </c>
      <c r="G438" s="10" t="s">
        <v>31</v>
      </c>
      <c r="H438" s="11" t="s">
        <v>32</v>
      </c>
      <c r="I438" s="7">
        <v>33</v>
      </c>
      <c r="J438" s="15">
        <v>10.504226244065093</v>
      </c>
      <c r="K438" s="7">
        <v>6</v>
      </c>
      <c r="L438" s="7">
        <v>8</v>
      </c>
      <c r="M438" s="7"/>
      <c r="N438" s="12" t="s">
        <v>20</v>
      </c>
      <c r="O438" s="12" t="s">
        <v>16</v>
      </c>
      <c r="P438" s="57" t="str">
        <f t="shared" si="18"/>
        <v>un fuste</v>
      </c>
      <c r="Q438">
        <f t="shared" si="19"/>
        <v>7.5</v>
      </c>
      <c r="R438">
        <f t="shared" si="20"/>
        <v>10</v>
      </c>
      <c r="S438">
        <v>12</v>
      </c>
      <c r="T438" t="s">
        <v>276</v>
      </c>
      <c r="U438">
        <v>4.3880391105574526E-2</v>
      </c>
    </row>
    <row r="439" spans="1:21" x14ac:dyDescent="0.25">
      <c r="A439" s="7">
        <v>2</v>
      </c>
      <c r="B439" s="7">
        <v>500</v>
      </c>
      <c r="C439" s="8">
        <v>1</v>
      </c>
      <c r="D439" s="8">
        <v>14</v>
      </c>
      <c r="E439" s="8">
        <v>14</v>
      </c>
      <c r="F439" s="9" t="s">
        <v>30</v>
      </c>
      <c r="G439" s="10" t="s">
        <v>31</v>
      </c>
      <c r="H439" s="11" t="s">
        <v>32</v>
      </c>
      <c r="I439" s="7">
        <v>33</v>
      </c>
      <c r="J439" s="15">
        <v>10.504226244065093</v>
      </c>
      <c r="K439" s="7">
        <v>10</v>
      </c>
      <c r="L439" s="7">
        <v>14</v>
      </c>
      <c r="M439" s="7"/>
      <c r="N439" s="12" t="s">
        <v>20</v>
      </c>
      <c r="O439" s="12" t="s">
        <v>16</v>
      </c>
      <c r="P439" s="57" t="str">
        <f t="shared" si="18"/>
        <v>un fuste</v>
      </c>
      <c r="Q439">
        <f t="shared" si="19"/>
        <v>15</v>
      </c>
      <c r="R439">
        <f t="shared" si="20"/>
        <v>10</v>
      </c>
      <c r="S439">
        <v>12</v>
      </c>
      <c r="T439" t="s">
        <v>276</v>
      </c>
      <c r="U439">
        <v>7.5883331327001868E-2</v>
      </c>
    </row>
    <row r="440" spans="1:21" x14ac:dyDescent="0.25">
      <c r="A440" s="7">
        <v>6</v>
      </c>
      <c r="B440" s="7">
        <v>500</v>
      </c>
      <c r="C440" s="8">
        <v>4</v>
      </c>
      <c r="D440" s="8">
        <v>13</v>
      </c>
      <c r="E440" s="8">
        <v>14</v>
      </c>
      <c r="F440" s="9" t="s">
        <v>30</v>
      </c>
      <c r="G440" s="10" t="s">
        <v>31</v>
      </c>
      <c r="H440" s="11" t="s">
        <v>32</v>
      </c>
      <c r="I440" s="7">
        <v>35</v>
      </c>
      <c r="J440" s="15">
        <v>11.140846016432674</v>
      </c>
      <c r="K440" s="7">
        <v>4</v>
      </c>
      <c r="L440" s="7">
        <v>9</v>
      </c>
      <c r="M440" s="7"/>
      <c r="N440" s="12" t="s">
        <v>20</v>
      </c>
      <c r="O440" s="12" t="s">
        <v>16</v>
      </c>
      <c r="P440" s="57" t="str">
        <f t="shared" si="18"/>
        <v>un fuste</v>
      </c>
      <c r="Q440">
        <f t="shared" si="19"/>
        <v>10</v>
      </c>
      <c r="R440">
        <f t="shared" si="20"/>
        <v>10</v>
      </c>
      <c r="S440">
        <v>12</v>
      </c>
      <c r="T440" t="s">
        <v>276</v>
      </c>
      <c r="U440">
        <v>5.5074720890145645E-2</v>
      </c>
    </row>
    <row r="441" spans="1:21" x14ac:dyDescent="0.25">
      <c r="A441" s="7">
        <v>10</v>
      </c>
      <c r="B441" s="7">
        <v>500</v>
      </c>
      <c r="C441" s="8">
        <v>4</v>
      </c>
      <c r="D441" s="8">
        <v>14</v>
      </c>
      <c r="E441" s="8">
        <v>14</v>
      </c>
      <c r="F441" s="9" t="s">
        <v>30</v>
      </c>
      <c r="G441" s="13" t="s">
        <v>31</v>
      </c>
      <c r="H441" s="11" t="s">
        <v>32</v>
      </c>
      <c r="I441" s="8">
        <v>33</v>
      </c>
      <c r="J441" s="15">
        <v>10.504226244065093</v>
      </c>
      <c r="K441" s="8">
        <v>6</v>
      </c>
      <c r="L441" s="8">
        <v>9</v>
      </c>
      <c r="M441" s="7"/>
      <c r="N441" s="12" t="s">
        <v>20</v>
      </c>
      <c r="O441" s="12" t="s">
        <v>16</v>
      </c>
      <c r="P441" s="57" t="str">
        <f t="shared" si="18"/>
        <v>un fuste</v>
      </c>
      <c r="Q441">
        <f t="shared" si="19"/>
        <v>10</v>
      </c>
      <c r="R441">
        <f t="shared" si="20"/>
        <v>10</v>
      </c>
      <c r="S441">
        <v>12</v>
      </c>
      <c r="T441" t="s">
        <v>276</v>
      </c>
      <c r="U441">
        <v>4.9242095723669325E-2</v>
      </c>
    </row>
    <row r="442" spans="1:21" x14ac:dyDescent="0.25">
      <c r="A442" s="7">
        <v>10</v>
      </c>
      <c r="B442" s="7">
        <v>100</v>
      </c>
      <c r="C442" s="8">
        <v>1</v>
      </c>
      <c r="D442" s="8">
        <v>14</v>
      </c>
      <c r="E442" s="8">
        <v>14</v>
      </c>
      <c r="F442" s="9" t="s">
        <v>30</v>
      </c>
      <c r="G442" s="10" t="s">
        <v>31</v>
      </c>
      <c r="H442" s="11" t="s">
        <v>32</v>
      </c>
      <c r="I442" s="7">
        <v>24.5</v>
      </c>
      <c r="J442" s="15">
        <v>7.7985922115028714</v>
      </c>
      <c r="K442" s="7">
        <v>4</v>
      </c>
      <c r="L442" s="7">
        <v>10</v>
      </c>
      <c r="M442" s="7"/>
      <c r="N442" s="12" t="s">
        <v>20</v>
      </c>
      <c r="O442" s="12" t="s">
        <v>16</v>
      </c>
      <c r="P442" s="57" t="str">
        <f t="shared" si="18"/>
        <v>un fuste</v>
      </c>
      <c r="Q442">
        <f t="shared" si="19"/>
        <v>10</v>
      </c>
      <c r="R442">
        <f t="shared" si="20"/>
        <v>10</v>
      </c>
    </row>
    <row r="443" spans="1:21" x14ac:dyDescent="0.25">
      <c r="A443" s="7">
        <v>2</v>
      </c>
      <c r="B443" s="7">
        <v>500</v>
      </c>
      <c r="C443" s="7">
        <v>1</v>
      </c>
      <c r="D443" s="8">
        <v>15</v>
      </c>
      <c r="E443" s="7">
        <v>15</v>
      </c>
      <c r="F443" s="9" t="s">
        <v>30</v>
      </c>
      <c r="G443" s="13" t="s">
        <v>31</v>
      </c>
      <c r="H443" s="11" t="s">
        <v>32</v>
      </c>
      <c r="I443" s="7">
        <v>40</v>
      </c>
      <c r="J443" s="15">
        <v>12.732395447351628</v>
      </c>
      <c r="K443" s="7">
        <v>7</v>
      </c>
      <c r="L443" s="7">
        <v>12</v>
      </c>
      <c r="M443" s="7"/>
      <c r="N443" s="12" t="s">
        <v>20</v>
      </c>
      <c r="O443" s="12" t="s">
        <v>16</v>
      </c>
      <c r="P443" s="57" t="str">
        <f t="shared" si="18"/>
        <v>un fuste</v>
      </c>
      <c r="Q443">
        <f t="shared" si="19"/>
        <v>12.5</v>
      </c>
      <c r="R443">
        <f t="shared" si="20"/>
        <v>15</v>
      </c>
      <c r="S443">
        <v>12</v>
      </c>
      <c r="T443" t="s">
        <v>276</v>
      </c>
      <c r="U443">
        <v>9.4094654617910181E-2</v>
      </c>
    </row>
    <row r="444" spans="1:21" x14ac:dyDescent="0.25">
      <c r="A444" s="7">
        <v>6</v>
      </c>
      <c r="B444" s="7">
        <v>500</v>
      </c>
      <c r="C444" s="7">
        <v>4</v>
      </c>
      <c r="D444" s="8">
        <v>14</v>
      </c>
      <c r="E444" s="7">
        <v>15</v>
      </c>
      <c r="F444" s="9" t="s">
        <v>30</v>
      </c>
      <c r="G444" s="13" t="s">
        <v>31</v>
      </c>
      <c r="H444" s="11" t="s">
        <v>32</v>
      </c>
      <c r="I444" s="7">
        <v>34</v>
      </c>
      <c r="J444" s="15">
        <v>10.822536130248883</v>
      </c>
      <c r="K444" s="7">
        <v>4.5</v>
      </c>
      <c r="L444" s="7">
        <v>8</v>
      </c>
      <c r="M444" s="7"/>
      <c r="N444" s="12" t="s">
        <v>20</v>
      </c>
      <c r="O444" s="12" t="s">
        <v>16</v>
      </c>
      <c r="P444" s="57" t="str">
        <f t="shared" si="18"/>
        <v>un fuste</v>
      </c>
      <c r="Q444">
        <f t="shared" si="19"/>
        <v>7.5</v>
      </c>
      <c r="R444">
        <f t="shared" si="20"/>
        <v>10</v>
      </c>
      <c r="S444">
        <v>12</v>
      </c>
      <c r="T444" t="s">
        <v>276</v>
      </c>
      <c r="U444">
        <v>4.6444671844469917E-2</v>
      </c>
    </row>
    <row r="445" spans="1:21" x14ac:dyDescent="0.25">
      <c r="A445" s="7">
        <v>10</v>
      </c>
      <c r="B445" s="7">
        <v>500</v>
      </c>
      <c r="C445" s="7">
        <v>4</v>
      </c>
      <c r="D445" s="8">
        <v>15</v>
      </c>
      <c r="E445" s="7">
        <v>15</v>
      </c>
      <c r="F445" s="9" t="s">
        <v>30</v>
      </c>
      <c r="G445" s="10" t="s">
        <v>31</v>
      </c>
      <c r="H445" s="11" t="s">
        <v>32</v>
      </c>
      <c r="I445" s="7">
        <v>37.5</v>
      </c>
      <c r="J445" s="15">
        <v>11.93662073189215</v>
      </c>
      <c r="K445" s="7">
        <v>4</v>
      </c>
      <c r="L445" s="7">
        <v>9</v>
      </c>
      <c r="M445" s="7"/>
      <c r="N445" s="12" t="s">
        <v>20</v>
      </c>
      <c r="O445" s="12" t="s">
        <v>16</v>
      </c>
      <c r="P445" s="57" t="str">
        <f t="shared" si="18"/>
        <v>un fuste</v>
      </c>
      <c r="Q445">
        <f t="shared" si="19"/>
        <v>10</v>
      </c>
      <c r="R445">
        <f t="shared" si="20"/>
        <v>10</v>
      </c>
      <c r="S445">
        <v>12</v>
      </c>
      <c r="T445" t="s">
        <v>276</v>
      </c>
      <c r="U445">
        <v>6.2799512726288143E-2</v>
      </c>
    </row>
    <row r="446" spans="1:21" x14ac:dyDescent="0.25">
      <c r="A446" s="7">
        <v>3</v>
      </c>
      <c r="B446" s="7">
        <v>100</v>
      </c>
      <c r="C446" s="7">
        <v>4</v>
      </c>
      <c r="D446" s="8">
        <v>15</v>
      </c>
      <c r="E446" s="7">
        <v>15</v>
      </c>
      <c r="F446" s="9" t="s">
        <v>30</v>
      </c>
      <c r="G446" s="13" t="s">
        <v>31</v>
      </c>
      <c r="H446" s="11" t="s">
        <v>32</v>
      </c>
      <c r="I446" s="7">
        <v>25.5</v>
      </c>
      <c r="J446" s="15">
        <v>8.1169020976866619</v>
      </c>
      <c r="K446" s="7">
        <v>5.5</v>
      </c>
      <c r="L446" s="7">
        <v>7</v>
      </c>
      <c r="M446" s="7"/>
      <c r="N446" s="12" t="s">
        <v>20</v>
      </c>
      <c r="O446" s="12" t="s">
        <v>16</v>
      </c>
      <c r="P446" s="57" t="str">
        <f t="shared" si="18"/>
        <v>un fuste</v>
      </c>
      <c r="Q446">
        <f t="shared" si="19"/>
        <v>7.5</v>
      </c>
      <c r="R446">
        <f t="shared" si="20"/>
        <v>10</v>
      </c>
    </row>
    <row r="447" spans="1:21" x14ac:dyDescent="0.25">
      <c r="A447" s="7">
        <v>8</v>
      </c>
      <c r="B447" s="7">
        <v>100</v>
      </c>
      <c r="C447" s="8">
        <v>2</v>
      </c>
      <c r="D447" s="8">
        <v>15</v>
      </c>
      <c r="E447" s="8">
        <v>15</v>
      </c>
      <c r="F447" s="9" t="s">
        <v>30</v>
      </c>
      <c r="G447" s="13" t="s">
        <v>31</v>
      </c>
      <c r="H447" s="14" t="s">
        <v>32</v>
      </c>
      <c r="I447" s="7">
        <v>24</v>
      </c>
      <c r="J447" s="15">
        <v>7.6394372684109761</v>
      </c>
      <c r="K447" s="7">
        <v>6</v>
      </c>
      <c r="L447" s="7">
        <v>9</v>
      </c>
      <c r="M447" s="7"/>
      <c r="N447" s="12" t="s">
        <v>20</v>
      </c>
      <c r="O447" s="12" t="s">
        <v>16</v>
      </c>
      <c r="P447" s="57" t="str">
        <f t="shared" si="18"/>
        <v>un fuste</v>
      </c>
      <c r="Q447">
        <f t="shared" si="19"/>
        <v>10</v>
      </c>
      <c r="R447">
        <f t="shared" si="20"/>
        <v>10</v>
      </c>
    </row>
    <row r="448" spans="1:21" x14ac:dyDescent="0.25">
      <c r="A448" s="7">
        <v>9</v>
      </c>
      <c r="B448" s="7">
        <v>100</v>
      </c>
      <c r="C448" s="8">
        <v>2</v>
      </c>
      <c r="D448" s="8">
        <v>15</v>
      </c>
      <c r="E448" s="8">
        <v>15</v>
      </c>
      <c r="F448" s="9" t="s">
        <v>30</v>
      </c>
      <c r="G448" s="13" t="s">
        <v>31</v>
      </c>
      <c r="H448" s="11" t="s">
        <v>32</v>
      </c>
      <c r="I448" s="7">
        <v>23</v>
      </c>
      <c r="J448" s="15">
        <v>7.3211273822271856</v>
      </c>
      <c r="K448" s="7">
        <v>7</v>
      </c>
      <c r="L448" s="8">
        <v>11</v>
      </c>
      <c r="M448" s="7"/>
      <c r="N448" s="12" t="s">
        <v>20</v>
      </c>
      <c r="O448" s="12" t="s">
        <v>16</v>
      </c>
      <c r="P448" s="57" t="str">
        <f t="shared" si="18"/>
        <v>un fuste</v>
      </c>
      <c r="Q448">
        <f t="shared" si="19"/>
        <v>10</v>
      </c>
      <c r="R448">
        <f t="shared" si="20"/>
        <v>5</v>
      </c>
    </row>
    <row r="449" spans="1:21" x14ac:dyDescent="0.25">
      <c r="A449" s="7">
        <v>3</v>
      </c>
      <c r="B449" s="7">
        <v>500</v>
      </c>
      <c r="C449" s="7">
        <v>1</v>
      </c>
      <c r="D449" s="8">
        <v>16</v>
      </c>
      <c r="E449" s="8">
        <v>16</v>
      </c>
      <c r="F449" s="9" t="s">
        <v>30</v>
      </c>
      <c r="G449" s="13" t="s">
        <v>31</v>
      </c>
      <c r="H449" s="14" t="s">
        <v>32</v>
      </c>
      <c r="I449" s="7">
        <v>31.5</v>
      </c>
      <c r="J449" s="15">
        <v>10.026761414789407</v>
      </c>
      <c r="K449" s="7">
        <v>6</v>
      </c>
      <c r="L449" s="7">
        <v>12</v>
      </c>
      <c r="M449" s="7"/>
      <c r="N449" s="12" t="s">
        <v>20</v>
      </c>
      <c r="O449" s="12" t="s">
        <v>16</v>
      </c>
      <c r="P449" s="57" t="str">
        <f t="shared" si="18"/>
        <v>un fuste</v>
      </c>
      <c r="Q449">
        <f t="shared" si="19"/>
        <v>12.5</v>
      </c>
      <c r="R449">
        <f t="shared" si="20"/>
        <v>10</v>
      </c>
      <c r="S449">
        <v>12</v>
      </c>
      <c r="T449" t="s">
        <v>276</v>
      </c>
      <c r="U449">
        <v>5.9729011815020175E-2</v>
      </c>
    </row>
    <row r="450" spans="1:21" x14ac:dyDescent="0.25">
      <c r="A450" s="7">
        <v>6</v>
      </c>
      <c r="B450" s="7">
        <v>500</v>
      </c>
      <c r="C450" s="7">
        <v>4</v>
      </c>
      <c r="D450" s="8">
        <v>15</v>
      </c>
      <c r="E450" s="7">
        <v>16</v>
      </c>
      <c r="F450" s="9" t="s">
        <v>30</v>
      </c>
      <c r="G450" s="13" t="s">
        <v>31</v>
      </c>
      <c r="H450" s="11" t="s">
        <v>32</v>
      </c>
      <c r="I450" s="7">
        <v>31.5</v>
      </c>
      <c r="J450" s="15">
        <v>10.026761414789407</v>
      </c>
      <c r="K450" s="7">
        <v>5</v>
      </c>
      <c r="L450" s="7">
        <v>10</v>
      </c>
      <c r="M450" s="7"/>
      <c r="N450" s="12" t="s">
        <v>20</v>
      </c>
      <c r="O450" s="12" t="s">
        <v>16</v>
      </c>
      <c r="P450" s="57" t="str">
        <f t="shared" si="18"/>
        <v>un fuste</v>
      </c>
      <c r="Q450">
        <f t="shared" si="19"/>
        <v>10</v>
      </c>
      <c r="R450">
        <f t="shared" si="20"/>
        <v>10</v>
      </c>
      <c r="S450">
        <v>12</v>
      </c>
      <c r="T450" t="s">
        <v>276</v>
      </c>
      <c r="U450">
        <v>4.9967302019340111E-2</v>
      </c>
    </row>
    <row r="451" spans="1:21" x14ac:dyDescent="0.25">
      <c r="A451" s="7">
        <v>10</v>
      </c>
      <c r="B451" s="7">
        <v>100</v>
      </c>
      <c r="C451" s="7">
        <v>2</v>
      </c>
      <c r="D451" s="8">
        <v>16</v>
      </c>
      <c r="E451" s="8">
        <v>16</v>
      </c>
      <c r="F451" s="17" t="s">
        <v>30</v>
      </c>
      <c r="G451" s="13" t="s">
        <v>31</v>
      </c>
      <c r="H451" s="11" t="s">
        <v>32</v>
      </c>
      <c r="I451" s="7">
        <v>18</v>
      </c>
      <c r="J451" s="15">
        <v>5.7295779513082321</v>
      </c>
      <c r="K451" s="7">
        <v>6</v>
      </c>
      <c r="L451" s="7">
        <v>6.5</v>
      </c>
      <c r="M451" s="7"/>
      <c r="N451" s="12" t="s">
        <v>20</v>
      </c>
      <c r="O451" s="12" t="s">
        <v>16</v>
      </c>
      <c r="P451" s="57" t="str">
        <f t="shared" ref="P451:P514" si="21">IF((D451/D451)=1,"un fuste","bifurcado")</f>
        <v>un fuste</v>
      </c>
      <c r="Q451">
        <f t="shared" ref="Q451:Q514" si="22">IF(L451&lt;3.75,2.5,IF(L451&lt;6.25,5,IF(L451&lt;8.74,7.5,IF(L451&lt;11.24,10,IF(L451&lt;13.75,12.5,IF(L451&lt;16.25,15,IF(L451&lt;18.75,17.5,IF(L451&lt;21.25,20,IF(L451&lt;23.75,22.5,IF(L451&lt;26.25,25,IF(L451&lt;28.75,27.5,IF(L451&lt;31.25,30,IF(L451&lt;33.75,32.5,IF(L451&lt;36.25,35,IF(L451&lt;38.75,37.5,IF(L451&lt;41.24,40,IF(L451&lt;43.75,42.5,IF(L451&lt;46.25,45," "))))))))))))))))))</f>
        <v>7.5</v>
      </c>
      <c r="R451">
        <f t="shared" ref="R451:R514" si="23">IF(J451&lt;7.5,5,IF(J451&lt;12.5,10,IF(J451&lt;17.5,15,IF(J451&lt;22.5,20,IF(J451&lt;27.5,25,IF(J451&lt;32.5,30,IF(J451&lt;37.5,35,IF(J451&lt;42.5,40,IF(J451&lt;47.5,45,IF(J451&lt;52.5,50,IF(J451&lt;57.5,55,0)))))))))))</f>
        <v>5</v>
      </c>
    </row>
    <row r="452" spans="1:21" x14ac:dyDescent="0.25">
      <c r="A452" s="7">
        <v>11</v>
      </c>
      <c r="B452" s="7">
        <v>100</v>
      </c>
      <c r="C452" s="8">
        <v>2</v>
      </c>
      <c r="D452" s="8">
        <v>16</v>
      </c>
      <c r="E452" s="8">
        <v>16</v>
      </c>
      <c r="F452" s="9" t="s">
        <v>30</v>
      </c>
      <c r="G452" s="10" t="s">
        <v>31</v>
      </c>
      <c r="H452" s="11" t="s">
        <v>32</v>
      </c>
      <c r="I452" s="7">
        <v>20</v>
      </c>
      <c r="J452" s="15">
        <v>6.366197723675814</v>
      </c>
      <c r="K452" s="7">
        <v>6.5</v>
      </c>
      <c r="L452" s="8">
        <v>8</v>
      </c>
      <c r="M452" s="7"/>
      <c r="N452" s="12" t="s">
        <v>20</v>
      </c>
      <c r="O452" s="12" t="s">
        <v>16</v>
      </c>
      <c r="P452" s="57" t="str">
        <f t="shared" si="21"/>
        <v>un fuste</v>
      </c>
      <c r="Q452">
        <f t="shared" si="22"/>
        <v>7.5</v>
      </c>
      <c r="R452">
        <f t="shared" si="23"/>
        <v>5</v>
      </c>
    </row>
    <row r="453" spans="1:21" x14ac:dyDescent="0.25">
      <c r="A453" s="7">
        <v>9</v>
      </c>
      <c r="B453" s="7">
        <v>500</v>
      </c>
      <c r="C453" s="7">
        <v>4</v>
      </c>
      <c r="D453" s="8">
        <v>17</v>
      </c>
      <c r="E453" s="8">
        <v>17</v>
      </c>
      <c r="F453" s="9" t="s">
        <v>30</v>
      </c>
      <c r="G453" s="13" t="s">
        <v>31</v>
      </c>
      <c r="H453" s="11" t="s">
        <v>32</v>
      </c>
      <c r="I453" s="7">
        <v>31.5</v>
      </c>
      <c r="J453" s="15">
        <v>10.026761414789407</v>
      </c>
      <c r="K453" s="7">
        <v>5.5</v>
      </c>
      <c r="L453" s="7">
        <v>9</v>
      </c>
      <c r="M453" s="7"/>
      <c r="N453" s="12" t="s">
        <v>20</v>
      </c>
      <c r="O453" s="12" t="s">
        <v>16</v>
      </c>
      <c r="P453" s="57" t="str">
        <f t="shared" si="21"/>
        <v>un fuste</v>
      </c>
      <c r="Q453">
        <f t="shared" si="22"/>
        <v>10</v>
      </c>
      <c r="R453">
        <f t="shared" si="23"/>
        <v>10</v>
      </c>
      <c r="S453">
        <v>12</v>
      </c>
      <c r="T453" t="s">
        <v>276</v>
      </c>
      <c r="U453">
        <v>4.50713226600657E-2</v>
      </c>
    </row>
    <row r="454" spans="1:21" x14ac:dyDescent="0.25">
      <c r="A454" s="7">
        <v>9</v>
      </c>
      <c r="B454" s="7">
        <v>100</v>
      </c>
      <c r="C454" s="8">
        <v>2</v>
      </c>
      <c r="D454" s="8">
        <v>17</v>
      </c>
      <c r="E454" s="8">
        <v>17</v>
      </c>
      <c r="F454" s="9" t="s">
        <v>30</v>
      </c>
      <c r="G454" s="13" t="s">
        <v>31</v>
      </c>
      <c r="H454" s="11" t="s">
        <v>32</v>
      </c>
      <c r="I454" s="7">
        <v>26</v>
      </c>
      <c r="J454" s="15">
        <v>8.2760570407785572</v>
      </c>
      <c r="K454" s="7">
        <v>4.5</v>
      </c>
      <c r="L454" s="7">
        <v>9</v>
      </c>
      <c r="M454" s="7"/>
      <c r="N454" s="12" t="s">
        <v>20</v>
      </c>
      <c r="O454" s="12" t="s">
        <v>16</v>
      </c>
      <c r="P454" s="57" t="str">
        <f t="shared" si="21"/>
        <v>un fuste</v>
      </c>
      <c r="Q454">
        <f t="shared" si="22"/>
        <v>10</v>
      </c>
      <c r="R454">
        <f t="shared" si="23"/>
        <v>10</v>
      </c>
    </row>
    <row r="455" spans="1:21" x14ac:dyDescent="0.25">
      <c r="A455" s="7">
        <v>11</v>
      </c>
      <c r="B455" s="7">
        <v>100</v>
      </c>
      <c r="C455" s="8">
        <v>2</v>
      </c>
      <c r="D455" s="8">
        <v>18</v>
      </c>
      <c r="E455" s="8">
        <v>18</v>
      </c>
      <c r="F455" s="9" t="s">
        <v>30</v>
      </c>
      <c r="G455" s="10" t="s">
        <v>31</v>
      </c>
      <c r="H455" s="11" t="s">
        <v>32</v>
      </c>
      <c r="I455" s="7">
        <v>19</v>
      </c>
      <c r="J455" s="15">
        <v>6.0478878374920226</v>
      </c>
      <c r="K455" s="7">
        <v>7</v>
      </c>
      <c r="L455" s="8">
        <v>10</v>
      </c>
      <c r="M455" s="7"/>
      <c r="N455" s="12" t="s">
        <v>20</v>
      </c>
      <c r="O455" s="12" t="s">
        <v>16</v>
      </c>
      <c r="P455" s="57" t="str">
        <f t="shared" si="21"/>
        <v>un fuste</v>
      </c>
      <c r="Q455">
        <f t="shared" si="22"/>
        <v>10</v>
      </c>
      <c r="R455">
        <f t="shared" si="23"/>
        <v>5</v>
      </c>
    </row>
    <row r="456" spans="1:21" x14ac:dyDescent="0.25">
      <c r="A456" s="7">
        <v>6</v>
      </c>
      <c r="B456" s="7">
        <v>100</v>
      </c>
      <c r="C456" s="7">
        <v>3</v>
      </c>
      <c r="D456" s="8">
        <v>16</v>
      </c>
      <c r="E456" s="7">
        <v>19</v>
      </c>
      <c r="F456" s="9" t="s">
        <v>30</v>
      </c>
      <c r="G456" s="10" t="s">
        <v>31</v>
      </c>
      <c r="H456" s="11" t="s">
        <v>32</v>
      </c>
      <c r="I456" s="7">
        <v>21</v>
      </c>
      <c r="J456" s="15">
        <v>6.6845076098596046</v>
      </c>
      <c r="K456" s="7">
        <v>6</v>
      </c>
      <c r="L456" s="7">
        <v>9</v>
      </c>
      <c r="M456" s="7"/>
      <c r="N456" s="12" t="s">
        <v>20</v>
      </c>
      <c r="O456" s="12" t="s">
        <v>16</v>
      </c>
      <c r="P456" s="57" t="str">
        <f t="shared" si="21"/>
        <v>un fuste</v>
      </c>
      <c r="Q456">
        <f t="shared" si="22"/>
        <v>10</v>
      </c>
      <c r="R456">
        <f t="shared" si="23"/>
        <v>5</v>
      </c>
    </row>
    <row r="457" spans="1:21" x14ac:dyDescent="0.25">
      <c r="A457" s="7">
        <v>10</v>
      </c>
      <c r="B457" s="7">
        <v>100</v>
      </c>
      <c r="C457" s="7">
        <v>2</v>
      </c>
      <c r="D457" s="8">
        <v>19</v>
      </c>
      <c r="E457" s="8">
        <v>19</v>
      </c>
      <c r="F457" s="9" t="s">
        <v>30</v>
      </c>
      <c r="G457" s="13" t="s">
        <v>31</v>
      </c>
      <c r="H457" s="14" t="s">
        <v>32</v>
      </c>
      <c r="I457" s="7">
        <v>19</v>
      </c>
      <c r="J457" s="15">
        <v>6.0478878374920226</v>
      </c>
      <c r="K457" s="7">
        <v>5</v>
      </c>
      <c r="L457" s="7">
        <v>7</v>
      </c>
      <c r="M457" s="7"/>
      <c r="N457" s="12" t="s">
        <v>20</v>
      </c>
      <c r="O457" s="12" t="s">
        <v>16</v>
      </c>
      <c r="P457" s="57" t="str">
        <f t="shared" si="21"/>
        <v>un fuste</v>
      </c>
      <c r="Q457">
        <f t="shared" si="22"/>
        <v>7.5</v>
      </c>
      <c r="R457">
        <f t="shared" si="23"/>
        <v>5</v>
      </c>
    </row>
    <row r="458" spans="1:21" x14ac:dyDescent="0.25">
      <c r="A458" s="7">
        <v>11</v>
      </c>
      <c r="B458" s="7">
        <v>100</v>
      </c>
      <c r="C458" s="8">
        <v>3</v>
      </c>
      <c r="D458" s="8">
        <v>20</v>
      </c>
      <c r="E458" s="8">
        <v>20</v>
      </c>
      <c r="F458" s="17" t="s">
        <v>30</v>
      </c>
      <c r="G458" s="18" t="s">
        <v>31</v>
      </c>
      <c r="H458" s="11" t="s">
        <v>32</v>
      </c>
      <c r="I458" s="7">
        <v>17.5</v>
      </c>
      <c r="J458" s="15">
        <v>5.5704230082163368</v>
      </c>
      <c r="K458" s="7">
        <v>4.5</v>
      </c>
      <c r="L458" s="8">
        <v>8</v>
      </c>
      <c r="M458" s="7"/>
      <c r="N458" s="12" t="s">
        <v>20</v>
      </c>
      <c r="O458" s="12" t="s">
        <v>16</v>
      </c>
      <c r="P458" s="57" t="str">
        <f t="shared" si="21"/>
        <v>un fuste</v>
      </c>
      <c r="Q458">
        <f t="shared" si="22"/>
        <v>7.5</v>
      </c>
      <c r="R458">
        <f t="shared" si="23"/>
        <v>5</v>
      </c>
    </row>
    <row r="459" spans="1:21" x14ac:dyDescent="0.25">
      <c r="A459" s="7">
        <v>8</v>
      </c>
      <c r="B459" s="7">
        <v>500</v>
      </c>
      <c r="C459" s="8">
        <v>2</v>
      </c>
      <c r="D459" s="8">
        <v>19</v>
      </c>
      <c r="E459" s="8">
        <v>21</v>
      </c>
      <c r="F459" s="9" t="s">
        <v>30</v>
      </c>
      <c r="G459" s="10" t="s">
        <v>31</v>
      </c>
      <c r="H459" s="11" t="s">
        <v>32</v>
      </c>
      <c r="I459" s="7">
        <v>38.5</v>
      </c>
      <c r="J459" s="15">
        <v>12.254930618075941</v>
      </c>
      <c r="K459" s="7">
        <v>8</v>
      </c>
      <c r="L459" s="7">
        <v>14</v>
      </c>
      <c r="M459" s="7"/>
      <c r="N459" s="12" t="s">
        <v>20</v>
      </c>
      <c r="O459" s="12" t="s">
        <v>16</v>
      </c>
      <c r="P459" s="57" t="str">
        <f t="shared" si="21"/>
        <v>un fuste</v>
      </c>
      <c r="Q459">
        <f t="shared" si="22"/>
        <v>15</v>
      </c>
      <c r="R459">
        <f t="shared" si="23"/>
        <v>10</v>
      </c>
      <c r="S459">
        <v>12</v>
      </c>
      <c r="T459" t="s">
        <v>276</v>
      </c>
      <c r="U459">
        <v>0.10174434488340918</v>
      </c>
    </row>
    <row r="460" spans="1:21" x14ac:dyDescent="0.25">
      <c r="A460" s="7">
        <v>8</v>
      </c>
      <c r="B460" s="7">
        <v>100</v>
      </c>
      <c r="C460" s="8">
        <v>3</v>
      </c>
      <c r="D460" s="8">
        <v>21</v>
      </c>
      <c r="E460" s="8">
        <v>21</v>
      </c>
      <c r="F460" s="9" t="s">
        <v>30</v>
      </c>
      <c r="G460" s="13" t="s">
        <v>31</v>
      </c>
      <c r="H460" s="11" t="s">
        <v>32</v>
      </c>
      <c r="I460" s="7">
        <v>27</v>
      </c>
      <c r="J460" s="15">
        <v>8.5943669269623477</v>
      </c>
      <c r="K460" s="7">
        <v>7</v>
      </c>
      <c r="L460" s="7">
        <v>11</v>
      </c>
      <c r="M460" s="7"/>
      <c r="N460" s="12" t="s">
        <v>20</v>
      </c>
      <c r="O460" s="12" t="s">
        <v>16</v>
      </c>
      <c r="P460" s="57" t="str">
        <f t="shared" si="21"/>
        <v>un fuste</v>
      </c>
      <c r="Q460">
        <f t="shared" si="22"/>
        <v>10</v>
      </c>
      <c r="R460">
        <f t="shared" si="23"/>
        <v>10</v>
      </c>
    </row>
    <row r="461" spans="1:21" x14ac:dyDescent="0.25">
      <c r="A461" s="7">
        <v>11</v>
      </c>
      <c r="B461" s="7">
        <v>100</v>
      </c>
      <c r="C461" s="8">
        <v>3</v>
      </c>
      <c r="D461" s="8">
        <v>21</v>
      </c>
      <c r="E461" s="8">
        <v>21</v>
      </c>
      <c r="F461" s="9" t="s">
        <v>30</v>
      </c>
      <c r="G461" s="13" t="s">
        <v>31</v>
      </c>
      <c r="H461" s="11" t="s">
        <v>32</v>
      </c>
      <c r="I461" s="7">
        <v>16.5</v>
      </c>
      <c r="J461" s="15">
        <v>5.2521131220325463</v>
      </c>
      <c r="K461" s="7">
        <v>6</v>
      </c>
      <c r="L461" s="7">
        <v>9</v>
      </c>
      <c r="M461" s="7"/>
      <c r="N461" s="12" t="s">
        <v>20</v>
      </c>
      <c r="O461" s="12" t="s">
        <v>16</v>
      </c>
      <c r="P461" s="57" t="str">
        <f t="shared" si="21"/>
        <v>un fuste</v>
      </c>
      <c r="Q461">
        <f t="shared" si="22"/>
        <v>10</v>
      </c>
      <c r="R461">
        <f t="shared" si="23"/>
        <v>5</v>
      </c>
    </row>
    <row r="462" spans="1:21" x14ac:dyDescent="0.25">
      <c r="A462" s="7">
        <v>5</v>
      </c>
      <c r="B462" s="7">
        <v>100</v>
      </c>
      <c r="C462" s="8">
        <v>3</v>
      </c>
      <c r="D462" s="8">
        <v>21</v>
      </c>
      <c r="E462" s="8">
        <v>22</v>
      </c>
      <c r="F462" s="9" t="s">
        <v>30</v>
      </c>
      <c r="G462" s="10" t="s">
        <v>31</v>
      </c>
      <c r="H462" s="11" t="s">
        <v>32</v>
      </c>
      <c r="I462" s="8">
        <v>17</v>
      </c>
      <c r="J462" s="15">
        <v>5.4112680651244416</v>
      </c>
      <c r="K462" s="8">
        <v>4</v>
      </c>
      <c r="L462" s="8">
        <v>6</v>
      </c>
      <c r="M462" s="7"/>
      <c r="N462" s="12" t="s">
        <v>20</v>
      </c>
      <c r="O462" s="12" t="s">
        <v>16</v>
      </c>
      <c r="P462" s="57" t="str">
        <f t="shared" si="21"/>
        <v>un fuste</v>
      </c>
      <c r="Q462">
        <f t="shared" si="22"/>
        <v>5</v>
      </c>
      <c r="R462">
        <f t="shared" si="23"/>
        <v>5</v>
      </c>
    </row>
    <row r="463" spans="1:21" x14ac:dyDescent="0.25">
      <c r="A463" s="7">
        <v>10</v>
      </c>
      <c r="B463" s="7">
        <v>100</v>
      </c>
      <c r="C463" s="8">
        <v>2</v>
      </c>
      <c r="D463" s="8">
        <v>22</v>
      </c>
      <c r="E463" s="8">
        <v>22</v>
      </c>
      <c r="F463" s="9" t="s">
        <v>30</v>
      </c>
      <c r="G463" s="13" t="s">
        <v>31</v>
      </c>
      <c r="H463" s="11" t="s">
        <v>32</v>
      </c>
      <c r="I463" s="7">
        <v>18</v>
      </c>
      <c r="J463" s="15">
        <v>5.7295779513082321</v>
      </c>
      <c r="K463" s="7">
        <v>6</v>
      </c>
      <c r="L463" s="8">
        <v>9</v>
      </c>
      <c r="M463" s="7"/>
      <c r="N463" s="12" t="s">
        <v>20</v>
      </c>
      <c r="O463" s="12" t="s">
        <v>16</v>
      </c>
      <c r="P463" s="57" t="str">
        <f t="shared" si="21"/>
        <v>un fuste</v>
      </c>
      <c r="Q463">
        <f t="shared" si="22"/>
        <v>10</v>
      </c>
      <c r="R463">
        <f t="shared" si="23"/>
        <v>5</v>
      </c>
    </row>
    <row r="464" spans="1:21" x14ac:dyDescent="0.25">
      <c r="A464" s="7">
        <v>2</v>
      </c>
      <c r="B464" s="7">
        <v>500</v>
      </c>
      <c r="C464" s="8">
        <v>2</v>
      </c>
      <c r="D464" s="8">
        <v>22</v>
      </c>
      <c r="E464" s="8">
        <v>23</v>
      </c>
      <c r="F464" s="9" t="s">
        <v>30</v>
      </c>
      <c r="G464" s="13" t="s">
        <v>31</v>
      </c>
      <c r="H464" s="11" t="s">
        <v>32</v>
      </c>
      <c r="I464" s="8">
        <v>34</v>
      </c>
      <c r="J464" s="15">
        <v>10.822536130248883</v>
      </c>
      <c r="K464" s="8">
        <v>8</v>
      </c>
      <c r="L464" s="8">
        <v>12</v>
      </c>
      <c r="M464" s="7"/>
      <c r="N464" s="12" t="s">
        <v>20</v>
      </c>
      <c r="O464" s="12" t="s">
        <v>16</v>
      </c>
      <c r="P464" s="57" t="str">
        <f t="shared" si="21"/>
        <v>un fuste</v>
      </c>
      <c r="Q464">
        <f t="shared" si="22"/>
        <v>12.5</v>
      </c>
      <c r="R464">
        <f t="shared" si="23"/>
        <v>10</v>
      </c>
      <c r="S464">
        <v>12</v>
      </c>
      <c r="T464" t="s">
        <v>276</v>
      </c>
      <c r="U464">
        <v>6.9069603606235472E-2</v>
      </c>
    </row>
    <row r="465" spans="1:21" x14ac:dyDescent="0.25">
      <c r="A465" s="7">
        <v>5</v>
      </c>
      <c r="B465" s="7">
        <v>100</v>
      </c>
      <c r="C465" s="7">
        <v>4</v>
      </c>
      <c r="D465" s="7">
        <v>22</v>
      </c>
      <c r="E465" s="7">
        <v>23</v>
      </c>
      <c r="F465" s="9" t="s">
        <v>30</v>
      </c>
      <c r="G465" s="10" t="s">
        <v>31</v>
      </c>
      <c r="H465" s="11" t="s">
        <v>32</v>
      </c>
      <c r="I465" s="7">
        <v>30.5</v>
      </c>
      <c r="J465" s="15">
        <v>9.7084515286056163</v>
      </c>
      <c r="K465" s="7">
        <v>6</v>
      </c>
      <c r="L465" s="7">
        <v>11</v>
      </c>
      <c r="M465" s="7"/>
      <c r="N465" s="12" t="s">
        <v>20</v>
      </c>
      <c r="O465" s="12" t="s">
        <v>16</v>
      </c>
      <c r="P465" s="57" t="str">
        <f t="shared" si="21"/>
        <v>un fuste</v>
      </c>
      <c r="Q465">
        <f t="shared" si="22"/>
        <v>10</v>
      </c>
      <c r="R465">
        <f t="shared" si="23"/>
        <v>10</v>
      </c>
    </row>
    <row r="466" spans="1:21" x14ac:dyDescent="0.25">
      <c r="A466" s="7">
        <v>6</v>
      </c>
      <c r="B466" s="7">
        <v>100</v>
      </c>
      <c r="C466" s="8">
        <v>4</v>
      </c>
      <c r="D466" s="8">
        <v>21</v>
      </c>
      <c r="E466" s="8">
        <v>24</v>
      </c>
      <c r="F466" s="9" t="s">
        <v>30</v>
      </c>
      <c r="G466" s="10" t="s">
        <v>31</v>
      </c>
      <c r="H466" s="11" t="s">
        <v>32</v>
      </c>
      <c r="I466" s="8">
        <v>24</v>
      </c>
      <c r="J466" s="15">
        <v>7.6394372684109761</v>
      </c>
      <c r="K466" s="8">
        <v>5</v>
      </c>
      <c r="L466" s="8">
        <v>8</v>
      </c>
      <c r="M466" s="7"/>
      <c r="N466" s="12" t="s">
        <v>20</v>
      </c>
      <c r="O466" s="12" t="s">
        <v>16</v>
      </c>
      <c r="P466" s="57" t="str">
        <f t="shared" si="21"/>
        <v>un fuste</v>
      </c>
      <c r="Q466">
        <f t="shared" si="22"/>
        <v>7.5</v>
      </c>
      <c r="R466">
        <f t="shared" si="23"/>
        <v>10</v>
      </c>
    </row>
    <row r="467" spans="1:21" x14ac:dyDescent="0.25">
      <c r="A467" s="7">
        <v>11</v>
      </c>
      <c r="B467" s="7">
        <v>100</v>
      </c>
      <c r="C467" s="7">
        <v>3</v>
      </c>
      <c r="D467" s="8">
        <v>24</v>
      </c>
      <c r="E467" s="7">
        <v>24</v>
      </c>
      <c r="F467" s="9" t="s">
        <v>30</v>
      </c>
      <c r="G467" s="10" t="s">
        <v>31</v>
      </c>
      <c r="H467" s="11" t="s">
        <v>32</v>
      </c>
      <c r="I467" s="7">
        <v>25</v>
      </c>
      <c r="J467" s="15">
        <v>7.9577471545947667</v>
      </c>
      <c r="K467" s="7">
        <v>3</v>
      </c>
      <c r="L467" s="7">
        <v>7</v>
      </c>
      <c r="M467" s="7"/>
      <c r="N467" s="12" t="s">
        <v>20</v>
      </c>
      <c r="O467" s="12" t="s">
        <v>16</v>
      </c>
      <c r="P467" s="57" t="str">
        <f t="shared" si="21"/>
        <v>un fuste</v>
      </c>
      <c r="Q467">
        <f t="shared" si="22"/>
        <v>7.5</v>
      </c>
      <c r="R467">
        <f t="shared" si="23"/>
        <v>10</v>
      </c>
    </row>
    <row r="468" spans="1:21" x14ac:dyDescent="0.25">
      <c r="A468" s="7">
        <v>10</v>
      </c>
      <c r="B468" s="7">
        <v>100</v>
      </c>
      <c r="C468" s="7">
        <v>2</v>
      </c>
      <c r="D468" s="8">
        <v>25</v>
      </c>
      <c r="E468" s="7">
        <v>25</v>
      </c>
      <c r="F468" s="9" t="s">
        <v>30</v>
      </c>
      <c r="G468" s="13" t="s">
        <v>31</v>
      </c>
      <c r="H468" s="11" t="s">
        <v>32</v>
      </c>
      <c r="I468" s="7">
        <v>30</v>
      </c>
      <c r="J468" s="15">
        <v>9.5492965855137211</v>
      </c>
      <c r="K468" s="7">
        <v>3.5</v>
      </c>
      <c r="L468" s="7">
        <v>8.5</v>
      </c>
      <c r="M468" s="7"/>
      <c r="N468" s="12" t="s">
        <v>20</v>
      </c>
      <c r="O468" s="12" t="s">
        <v>16</v>
      </c>
      <c r="P468" s="57" t="str">
        <f t="shared" si="21"/>
        <v>un fuste</v>
      </c>
      <c r="Q468">
        <f t="shared" si="22"/>
        <v>7.5</v>
      </c>
      <c r="R468">
        <f t="shared" si="23"/>
        <v>10</v>
      </c>
    </row>
    <row r="469" spans="1:21" x14ac:dyDescent="0.25">
      <c r="A469" s="7">
        <v>2</v>
      </c>
      <c r="B469" s="7">
        <v>500</v>
      </c>
      <c r="C469" s="7">
        <v>2</v>
      </c>
      <c r="D469" s="8">
        <v>25</v>
      </c>
      <c r="E469" s="7">
        <v>26</v>
      </c>
      <c r="F469" s="9" t="s">
        <v>30</v>
      </c>
      <c r="G469" s="10" t="s">
        <v>31</v>
      </c>
      <c r="H469" s="11" t="s">
        <v>32</v>
      </c>
      <c r="I469" s="7">
        <v>33</v>
      </c>
      <c r="J469" s="15">
        <v>10.504226244065093</v>
      </c>
      <c r="K469" s="7">
        <v>4</v>
      </c>
      <c r="L469" s="7">
        <v>8</v>
      </c>
      <c r="M469" s="7"/>
      <c r="N469" s="12" t="s">
        <v>20</v>
      </c>
      <c r="O469" s="12" t="s">
        <v>39</v>
      </c>
      <c r="P469" s="57" t="str">
        <f t="shared" si="21"/>
        <v>un fuste</v>
      </c>
      <c r="Q469">
        <f t="shared" si="22"/>
        <v>7.5</v>
      </c>
      <c r="R469">
        <f t="shared" si="23"/>
        <v>10</v>
      </c>
      <c r="S469">
        <v>12</v>
      </c>
      <c r="T469" t="s">
        <v>276</v>
      </c>
      <c r="U469">
        <v>4.3880391105574526E-2</v>
      </c>
    </row>
    <row r="470" spans="1:21" x14ac:dyDescent="0.25">
      <c r="A470" s="7">
        <v>7</v>
      </c>
      <c r="B470" s="7">
        <v>500</v>
      </c>
      <c r="C470" s="8">
        <v>3</v>
      </c>
      <c r="D470" s="8">
        <v>23</v>
      </c>
      <c r="E470" s="8">
        <v>26</v>
      </c>
      <c r="F470" s="9" t="s">
        <v>30</v>
      </c>
      <c r="G470" s="10" t="s">
        <v>31</v>
      </c>
      <c r="H470" s="11" t="s">
        <v>32</v>
      </c>
      <c r="I470" s="7">
        <v>35.5</v>
      </c>
      <c r="J470" s="15">
        <v>11.300000959524569</v>
      </c>
      <c r="K470" s="7">
        <v>8</v>
      </c>
      <c r="L470" s="7">
        <v>12</v>
      </c>
      <c r="M470" s="7"/>
      <c r="N470" s="12" t="s">
        <v>20</v>
      </c>
      <c r="O470" s="12" t="s">
        <v>16</v>
      </c>
      <c r="P470" s="57" t="str">
        <f t="shared" si="21"/>
        <v>un fuste</v>
      </c>
      <c r="Q470">
        <f t="shared" si="22"/>
        <v>12.5</v>
      </c>
      <c r="R470">
        <f t="shared" si="23"/>
        <v>10</v>
      </c>
      <c r="S470">
        <v>12</v>
      </c>
      <c r="T470" t="s">
        <v>276</v>
      </c>
      <c r="U470">
        <v>7.4982013806505501E-2</v>
      </c>
    </row>
    <row r="471" spans="1:21" x14ac:dyDescent="0.25">
      <c r="A471" s="7">
        <v>5</v>
      </c>
      <c r="B471" s="7">
        <v>100</v>
      </c>
      <c r="C471" s="8">
        <v>4</v>
      </c>
      <c r="D471" s="7">
        <v>24</v>
      </c>
      <c r="E471" s="7">
        <v>26</v>
      </c>
      <c r="F471" s="9" t="s">
        <v>30</v>
      </c>
      <c r="G471" s="13" t="s">
        <v>31</v>
      </c>
      <c r="H471" s="11" t="s">
        <v>32</v>
      </c>
      <c r="I471" s="7">
        <v>23</v>
      </c>
      <c r="J471" s="15">
        <v>7.3211273822271856</v>
      </c>
      <c r="K471" s="7">
        <v>3</v>
      </c>
      <c r="L471" s="7">
        <v>9</v>
      </c>
      <c r="M471" s="7"/>
      <c r="N471" s="12" t="s">
        <v>20</v>
      </c>
      <c r="O471" s="12" t="s">
        <v>16</v>
      </c>
      <c r="P471" s="57" t="str">
        <f t="shared" si="21"/>
        <v>un fuste</v>
      </c>
      <c r="Q471">
        <f t="shared" si="22"/>
        <v>10</v>
      </c>
      <c r="R471">
        <f t="shared" si="23"/>
        <v>5</v>
      </c>
    </row>
    <row r="472" spans="1:21" x14ac:dyDescent="0.25">
      <c r="A472" s="7">
        <v>10</v>
      </c>
      <c r="B472" s="7">
        <v>100</v>
      </c>
      <c r="C472" s="8">
        <v>2</v>
      </c>
      <c r="D472" s="8">
        <v>26</v>
      </c>
      <c r="E472" s="8">
        <v>26</v>
      </c>
      <c r="F472" s="9" t="s">
        <v>30</v>
      </c>
      <c r="G472" s="10" t="s">
        <v>31</v>
      </c>
      <c r="H472" s="11" t="s">
        <v>32</v>
      </c>
      <c r="I472" s="7">
        <v>28</v>
      </c>
      <c r="J472" s="15">
        <v>8.91267681314614</v>
      </c>
      <c r="K472" s="7">
        <v>4.5</v>
      </c>
      <c r="L472" s="7">
        <v>8.5</v>
      </c>
      <c r="M472" s="7"/>
      <c r="N472" s="12" t="s">
        <v>20</v>
      </c>
      <c r="O472" s="12" t="s">
        <v>16</v>
      </c>
      <c r="P472" s="57" t="str">
        <f t="shared" si="21"/>
        <v>un fuste</v>
      </c>
      <c r="Q472">
        <f t="shared" si="22"/>
        <v>7.5</v>
      </c>
      <c r="R472">
        <f t="shared" si="23"/>
        <v>10</v>
      </c>
    </row>
    <row r="473" spans="1:21" x14ac:dyDescent="0.25">
      <c r="A473" s="7">
        <v>1</v>
      </c>
      <c r="B473" s="7">
        <v>500</v>
      </c>
      <c r="C473" s="8">
        <v>4</v>
      </c>
      <c r="D473" s="8">
        <v>24</v>
      </c>
      <c r="E473" s="8">
        <v>27</v>
      </c>
      <c r="F473" s="9" t="s">
        <v>30</v>
      </c>
      <c r="G473" s="10" t="s">
        <v>31</v>
      </c>
      <c r="H473" s="11" t="s">
        <v>32</v>
      </c>
      <c r="I473" s="7">
        <v>33</v>
      </c>
      <c r="J473" s="15">
        <v>10.504226244065093</v>
      </c>
      <c r="K473" s="7">
        <v>6</v>
      </c>
      <c r="L473" s="7">
        <v>10</v>
      </c>
      <c r="M473" s="7"/>
      <c r="N473" s="12" t="s">
        <v>20</v>
      </c>
      <c r="O473" s="12" t="s">
        <v>16</v>
      </c>
      <c r="P473" s="57" t="str">
        <f t="shared" si="21"/>
        <v>un fuste</v>
      </c>
      <c r="Q473">
        <f t="shared" si="22"/>
        <v>10</v>
      </c>
      <c r="R473">
        <f t="shared" si="23"/>
        <v>10</v>
      </c>
      <c r="S473">
        <v>12</v>
      </c>
      <c r="T473" t="s">
        <v>276</v>
      </c>
      <c r="U473">
        <v>5.4591135202470997E-2</v>
      </c>
    </row>
    <row r="474" spans="1:21" x14ac:dyDescent="0.25">
      <c r="A474" s="7">
        <v>2</v>
      </c>
      <c r="B474" s="7">
        <v>500</v>
      </c>
      <c r="C474" s="7">
        <v>2</v>
      </c>
      <c r="D474" s="8">
        <v>26</v>
      </c>
      <c r="E474" s="7">
        <v>27</v>
      </c>
      <c r="F474" s="9" t="s">
        <v>30</v>
      </c>
      <c r="G474" s="13" t="s">
        <v>31</v>
      </c>
      <c r="H474" s="11" t="s">
        <v>32</v>
      </c>
      <c r="I474" s="7">
        <v>46</v>
      </c>
      <c r="J474" s="15">
        <v>14.642254764454371</v>
      </c>
      <c r="K474" s="7">
        <v>6</v>
      </c>
      <c r="L474" s="7">
        <v>12</v>
      </c>
      <c r="M474" s="7"/>
      <c r="N474" s="12" t="s">
        <v>20</v>
      </c>
      <c r="O474" s="12" t="s">
        <v>16</v>
      </c>
      <c r="P474" s="57" t="str">
        <f t="shared" si="21"/>
        <v>un fuste</v>
      </c>
      <c r="Q474">
        <f t="shared" si="22"/>
        <v>12.5</v>
      </c>
      <c r="R474">
        <f t="shared" si="23"/>
        <v>15</v>
      </c>
      <c r="S474">
        <v>12</v>
      </c>
      <c r="T474" t="s">
        <v>276</v>
      </c>
      <c r="U474">
        <v>0.12275535302141567</v>
      </c>
    </row>
    <row r="475" spans="1:21" x14ac:dyDescent="0.25">
      <c r="A475" s="7">
        <v>7</v>
      </c>
      <c r="B475" s="7">
        <v>500</v>
      </c>
      <c r="C475" s="7">
        <v>3</v>
      </c>
      <c r="D475" s="8">
        <v>24</v>
      </c>
      <c r="E475" s="7">
        <v>27</v>
      </c>
      <c r="F475" s="9" t="s">
        <v>30</v>
      </c>
      <c r="G475" s="13" t="s">
        <v>31</v>
      </c>
      <c r="H475" s="11" t="s">
        <v>32</v>
      </c>
      <c r="I475" s="7">
        <v>40</v>
      </c>
      <c r="J475" s="15">
        <v>12.732395447351628</v>
      </c>
      <c r="K475" s="7">
        <v>6</v>
      </c>
      <c r="L475" s="7">
        <v>11</v>
      </c>
      <c r="M475" s="7"/>
      <c r="N475" s="12" t="s">
        <v>20</v>
      </c>
      <c r="O475" s="12" t="s">
        <v>16</v>
      </c>
      <c r="P475" s="57" t="str">
        <f t="shared" si="21"/>
        <v>un fuste</v>
      </c>
      <c r="Q475">
        <f t="shared" si="22"/>
        <v>10</v>
      </c>
      <c r="R475">
        <f t="shared" si="23"/>
        <v>15</v>
      </c>
      <c r="S475">
        <v>12</v>
      </c>
      <c r="T475" t="s">
        <v>276</v>
      </c>
      <c r="U475">
        <v>8.6412988306268909E-2</v>
      </c>
    </row>
    <row r="476" spans="1:21" x14ac:dyDescent="0.25">
      <c r="A476" s="7">
        <v>9</v>
      </c>
      <c r="B476" s="7">
        <v>100</v>
      </c>
      <c r="C476" s="8">
        <v>2</v>
      </c>
      <c r="D476" s="8">
        <v>27</v>
      </c>
      <c r="E476" s="8">
        <v>27</v>
      </c>
      <c r="F476" s="9" t="s">
        <v>30</v>
      </c>
      <c r="G476" s="13" t="s">
        <v>31</v>
      </c>
      <c r="H476" s="11" t="s">
        <v>32</v>
      </c>
      <c r="I476" s="7">
        <v>19</v>
      </c>
      <c r="J476" s="15">
        <v>6.0478878374920226</v>
      </c>
      <c r="K476" s="7">
        <v>6</v>
      </c>
      <c r="L476" s="7">
        <v>8</v>
      </c>
      <c r="M476" s="7"/>
      <c r="N476" s="12" t="s">
        <v>20</v>
      </c>
      <c r="O476" s="12" t="s">
        <v>16</v>
      </c>
      <c r="P476" s="57" t="str">
        <f t="shared" si="21"/>
        <v>un fuste</v>
      </c>
      <c r="Q476">
        <f t="shared" si="22"/>
        <v>7.5</v>
      </c>
      <c r="R476">
        <f t="shared" si="23"/>
        <v>5</v>
      </c>
    </row>
    <row r="477" spans="1:21" x14ac:dyDescent="0.25">
      <c r="A477" s="7">
        <v>11</v>
      </c>
      <c r="B477" s="7">
        <v>100</v>
      </c>
      <c r="C477" s="8">
        <v>3</v>
      </c>
      <c r="D477" s="8">
        <v>27</v>
      </c>
      <c r="E477" s="8">
        <v>27</v>
      </c>
      <c r="F477" s="9" t="s">
        <v>30</v>
      </c>
      <c r="G477" s="13" t="s">
        <v>31</v>
      </c>
      <c r="H477" s="11" t="s">
        <v>32</v>
      </c>
      <c r="I477" s="7">
        <v>24</v>
      </c>
      <c r="J477" s="15">
        <v>7.6394372684109761</v>
      </c>
      <c r="K477" s="7">
        <v>7</v>
      </c>
      <c r="L477" s="7">
        <v>8.5</v>
      </c>
      <c r="M477" s="7"/>
      <c r="N477" s="12" t="s">
        <v>20</v>
      </c>
      <c r="O477" s="12" t="s">
        <v>16</v>
      </c>
      <c r="P477" s="57" t="str">
        <f t="shared" si="21"/>
        <v>un fuste</v>
      </c>
      <c r="Q477">
        <f t="shared" si="22"/>
        <v>7.5</v>
      </c>
      <c r="R477">
        <f t="shared" si="23"/>
        <v>10</v>
      </c>
    </row>
    <row r="478" spans="1:21" x14ac:dyDescent="0.25">
      <c r="A478" s="7">
        <v>6</v>
      </c>
      <c r="B478" s="7">
        <v>100</v>
      </c>
      <c r="C478" s="7">
        <v>4</v>
      </c>
      <c r="D478" s="8">
        <v>25</v>
      </c>
      <c r="E478" s="7">
        <v>28</v>
      </c>
      <c r="F478" s="19" t="s">
        <v>30</v>
      </c>
      <c r="G478" s="20" t="s">
        <v>31</v>
      </c>
      <c r="H478" s="14" t="s">
        <v>32</v>
      </c>
      <c r="I478" s="7">
        <v>22</v>
      </c>
      <c r="J478" s="15">
        <v>7.0028174960433951</v>
      </c>
      <c r="K478" s="7">
        <v>6</v>
      </c>
      <c r="L478" s="7">
        <v>9</v>
      </c>
      <c r="M478" s="7"/>
      <c r="N478" s="12" t="s">
        <v>20</v>
      </c>
      <c r="O478" s="12" t="s">
        <v>16</v>
      </c>
      <c r="P478" s="57" t="str">
        <f t="shared" si="21"/>
        <v>un fuste</v>
      </c>
      <c r="Q478">
        <f t="shared" si="22"/>
        <v>10</v>
      </c>
      <c r="R478">
        <f t="shared" si="23"/>
        <v>5</v>
      </c>
    </row>
    <row r="479" spans="1:21" x14ac:dyDescent="0.25">
      <c r="A479" s="7">
        <v>9</v>
      </c>
      <c r="B479" s="7">
        <v>100</v>
      </c>
      <c r="C479" s="8">
        <v>2</v>
      </c>
      <c r="D479" s="8">
        <v>28</v>
      </c>
      <c r="E479" s="8">
        <v>28</v>
      </c>
      <c r="F479" s="9" t="s">
        <v>30</v>
      </c>
      <c r="G479" s="13" t="s">
        <v>31</v>
      </c>
      <c r="H479" s="11" t="s">
        <v>32</v>
      </c>
      <c r="I479" s="8">
        <v>21.5</v>
      </c>
      <c r="J479" s="15">
        <v>6.8436625529514998</v>
      </c>
      <c r="K479" s="8">
        <v>5.5</v>
      </c>
      <c r="L479" s="8">
        <v>9</v>
      </c>
      <c r="M479" s="7"/>
      <c r="N479" s="12" t="s">
        <v>20</v>
      </c>
      <c r="O479" s="12" t="s">
        <v>16</v>
      </c>
      <c r="P479" s="57" t="str">
        <f t="shared" si="21"/>
        <v>un fuste</v>
      </c>
      <c r="Q479">
        <f t="shared" si="22"/>
        <v>10</v>
      </c>
      <c r="R479">
        <f t="shared" si="23"/>
        <v>5</v>
      </c>
    </row>
    <row r="480" spans="1:21" x14ac:dyDescent="0.25">
      <c r="A480" s="7">
        <v>5</v>
      </c>
      <c r="B480" s="7">
        <v>100</v>
      </c>
      <c r="C480" s="8">
        <v>4</v>
      </c>
      <c r="D480" s="8">
        <v>27</v>
      </c>
      <c r="E480" s="8">
        <v>29</v>
      </c>
      <c r="F480" s="9" t="s">
        <v>30</v>
      </c>
      <c r="G480" s="10" t="s">
        <v>31</v>
      </c>
      <c r="H480" s="11" t="s">
        <v>32</v>
      </c>
      <c r="I480" s="7">
        <v>18</v>
      </c>
      <c r="J480" s="15">
        <v>5.7295779513082321</v>
      </c>
      <c r="K480" s="7">
        <v>4</v>
      </c>
      <c r="L480" s="8">
        <v>6</v>
      </c>
      <c r="M480" s="7"/>
      <c r="N480" s="12" t="s">
        <v>20</v>
      </c>
      <c r="O480" s="12" t="s">
        <v>16</v>
      </c>
      <c r="P480" s="57" t="str">
        <f t="shared" si="21"/>
        <v>un fuste</v>
      </c>
      <c r="Q480">
        <f t="shared" si="22"/>
        <v>5</v>
      </c>
      <c r="R480">
        <f t="shared" si="23"/>
        <v>5</v>
      </c>
    </row>
    <row r="481" spans="1:21" x14ac:dyDescent="0.25">
      <c r="A481" s="7">
        <v>9</v>
      </c>
      <c r="B481" s="7">
        <v>100</v>
      </c>
      <c r="C481" s="8">
        <v>3</v>
      </c>
      <c r="D481" s="8">
        <v>29</v>
      </c>
      <c r="E481" s="8">
        <v>29</v>
      </c>
      <c r="F481" s="9" t="s">
        <v>30</v>
      </c>
      <c r="G481" s="13" t="s">
        <v>31</v>
      </c>
      <c r="H481" s="14" t="s">
        <v>32</v>
      </c>
      <c r="I481" s="7">
        <v>17</v>
      </c>
      <c r="J481" s="15">
        <v>5.4112680651244416</v>
      </c>
      <c r="K481" s="7">
        <v>6</v>
      </c>
      <c r="L481" s="7">
        <v>8.5</v>
      </c>
      <c r="M481" s="7"/>
      <c r="N481" s="12" t="s">
        <v>20</v>
      </c>
      <c r="O481" s="12" t="s">
        <v>16</v>
      </c>
      <c r="P481" s="57" t="str">
        <f t="shared" si="21"/>
        <v>un fuste</v>
      </c>
      <c r="Q481">
        <f t="shared" si="22"/>
        <v>7.5</v>
      </c>
      <c r="R481">
        <f t="shared" si="23"/>
        <v>5</v>
      </c>
    </row>
    <row r="482" spans="1:21" x14ac:dyDescent="0.25">
      <c r="A482" s="7">
        <v>2</v>
      </c>
      <c r="B482" s="7">
        <v>500</v>
      </c>
      <c r="C482" s="7">
        <v>2</v>
      </c>
      <c r="D482" s="8">
        <v>29</v>
      </c>
      <c r="E482" s="7">
        <v>30</v>
      </c>
      <c r="F482" s="9" t="s">
        <v>30</v>
      </c>
      <c r="G482" s="10" t="s">
        <v>31</v>
      </c>
      <c r="H482" s="11" t="s">
        <v>32</v>
      </c>
      <c r="I482" s="7">
        <v>48.5</v>
      </c>
      <c r="J482" s="15">
        <v>15.438029479913848</v>
      </c>
      <c r="K482" s="7">
        <v>8</v>
      </c>
      <c r="L482" s="7">
        <v>13</v>
      </c>
      <c r="M482" s="7"/>
      <c r="N482" s="12" t="s">
        <v>20</v>
      </c>
      <c r="O482" s="12" t="s">
        <v>16</v>
      </c>
      <c r="P482" s="57" t="str">
        <f t="shared" si="21"/>
        <v>un fuste</v>
      </c>
      <c r="Q482">
        <f t="shared" si="22"/>
        <v>12.5</v>
      </c>
      <c r="R482">
        <f t="shared" si="23"/>
        <v>15</v>
      </c>
      <c r="S482">
        <v>12</v>
      </c>
      <c r="T482" t="s">
        <v>276</v>
      </c>
      <c r="U482">
        <v>0.14682170489643562</v>
      </c>
    </row>
    <row r="483" spans="1:21" x14ac:dyDescent="0.25">
      <c r="A483" s="7">
        <v>1</v>
      </c>
      <c r="B483" s="7">
        <v>500</v>
      </c>
      <c r="C483" s="7">
        <v>4</v>
      </c>
      <c r="D483" s="8">
        <v>28</v>
      </c>
      <c r="E483" s="8">
        <v>31</v>
      </c>
      <c r="F483" s="9" t="s">
        <v>30</v>
      </c>
      <c r="G483" s="13" t="s">
        <v>31</v>
      </c>
      <c r="H483" s="14" t="s">
        <v>32</v>
      </c>
      <c r="I483" s="7">
        <v>34</v>
      </c>
      <c r="J483" s="15">
        <v>10.822536130248883</v>
      </c>
      <c r="K483" s="7">
        <v>6</v>
      </c>
      <c r="L483" s="7">
        <v>9</v>
      </c>
      <c r="M483" s="7"/>
      <c r="N483" s="12" t="s">
        <v>20</v>
      </c>
      <c r="O483" s="12" t="s">
        <v>16</v>
      </c>
      <c r="P483" s="57" t="str">
        <f t="shared" si="21"/>
        <v>un fuste</v>
      </c>
      <c r="Q483">
        <f t="shared" si="22"/>
        <v>10</v>
      </c>
      <c r="R483">
        <f t="shared" si="23"/>
        <v>10</v>
      </c>
      <c r="S483">
        <v>12</v>
      </c>
      <c r="T483" t="s">
        <v>276</v>
      </c>
      <c r="U483">
        <v>5.2119703566845706E-2</v>
      </c>
    </row>
    <row r="484" spans="1:21" x14ac:dyDescent="0.25">
      <c r="A484" s="7">
        <v>9</v>
      </c>
      <c r="B484" s="7">
        <v>100</v>
      </c>
      <c r="C484" s="7">
        <v>3</v>
      </c>
      <c r="D484" s="8">
        <v>31</v>
      </c>
      <c r="E484" s="7">
        <v>31</v>
      </c>
      <c r="F484" s="9" t="s">
        <v>30</v>
      </c>
      <c r="G484" s="10" t="s">
        <v>31</v>
      </c>
      <c r="H484" s="11" t="s">
        <v>32</v>
      </c>
      <c r="I484" s="7">
        <v>16.5</v>
      </c>
      <c r="J484" s="15">
        <v>5.2521131220325463</v>
      </c>
      <c r="K484" s="7">
        <v>4</v>
      </c>
      <c r="L484" s="7">
        <v>8</v>
      </c>
      <c r="M484" s="7"/>
      <c r="N484" s="12" t="s">
        <v>20</v>
      </c>
      <c r="O484" s="12" t="s">
        <v>16</v>
      </c>
      <c r="P484" s="57" t="str">
        <f t="shared" si="21"/>
        <v>un fuste</v>
      </c>
      <c r="Q484">
        <f t="shared" si="22"/>
        <v>7.5</v>
      </c>
      <c r="R484">
        <f t="shared" si="23"/>
        <v>5</v>
      </c>
    </row>
    <row r="485" spans="1:21" x14ac:dyDescent="0.25">
      <c r="A485" s="7">
        <v>7</v>
      </c>
      <c r="B485" s="7">
        <v>500</v>
      </c>
      <c r="C485" s="7">
        <v>3</v>
      </c>
      <c r="D485" s="8">
        <v>30</v>
      </c>
      <c r="E485" s="8">
        <v>33</v>
      </c>
      <c r="F485" s="17" t="s">
        <v>30</v>
      </c>
      <c r="G485" s="10" t="s">
        <v>31</v>
      </c>
      <c r="H485" s="11" t="s">
        <v>32</v>
      </c>
      <c r="I485" s="7">
        <v>45.5</v>
      </c>
      <c r="J485" s="15">
        <v>14.483099821362476</v>
      </c>
      <c r="K485" s="7">
        <v>7</v>
      </c>
      <c r="L485" s="7">
        <v>14</v>
      </c>
      <c r="M485" s="7"/>
      <c r="N485" s="12" t="s">
        <v>20</v>
      </c>
      <c r="O485" s="12" t="s">
        <v>16</v>
      </c>
      <c r="P485" s="57" t="str">
        <f t="shared" si="21"/>
        <v>un fuste</v>
      </c>
      <c r="Q485">
        <f t="shared" si="22"/>
        <v>15</v>
      </c>
      <c r="R485">
        <f t="shared" si="23"/>
        <v>15</v>
      </c>
      <c r="S485">
        <v>12</v>
      </c>
      <c r="T485" t="s">
        <v>276</v>
      </c>
      <c r="U485">
        <v>0.13980907076420018</v>
      </c>
    </row>
    <row r="486" spans="1:21" x14ac:dyDescent="0.25">
      <c r="A486" s="7">
        <v>11</v>
      </c>
      <c r="B486" s="7">
        <v>100</v>
      </c>
      <c r="C486" s="8">
        <v>3</v>
      </c>
      <c r="D486" s="8">
        <v>33</v>
      </c>
      <c r="E486" s="8">
        <v>33</v>
      </c>
      <c r="F486" s="9" t="s">
        <v>30</v>
      </c>
      <c r="G486" s="10" t="s">
        <v>31</v>
      </c>
      <c r="H486" s="11" t="s">
        <v>32</v>
      </c>
      <c r="I486" s="7">
        <v>20.5</v>
      </c>
      <c r="J486" s="15">
        <v>6.5253526667677093</v>
      </c>
      <c r="K486" s="7">
        <v>7</v>
      </c>
      <c r="L486" s="8">
        <v>8.5</v>
      </c>
      <c r="M486" s="7"/>
      <c r="N486" s="12" t="s">
        <v>20</v>
      </c>
      <c r="O486" s="12" t="s">
        <v>16</v>
      </c>
      <c r="P486" s="57" t="str">
        <f t="shared" si="21"/>
        <v>un fuste</v>
      </c>
      <c r="Q486">
        <f t="shared" si="22"/>
        <v>7.5</v>
      </c>
      <c r="R486">
        <f t="shared" si="23"/>
        <v>5</v>
      </c>
    </row>
    <row r="487" spans="1:21" x14ac:dyDescent="0.25">
      <c r="A487" s="7">
        <v>12</v>
      </c>
      <c r="B487" s="7">
        <v>100</v>
      </c>
      <c r="C487" s="7">
        <v>3</v>
      </c>
      <c r="D487" s="8">
        <v>21</v>
      </c>
      <c r="E487" s="8">
        <v>33</v>
      </c>
      <c r="F487" s="17" t="s">
        <v>30</v>
      </c>
      <c r="G487" s="10" t="s">
        <v>31</v>
      </c>
      <c r="H487" s="11" t="s">
        <v>32</v>
      </c>
      <c r="I487" s="7">
        <v>22</v>
      </c>
      <c r="J487" s="15">
        <v>7.0028174960433951</v>
      </c>
      <c r="K487" s="7">
        <v>8</v>
      </c>
      <c r="L487" s="7">
        <v>9</v>
      </c>
      <c r="M487" s="7"/>
      <c r="N487" s="12" t="s">
        <v>20</v>
      </c>
      <c r="O487" s="12" t="s">
        <v>16</v>
      </c>
      <c r="P487" s="57" t="str">
        <f t="shared" si="21"/>
        <v>un fuste</v>
      </c>
      <c r="Q487">
        <f t="shared" si="22"/>
        <v>10</v>
      </c>
      <c r="R487">
        <f t="shared" si="23"/>
        <v>5</v>
      </c>
    </row>
    <row r="488" spans="1:21" x14ac:dyDescent="0.25">
      <c r="A488" s="7">
        <v>7</v>
      </c>
      <c r="B488" s="7">
        <v>500</v>
      </c>
      <c r="C488" s="8">
        <v>3</v>
      </c>
      <c r="D488" s="8">
        <v>32</v>
      </c>
      <c r="E488" s="8">
        <v>35</v>
      </c>
      <c r="F488" s="9" t="s">
        <v>30</v>
      </c>
      <c r="G488" s="13" t="s">
        <v>31</v>
      </c>
      <c r="H488" s="11" t="s">
        <v>32</v>
      </c>
      <c r="I488" s="7">
        <v>33</v>
      </c>
      <c r="J488" s="15">
        <v>10.504226244065093</v>
      </c>
      <c r="K488" s="7">
        <v>9</v>
      </c>
      <c r="L488" s="7">
        <v>12</v>
      </c>
      <c r="M488" s="7"/>
      <c r="N488" s="12" t="s">
        <v>20</v>
      </c>
      <c r="O488" s="12" t="s">
        <v>16</v>
      </c>
      <c r="P488" s="57" t="str">
        <f t="shared" si="21"/>
        <v>un fuste</v>
      </c>
      <c r="Q488">
        <f t="shared" si="22"/>
        <v>12.5</v>
      </c>
      <c r="R488">
        <f t="shared" si="23"/>
        <v>10</v>
      </c>
      <c r="S488">
        <v>12</v>
      </c>
      <c r="T488" t="s">
        <v>276</v>
      </c>
      <c r="U488">
        <v>6.5256166087208245E-2</v>
      </c>
    </row>
    <row r="489" spans="1:21" x14ac:dyDescent="0.25">
      <c r="A489" s="7">
        <v>5</v>
      </c>
      <c r="B489" s="7">
        <v>500</v>
      </c>
      <c r="C489" s="8">
        <v>4</v>
      </c>
      <c r="D489" s="8">
        <v>35</v>
      </c>
      <c r="E489" s="8">
        <v>37</v>
      </c>
      <c r="F489" s="9" t="s">
        <v>30</v>
      </c>
      <c r="G489" s="10" t="s">
        <v>31</v>
      </c>
      <c r="H489" s="11" t="s">
        <v>32</v>
      </c>
      <c r="I489" s="7">
        <v>34</v>
      </c>
      <c r="J489" s="15">
        <v>10.822536130248883</v>
      </c>
      <c r="K489" s="7">
        <v>7</v>
      </c>
      <c r="L489" s="8">
        <v>10</v>
      </c>
      <c r="M489" s="7"/>
      <c r="N489" s="12" t="s">
        <v>20</v>
      </c>
      <c r="O489" s="12" t="s">
        <v>16</v>
      </c>
      <c r="P489" s="57" t="str">
        <f t="shared" si="21"/>
        <v>un fuste</v>
      </c>
      <c r="Q489">
        <f t="shared" si="22"/>
        <v>10</v>
      </c>
      <c r="R489">
        <f t="shared" si="23"/>
        <v>10</v>
      </c>
      <c r="S489">
        <v>12</v>
      </c>
      <c r="T489" t="s">
        <v>276</v>
      </c>
      <c r="U489">
        <v>5.7781330024967617E-2</v>
      </c>
    </row>
    <row r="490" spans="1:21" x14ac:dyDescent="0.25">
      <c r="A490" s="7">
        <v>9</v>
      </c>
      <c r="B490" s="7">
        <v>100</v>
      </c>
      <c r="C490" s="7">
        <v>3</v>
      </c>
      <c r="D490" s="8">
        <v>37</v>
      </c>
      <c r="E490" s="7">
        <v>37</v>
      </c>
      <c r="F490" s="9" t="s">
        <v>30</v>
      </c>
      <c r="G490" s="10" t="s">
        <v>31</v>
      </c>
      <c r="H490" s="11" t="s">
        <v>32</v>
      </c>
      <c r="I490" s="7">
        <v>17.5</v>
      </c>
      <c r="J490" s="15">
        <v>5.5704230082163368</v>
      </c>
      <c r="K490" s="7">
        <v>8</v>
      </c>
      <c r="L490" s="7">
        <v>10</v>
      </c>
      <c r="M490" s="7"/>
      <c r="N490" s="12" t="s">
        <v>20</v>
      </c>
      <c r="O490" s="12" t="s">
        <v>16</v>
      </c>
      <c r="P490" s="57" t="str">
        <f t="shared" si="21"/>
        <v>un fuste</v>
      </c>
      <c r="Q490">
        <f t="shared" si="22"/>
        <v>10</v>
      </c>
      <c r="R490">
        <f t="shared" si="23"/>
        <v>5</v>
      </c>
    </row>
    <row r="491" spans="1:21" x14ac:dyDescent="0.25">
      <c r="A491" s="7">
        <v>10</v>
      </c>
      <c r="B491" s="7">
        <v>100</v>
      </c>
      <c r="C491" s="7">
        <v>4</v>
      </c>
      <c r="D491" s="8">
        <v>38</v>
      </c>
      <c r="E491" s="8">
        <v>38</v>
      </c>
      <c r="F491" s="17" t="s">
        <v>30</v>
      </c>
      <c r="G491" s="13" t="s">
        <v>31</v>
      </c>
      <c r="H491" s="11" t="s">
        <v>32</v>
      </c>
      <c r="I491" s="7">
        <v>26</v>
      </c>
      <c r="J491" s="15">
        <v>8.2760570407785572</v>
      </c>
      <c r="K491" s="7">
        <v>5.5</v>
      </c>
      <c r="L491" s="7">
        <v>10</v>
      </c>
      <c r="M491" s="7"/>
      <c r="N491" s="12" t="s">
        <v>20</v>
      </c>
      <c r="O491" s="12" t="s">
        <v>16</v>
      </c>
      <c r="P491" s="57" t="str">
        <f t="shared" si="21"/>
        <v>un fuste</v>
      </c>
      <c r="Q491">
        <f t="shared" si="22"/>
        <v>10</v>
      </c>
      <c r="R491">
        <f t="shared" si="23"/>
        <v>10</v>
      </c>
    </row>
    <row r="492" spans="1:21" x14ac:dyDescent="0.25">
      <c r="A492" s="7">
        <v>12</v>
      </c>
      <c r="B492" s="7">
        <v>100</v>
      </c>
      <c r="C492" s="8">
        <v>4</v>
      </c>
      <c r="D492" s="8">
        <v>28</v>
      </c>
      <c r="E492" s="8">
        <v>40</v>
      </c>
      <c r="F492" s="9" t="s">
        <v>30</v>
      </c>
      <c r="G492" s="13" t="s">
        <v>31</v>
      </c>
      <c r="H492" s="11" t="s">
        <v>32</v>
      </c>
      <c r="I492" s="7">
        <v>20.5</v>
      </c>
      <c r="J492" s="15">
        <v>6.5253526667677093</v>
      </c>
      <c r="K492" s="7">
        <v>2</v>
      </c>
      <c r="L492" s="8">
        <v>9</v>
      </c>
      <c r="M492" s="7"/>
      <c r="N492" s="12" t="s">
        <v>20</v>
      </c>
      <c r="O492" s="12" t="s">
        <v>16</v>
      </c>
      <c r="P492" s="57" t="str">
        <f t="shared" si="21"/>
        <v>un fuste</v>
      </c>
      <c r="Q492">
        <f t="shared" si="22"/>
        <v>10</v>
      </c>
      <c r="R492">
        <f t="shared" si="23"/>
        <v>5</v>
      </c>
    </row>
    <row r="493" spans="1:21" x14ac:dyDescent="0.25">
      <c r="A493" s="7">
        <v>2</v>
      </c>
      <c r="B493" s="7">
        <v>500</v>
      </c>
      <c r="C493" s="8">
        <v>3</v>
      </c>
      <c r="D493" s="8">
        <v>39</v>
      </c>
      <c r="E493" s="8">
        <v>41</v>
      </c>
      <c r="F493" s="9" t="s">
        <v>30</v>
      </c>
      <c r="G493" s="10" t="s">
        <v>31</v>
      </c>
      <c r="H493" s="11" t="s">
        <v>32</v>
      </c>
      <c r="I493" s="7">
        <v>36.5</v>
      </c>
      <c r="J493" s="15">
        <v>11.618310845708359</v>
      </c>
      <c r="K493" s="7">
        <v>4</v>
      </c>
      <c r="L493" s="7">
        <v>9</v>
      </c>
      <c r="M493" s="7"/>
      <c r="N493" s="12" t="s">
        <v>20</v>
      </c>
      <c r="O493" s="12" t="s">
        <v>16</v>
      </c>
      <c r="P493" s="57" t="str">
        <f t="shared" si="21"/>
        <v>un fuste</v>
      </c>
      <c r="Q493">
        <f t="shared" si="22"/>
        <v>10</v>
      </c>
      <c r="R493">
        <f t="shared" si="23"/>
        <v>10</v>
      </c>
      <c r="S493">
        <v>12</v>
      </c>
      <c r="T493" t="s">
        <v>276</v>
      </c>
      <c r="U493">
        <v>5.9651913351807223E-2</v>
      </c>
    </row>
    <row r="494" spans="1:21" x14ac:dyDescent="0.25">
      <c r="A494" s="7">
        <v>2</v>
      </c>
      <c r="B494" s="7">
        <v>500</v>
      </c>
      <c r="C494" s="8">
        <v>3</v>
      </c>
      <c r="D494" s="8">
        <v>40</v>
      </c>
      <c r="E494" s="8">
        <v>42</v>
      </c>
      <c r="F494" s="9" t="s">
        <v>30</v>
      </c>
      <c r="G494" s="10" t="s">
        <v>31</v>
      </c>
      <c r="H494" s="11" t="s">
        <v>32</v>
      </c>
      <c r="I494" s="7">
        <v>45</v>
      </c>
      <c r="J494" s="15">
        <v>14.323944878270581</v>
      </c>
      <c r="K494" s="7">
        <v>5</v>
      </c>
      <c r="L494" s="7">
        <v>10</v>
      </c>
      <c r="M494" s="7"/>
      <c r="N494" s="12" t="s">
        <v>20</v>
      </c>
      <c r="O494" s="12" t="s">
        <v>16</v>
      </c>
      <c r="P494" s="57" t="str">
        <f t="shared" si="21"/>
        <v>un fuste</v>
      </c>
      <c r="Q494">
        <f t="shared" si="22"/>
        <v>10</v>
      </c>
      <c r="R494">
        <f t="shared" si="23"/>
        <v>15</v>
      </c>
      <c r="S494">
        <v>12</v>
      </c>
      <c r="T494" t="s">
        <v>276</v>
      </c>
      <c r="U494">
        <v>9.8487560842440897E-2</v>
      </c>
    </row>
    <row r="495" spans="1:21" x14ac:dyDescent="0.25">
      <c r="A495" s="7">
        <v>8</v>
      </c>
      <c r="B495" s="7">
        <v>500</v>
      </c>
      <c r="C495" s="8">
        <v>3</v>
      </c>
      <c r="D495" s="8">
        <v>37</v>
      </c>
      <c r="E495" s="8">
        <v>42</v>
      </c>
      <c r="F495" s="9" t="s">
        <v>30</v>
      </c>
      <c r="G495" s="21" t="s">
        <v>31</v>
      </c>
      <c r="H495" s="14" t="s">
        <v>32</v>
      </c>
      <c r="I495" s="7">
        <v>40</v>
      </c>
      <c r="J495" s="15">
        <v>12.732395447351628</v>
      </c>
      <c r="K495" s="7">
        <v>9</v>
      </c>
      <c r="L495" s="7">
        <v>12</v>
      </c>
      <c r="M495" s="7"/>
      <c r="N495" s="12" t="s">
        <v>20</v>
      </c>
      <c r="O495" s="12" t="s">
        <v>16</v>
      </c>
      <c r="P495" s="57" t="str">
        <f t="shared" si="21"/>
        <v>un fuste</v>
      </c>
      <c r="Q495">
        <f t="shared" si="22"/>
        <v>12.5</v>
      </c>
      <c r="R495">
        <f t="shared" si="23"/>
        <v>15</v>
      </c>
      <c r="S495">
        <v>12</v>
      </c>
      <c r="T495" t="s">
        <v>276</v>
      </c>
      <c r="U495">
        <v>9.4094654617910181E-2</v>
      </c>
    </row>
    <row r="496" spans="1:21" x14ac:dyDescent="0.25">
      <c r="A496" s="7">
        <v>7</v>
      </c>
      <c r="B496" s="7">
        <v>500</v>
      </c>
      <c r="C496" s="8">
        <v>4</v>
      </c>
      <c r="D496" s="8">
        <v>42</v>
      </c>
      <c r="E496" s="8">
        <v>45</v>
      </c>
      <c r="F496" s="9" t="s">
        <v>30</v>
      </c>
      <c r="G496" s="10" t="s">
        <v>31</v>
      </c>
      <c r="H496" s="11" t="s">
        <v>32</v>
      </c>
      <c r="I496" s="7">
        <v>53</v>
      </c>
      <c r="J496" s="15">
        <v>16.870423967740905</v>
      </c>
      <c r="K496" s="7">
        <v>5.5</v>
      </c>
      <c r="L496" s="7">
        <v>12</v>
      </c>
      <c r="M496" s="7"/>
      <c r="N496" s="12" t="s">
        <v>20</v>
      </c>
      <c r="O496" s="12" t="s">
        <v>16</v>
      </c>
      <c r="P496" s="57" t="str">
        <f t="shared" si="21"/>
        <v>un fuste</v>
      </c>
      <c r="Q496">
        <f t="shared" si="22"/>
        <v>12.5</v>
      </c>
      <c r="R496">
        <f t="shared" si="23"/>
        <v>15</v>
      </c>
      <c r="S496">
        <v>12</v>
      </c>
      <c r="T496" t="s">
        <v>276</v>
      </c>
      <c r="U496">
        <v>0.1607223683694381</v>
      </c>
    </row>
    <row r="497" spans="1:21" x14ac:dyDescent="0.25">
      <c r="A497" s="7">
        <v>9</v>
      </c>
      <c r="B497" s="7">
        <v>100</v>
      </c>
      <c r="C497" s="8">
        <v>4</v>
      </c>
      <c r="D497" s="8">
        <v>45</v>
      </c>
      <c r="E497" s="8">
        <v>45</v>
      </c>
      <c r="F497" s="9" t="s">
        <v>30</v>
      </c>
      <c r="G497" s="10" t="s">
        <v>31</v>
      </c>
      <c r="H497" s="11" t="s">
        <v>32</v>
      </c>
      <c r="I497" s="8">
        <v>18</v>
      </c>
      <c r="J497" s="15">
        <v>5.7295779513082321</v>
      </c>
      <c r="K497" s="8">
        <v>4.5</v>
      </c>
      <c r="L497" s="8">
        <v>6</v>
      </c>
      <c r="M497" s="7"/>
      <c r="N497" s="12" t="s">
        <v>20</v>
      </c>
      <c r="O497" s="12" t="s">
        <v>16</v>
      </c>
      <c r="P497" s="57" t="str">
        <f t="shared" si="21"/>
        <v>un fuste</v>
      </c>
      <c r="Q497">
        <f t="shared" si="22"/>
        <v>5</v>
      </c>
      <c r="R497">
        <f t="shared" si="23"/>
        <v>5</v>
      </c>
    </row>
    <row r="498" spans="1:21" x14ac:dyDescent="0.25">
      <c r="A498" s="7">
        <v>9</v>
      </c>
      <c r="B498" s="7">
        <v>100</v>
      </c>
      <c r="C498" s="8">
        <v>4</v>
      </c>
      <c r="D498" s="8">
        <v>47</v>
      </c>
      <c r="E498" s="8">
        <v>47</v>
      </c>
      <c r="F498" s="9" t="s">
        <v>30</v>
      </c>
      <c r="G498" s="10" t="s">
        <v>31</v>
      </c>
      <c r="H498" s="11" t="s">
        <v>32</v>
      </c>
      <c r="I498" s="7">
        <v>17.5</v>
      </c>
      <c r="J498" s="15">
        <v>5.5704230082163368</v>
      </c>
      <c r="K498" s="7">
        <v>2.5</v>
      </c>
      <c r="L498" s="7">
        <v>7</v>
      </c>
      <c r="M498" s="7"/>
      <c r="N498" s="12" t="s">
        <v>20</v>
      </c>
      <c r="O498" s="12" t="s">
        <v>16</v>
      </c>
      <c r="P498" s="57" t="str">
        <f t="shared" si="21"/>
        <v>un fuste</v>
      </c>
      <c r="Q498">
        <f t="shared" si="22"/>
        <v>7.5</v>
      </c>
      <c r="R498">
        <f t="shared" si="23"/>
        <v>5</v>
      </c>
    </row>
    <row r="499" spans="1:21" x14ac:dyDescent="0.25">
      <c r="A499" s="7">
        <v>4</v>
      </c>
      <c r="B499" s="7">
        <v>500</v>
      </c>
      <c r="C499" s="7">
        <v>4</v>
      </c>
      <c r="D499" s="8">
        <v>46</v>
      </c>
      <c r="E499" s="7">
        <v>48</v>
      </c>
      <c r="F499" s="9" t="s">
        <v>30</v>
      </c>
      <c r="G499" s="10" t="s">
        <v>31</v>
      </c>
      <c r="H499" s="11" t="s">
        <v>32</v>
      </c>
      <c r="I499" s="7">
        <v>42.5</v>
      </c>
      <c r="J499" s="15">
        <v>13.528170162811104</v>
      </c>
      <c r="K499" s="7">
        <v>6</v>
      </c>
      <c r="L499" s="7">
        <v>11</v>
      </c>
      <c r="M499" s="7"/>
      <c r="N499" s="12" t="s">
        <v>20</v>
      </c>
      <c r="O499" s="12" t="s">
        <v>16</v>
      </c>
      <c r="P499" s="57" t="str">
        <f t="shared" si="21"/>
        <v>un fuste</v>
      </c>
      <c r="Q499">
        <f t="shared" si="22"/>
        <v>10</v>
      </c>
      <c r="R499">
        <f t="shared" si="23"/>
        <v>15</v>
      </c>
      <c r="S499">
        <v>12</v>
      </c>
      <c r="T499" t="s">
        <v>276</v>
      </c>
      <c r="U499">
        <v>9.6977033610609026E-2</v>
      </c>
    </row>
    <row r="500" spans="1:21" x14ac:dyDescent="0.25">
      <c r="A500" s="7">
        <v>2</v>
      </c>
      <c r="B500" s="7">
        <v>500</v>
      </c>
      <c r="C500" s="8">
        <v>3</v>
      </c>
      <c r="D500" s="8">
        <v>48</v>
      </c>
      <c r="E500" s="8">
        <v>52</v>
      </c>
      <c r="F500" s="9" t="s">
        <v>30</v>
      </c>
      <c r="G500" s="13" t="s">
        <v>31</v>
      </c>
      <c r="H500" s="11" t="s">
        <v>32</v>
      </c>
      <c r="I500" s="8">
        <v>32</v>
      </c>
      <c r="J500" s="15">
        <v>10.185916357881302</v>
      </c>
      <c r="K500" s="8">
        <v>6</v>
      </c>
      <c r="L500" s="8">
        <v>9</v>
      </c>
      <c r="M500" s="7"/>
      <c r="N500" s="12" t="s">
        <v>20</v>
      </c>
      <c r="O500" s="12" t="s">
        <v>16</v>
      </c>
      <c r="P500" s="57" t="str">
        <f t="shared" si="21"/>
        <v>un fuste</v>
      </c>
      <c r="Q500">
        <f t="shared" si="22"/>
        <v>10</v>
      </c>
      <c r="R500">
        <f t="shared" si="23"/>
        <v>10</v>
      </c>
      <c r="S500">
        <v>12</v>
      </c>
      <c r="T500" t="s">
        <v>276</v>
      </c>
      <c r="U500">
        <v>4.6442123120946172E-2</v>
      </c>
    </row>
    <row r="501" spans="1:21" x14ac:dyDescent="0.25">
      <c r="A501" s="7">
        <v>8</v>
      </c>
      <c r="B501" s="7">
        <v>500</v>
      </c>
      <c r="C501" s="7">
        <v>4</v>
      </c>
      <c r="D501" s="8">
        <v>49</v>
      </c>
      <c r="E501" s="7">
        <v>54</v>
      </c>
      <c r="F501" s="9" t="s">
        <v>30</v>
      </c>
      <c r="G501" s="13" t="s">
        <v>31</v>
      </c>
      <c r="H501" s="11" t="s">
        <v>32</v>
      </c>
      <c r="I501" s="7">
        <v>33</v>
      </c>
      <c r="J501" s="15">
        <v>10.504226244065093</v>
      </c>
      <c r="K501" s="7">
        <v>8</v>
      </c>
      <c r="L501" s="7">
        <v>12</v>
      </c>
      <c r="M501" s="7"/>
      <c r="N501" s="12" t="s">
        <v>20</v>
      </c>
      <c r="O501" s="12" t="s">
        <v>16</v>
      </c>
      <c r="P501" s="57" t="str">
        <f t="shared" si="21"/>
        <v>un fuste</v>
      </c>
      <c r="Q501">
        <f t="shared" si="22"/>
        <v>12.5</v>
      </c>
      <c r="R501">
        <f t="shared" si="23"/>
        <v>10</v>
      </c>
      <c r="S501">
        <v>12</v>
      </c>
      <c r="T501" t="s">
        <v>276</v>
      </c>
      <c r="U501">
        <v>6.5256166087208245E-2</v>
      </c>
    </row>
    <row r="502" spans="1:21" x14ac:dyDescent="0.25">
      <c r="A502" s="7">
        <v>4</v>
      </c>
      <c r="B502" s="7">
        <v>500</v>
      </c>
      <c r="C502" s="8">
        <v>4</v>
      </c>
      <c r="D502" s="8">
        <v>54</v>
      </c>
      <c r="E502" s="8">
        <v>56</v>
      </c>
      <c r="F502" s="9" t="s">
        <v>30</v>
      </c>
      <c r="G502" s="13" t="s">
        <v>31</v>
      </c>
      <c r="H502" s="11" t="s">
        <v>32</v>
      </c>
      <c r="I502" s="7">
        <v>49</v>
      </c>
      <c r="J502" s="15">
        <v>15.597184423005743</v>
      </c>
      <c r="K502" s="7">
        <v>4</v>
      </c>
      <c r="L502" s="8">
        <v>13</v>
      </c>
      <c r="M502" s="7"/>
      <c r="N502" s="12" t="s">
        <v>20</v>
      </c>
      <c r="O502" s="12" t="s">
        <v>16</v>
      </c>
      <c r="P502" s="57" t="str">
        <f t="shared" si="21"/>
        <v>un fuste</v>
      </c>
      <c r="Q502">
        <f t="shared" si="22"/>
        <v>12.5</v>
      </c>
      <c r="R502">
        <f t="shared" si="23"/>
        <v>15</v>
      </c>
      <c r="S502">
        <v>12</v>
      </c>
      <c r="T502" t="s">
        <v>276</v>
      </c>
      <c r="U502">
        <v>0.14971471547100634</v>
      </c>
    </row>
    <row r="503" spans="1:21" x14ac:dyDescent="0.25">
      <c r="A503" s="7">
        <v>2</v>
      </c>
      <c r="B503" s="7">
        <v>500</v>
      </c>
      <c r="C503" s="8">
        <v>4</v>
      </c>
      <c r="D503" s="8">
        <v>52</v>
      </c>
      <c r="E503" s="8">
        <v>57</v>
      </c>
      <c r="F503" s="9" t="s">
        <v>30</v>
      </c>
      <c r="G503" s="10" t="s">
        <v>31</v>
      </c>
      <c r="H503" s="11" t="s">
        <v>32</v>
      </c>
      <c r="I503" s="8">
        <v>36</v>
      </c>
      <c r="J503" s="15">
        <v>11.459155902616464</v>
      </c>
      <c r="K503" s="8">
        <v>4</v>
      </c>
      <c r="L503" s="8">
        <v>10</v>
      </c>
      <c r="M503" s="7"/>
      <c r="N503" s="12" t="s">
        <v>20</v>
      </c>
      <c r="O503" s="12" t="s">
        <v>16</v>
      </c>
      <c r="P503" s="57" t="str">
        <f t="shared" si="21"/>
        <v>un fuste</v>
      </c>
      <c r="Q503">
        <f t="shared" si="22"/>
        <v>10</v>
      </c>
      <c r="R503">
        <f t="shared" si="23"/>
        <v>10</v>
      </c>
      <c r="S503">
        <v>12</v>
      </c>
      <c r="T503" t="s">
        <v>276</v>
      </c>
      <c r="U503">
        <v>6.4418932145957952E-2</v>
      </c>
    </row>
    <row r="504" spans="1:21" x14ac:dyDescent="0.25">
      <c r="A504" s="7">
        <v>8</v>
      </c>
      <c r="B504" s="7">
        <v>500</v>
      </c>
      <c r="C504" s="8">
        <v>4</v>
      </c>
      <c r="D504" s="7">
        <v>54</v>
      </c>
      <c r="E504" s="7">
        <v>59</v>
      </c>
      <c r="F504" s="9" t="s">
        <v>30</v>
      </c>
      <c r="G504" s="10" t="s">
        <v>31</v>
      </c>
      <c r="H504" s="11" t="s">
        <v>32</v>
      </c>
      <c r="I504" s="7">
        <v>34.5</v>
      </c>
      <c r="J504" s="15">
        <v>10.981691073340778</v>
      </c>
      <c r="K504" s="7">
        <v>8</v>
      </c>
      <c r="L504" s="7">
        <v>12</v>
      </c>
      <c r="M504" s="7"/>
      <c r="N504" s="12" t="s">
        <v>20</v>
      </c>
      <c r="O504" s="12" t="s">
        <v>16</v>
      </c>
      <c r="P504" s="57" t="str">
        <f t="shared" si="21"/>
        <v>un fuste</v>
      </c>
      <c r="Q504">
        <f t="shared" si="22"/>
        <v>12.5</v>
      </c>
      <c r="R504">
        <f t="shared" si="23"/>
        <v>10</v>
      </c>
      <c r="S504">
        <v>12</v>
      </c>
      <c r="T504" t="s">
        <v>276</v>
      </c>
      <c r="U504">
        <v>7.1014809646230373E-2</v>
      </c>
    </row>
    <row r="505" spans="1:21" x14ac:dyDescent="0.25">
      <c r="A505" s="7">
        <v>8</v>
      </c>
      <c r="B505" s="7">
        <v>500</v>
      </c>
      <c r="C505" s="7">
        <v>4</v>
      </c>
      <c r="D505" s="8">
        <v>55</v>
      </c>
      <c r="E505" s="7">
        <v>60</v>
      </c>
      <c r="F505" s="9" t="s">
        <v>30</v>
      </c>
      <c r="G505" s="13" t="s">
        <v>31</v>
      </c>
      <c r="H505" s="14" t="s">
        <v>32</v>
      </c>
      <c r="I505" s="7">
        <v>47.5</v>
      </c>
      <c r="J505" s="15">
        <v>15.119719593730057</v>
      </c>
      <c r="K505" s="7">
        <v>3</v>
      </c>
      <c r="L505" s="7">
        <v>10</v>
      </c>
      <c r="M505" s="7"/>
      <c r="N505" s="12" t="s">
        <v>20</v>
      </c>
      <c r="O505" s="12" t="s">
        <v>16</v>
      </c>
      <c r="P505" s="57" t="str">
        <f t="shared" si="21"/>
        <v>un fuste</v>
      </c>
      <c r="Q505">
        <f t="shared" si="22"/>
        <v>10</v>
      </c>
      <c r="R505">
        <f t="shared" si="23"/>
        <v>15</v>
      </c>
      <c r="S505">
        <v>12</v>
      </c>
      <c r="T505" t="s">
        <v>276</v>
      </c>
      <c r="U505">
        <v>0.10915743783971928</v>
      </c>
    </row>
    <row r="506" spans="1:21" x14ac:dyDescent="0.25">
      <c r="A506" s="7">
        <v>2</v>
      </c>
      <c r="B506" s="7">
        <v>500</v>
      </c>
      <c r="C506" s="8">
        <v>4</v>
      </c>
      <c r="D506" s="8">
        <v>55</v>
      </c>
      <c r="E506" s="8">
        <v>61</v>
      </c>
      <c r="F506" s="9" t="s">
        <v>30</v>
      </c>
      <c r="G506" s="13" t="s">
        <v>31</v>
      </c>
      <c r="H506" s="11" t="s">
        <v>32</v>
      </c>
      <c r="I506" s="8">
        <v>38</v>
      </c>
      <c r="J506" s="15">
        <v>12.095775674984045</v>
      </c>
      <c r="K506" s="8">
        <v>4</v>
      </c>
      <c r="L506" s="8">
        <v>9</v>
      </c>
      <c r="M506" s="7"/>
      <c r="N506" s="12" t="s">
        <v>20</v>
      </c>
      <c r="O506" s="12" t="s">
        <v>16</v>
      </c>
      <c r="P506" s="57" t="str">
        <f t="shared" si="21"/>
        <v>un fuste</v>
      </c>
      <c r="Q506">
        <f t="shared" si="22"/>
        <v>10</v>
      </c>
      <c r="R506">
        <f t="shared" si="23"/>
        <v>10</v>
      </c>
      <c r="S506">
        <v>12</v>
      </c>
      <c r="T506" t="s">
        <v>276</v>
      </c>
      <c r="U506">
        <v>6.4402077256596954E-2</v>
      </c>
    </row>
    <row r="507" spans="1:21" x14ac:dyDescent="0.25">
      <c r="A507" s="7">
        <v>8</v>
      </c>
      <c r="B507" s="7">
        <v>500</v>
      </c>
      <c r="C507" s="8">
        <v>4</v>
      </c>
      <c r="D507" s="8">
        <v>58</v>
      </c>
      <c r="E507" s="8">
        <v>65</v>
      </c>
      <c r="F507" s="9" t="s">
        <v>30</v>
      </c>
      <c r="G507" s="10" t="s">
        <v>31</v>
      </c>
      <c r="H507" s="11" t="s">
        <v>32</v>
      </c>
      <c r="I507" s="7">
        <v>35.5</v>
      </c>
      <c r="J507" s="15">
        <v>11.300000959524569</v>
      </c>
      <c r="K507" s="7">
        <v>7</v>
      </c>
      <c r="L507" s="7">
        <v>13</v>
      </c>
      <c r="M507" s="7"/>
      <c r="N507" s="12" t="s">
        <v>20</v>
      </c>
      <c r="O507" s="12" t="s">
        <v>16</v>
      </c>
      <c r="P507" s="57" t="str">
        <f t="shared" si="21"/>
        <v>un fuste</v>
      </c>
      <c r="Q507">
        <f t="shared" si="22"/>
        <v>12.5</v>
      </c>
      <c r="R507">
        <f t="shared" si="23"/>
        <v>10</v>
      </c>
      <c r="S507">
        <v>12</v>
      </c>
      <c r="T507" t="s">
        <v>276</v>
      </c>
      <c r="U507">
        <v>8.1092531123149361E-2</v>
      </c>
    </row>
    <row r="508" spans="1:21" x14ac:dyDescent="0.25">
      <c r="A508" s="7">
        <v>2</v>
      </c>
      <c r="B508" s="7">
        <v>100</v>
      </c>
      <c r="C508" s="8">
        <v>1</v>
      </c>
      <c r="D508" s="8">
        <v>1</v>
      </c>
      <c r="E508" s="8">
        <v>1</v>
      </c>
      <c r="F508" s="9" t="s">
        <v>23</v>
      </c>
      <c r="G508" s="13" t="s">
        <v>24</v>
      </c>
      <c r="H508" s="11" t="s">
        <v>25</v>
      </c>
      <c r="I508" s="7">
        <v>21.5</v>
      </c>
      <c r="J508" s="15">
        <v>6.8436625529514998</v>
      </c>
      <c r="K508" s="7">
        <v>5</v>
      </c>
      <c r="L508" s="7">
        <v>8</v>
      </c>
      <c r="M508" s="7"/>
      <c r="N508" s="12" t="s">
        <v>20</v>
      </c>
      <c r="O508" s="12" t="s">
        <v>16</v>
      </c>
      <c r="P508" s="57" t="str">
        <f t="shared" si="21"/>
        <v>un fuste</v>
      </c>
      <c r="Q508">
        <f t="shared" si="22"/>
        <v>7.5</v>
      </c>
      <c r="R508">
        <f t="shared" si="23"/>
        <v>5</v>
      </c>
    </row>
    <row r="509" spans="1:21" x14ac:dyDescent="0.25">
      <c r="A509" s="7">
        <v>8</v>
      </c>
      <c r="B509" s="7">
        <v>100</v>
      </c>
      <c r="C509" s="7">
        <v>1</v>
      </c>
      <c r="D509" s="8">
        <v>1</v>
      </c>
      <c r="E509" s="7">
        <v>1</v>
      </c>
      <c r="F509" s="9" t="s">
        <v>23</v>
      </c>
      <c r="G509" s="13" t="s">
        <v>24</v>
      </c>
      <c r="H509" s="14" t="s">
        <v>25</v>
      </c>
      <c r="I509" s="7">
        <v>30</v>
      </c>
      <c r="J509" s="15">
        <v>9.5492965855137211</v>
      </c>
      <c r="K509" s="7">
        <v>5.5</v>
      </c>
      <c r="L509" s="7">
        <v>10</v>
      </c>
      <c r="M509" s="7"/>
      <c r="N509" s="12" t="s">
        <v>20</v>
      </c>
      <c r="O509" s="12" t="s">
        <v>16</v>
      </c>
      <c r="P509" s="57" t="str">
        <f t="shared" si="21"/>
        <v>un fuste</v>
      </c>
      <c r="Q509">
        <f t="shared" si="22"/>
        <v>10</v>
      </c>
      <c r="R509">
        <f t="shared" si="23"/>
        <v>10</v>
      </c>
    </row>
    <row r="510" spans="1:21" x14ac:dyDescent="0.25">
      <c r="A510" s="7">
        <v>1</v>
      </c>
      <c r="B510" s="7">
        <v>500</v>
      </c>
      <c r="C510" s="8">
        <v>1</v>
      </c>
      <c r="D510" s="8">
        <v>2</v>
      </c>
      <c r="E510" s="8">
        <v>2</v>
      </c>
      <c r="F510" s="9" t="s">
        <v>23</v>
      </c>
      <c r="G510" s="10" t="s">
        <v>24</v>
      </c>
      <c r="H510" s="11" t="s">
        <v>25</v>
      </c>
      <c r="I510" s="7">
        <v>70</v>
      </c>
      <c r="J510" s="15">
        <v>22.281692032865347</v>
      </c>
      <c r="K510" s="7">
        <v>3.5</v>
      </c>
      <c r="L510" s="7">
        <v>12</v>
      </c>
      <c r="M510" s="7"/>
      <c r="N510" s="12" t="s">
        <v>20</v>
      </c>
      <c r="O510" s="12" t="s">
        <v>16</v>
      </c>
      <c r="P510" s="57" t="str">
        <f t="shared" si="21"/>
        <v>un fuste</v>
      </c>
      <c r="Q510">
        <f t="shared" si="22"/>
        <v>12.5</v>
      </c>
      <c r="R510">
        <f t="shared" si="23"/>
        <v>20</v>
      </c>
      <c r="S510">
        <v>15</v>
      </c>
      <c r="T510" t="s">
        <v>277</v>
      </c>
      <c r="U510">
        <v>0.26177424267000488</v>
      </c>
    </row>
    <row r="511" spans="1:21" x14ac:dyDescent="0.25">
      <c r="A511" s="7">
        <v>3</v>
      </c>
      <c r="B511" s="7">
        <v>500</v>
      </c>
      <c r="C511" s="8">
        <v>1</v>
      </c>
      <c r="D511" s="8">
        <v>2</v>
      </c>
      <c r="E511" s="8">
        <v>2</v>
      </c>
      <c r="F511" s="9" t="s">
        <v>23</v>
      </c>
      <c r="G511" s="13" t="s">
        <v>24</v>
      </c>
      <c r="H511" s="11" t="s">
        <v>25</v>
      </c>
      <c r="I511" s="7">
        <v>44</v>
      </c>
      <c r="J511" s="15">
        <v>14.00563499208679</v>
      </c>
      <c r="K511" s="7">
        <v>6</v>
      </c>
      <c r="L511" s="7">
        <v>10</v>
      </c>
      <c r="M511" s="7"/>
      <c r="N511" s="12" t="s">
        <v>20</v>
      </c>
      <c r="O511" s="12" t="s">
        <v>16</v>
      </c>
      <c r="P511" s="57" t="str">
        <f t="shared" si="21"/>
        <v>un fuste</v>
      </c>
      <c r="Q511">
        <f t="shared" si="22"/>
        <v>10</v>
      </c>
      <c r="R511">
        <f t="shared" si="23"/>
        <v>15</v>
      </c>
      <c r="S511">
        <v>15</v>
      </c>
      <c r="T511" t="s">
        <v>277</v>
      </c>
      <c r="U511">
        <v>9.2768825280786782E-2</v>
      </c>
    </row>
    <row r="512" spans="1:21" x14ac:dyDescent="0.25">
      <c r="A512" s="7">
        <v>1</v>
      </c>
      <c r="B512" s="7">
        <v>500</v>
      </c>
      <c r="C512" s="7">
        <v>1</v>
      </c>
      <c r="D512" s="8">
        <v>3</v>
      </c>
      <c r="E512" s="7">
        <v>3</v>
      </c>
      <c r="F512" s="9" t="s">
        <v>23</v>
      </c>
      <c r="G512" s="13" t="s">
        <v>24</v>
      </c>
      <c r="H512" s="11" t="s">
        <v>25</v>
      </c>
      <c r="I512" s="7">
        <v>60</v>
      </c>
      <c r="J512" s="15">
        <v>19.098593171027442</v>
      </c>
      <c r="K512" s="7">
        <v>6</v>
      </c>
      <c r="L512" s="7">
        <v>13</v>
      </c>
      <c r="M512" s="7"/>
      <c r="N512" s="12" t="s">
        <v>29</v>
      </c>
      <c r="O512" s="12" t="s">
        <v>16</v>
      </c>
      <c r="P512" s="57" t="str">
        <f t="shared" si="21"/>
        <v>un fuste</v>
      </c>
      <c r="Q512">
        <f t="shared" si="22"/>
        <v>12.5</v>
      </c>
      <c r="R512">
        <f t="shared" si="23"/>
        <v>20</v>
      </c>
      <c r="S512">
        <v>15</v>
      </c>
      <c r="T512" t="s">
        <v>277</v>
      </c>
      <c r="U512">
        <v>0.21146001641603238</v>
      </c>
    </row>
    <row r="513" spans="1:21" x14ac:dyDescent="0.25">
      <c r="A513" s="7">
        <v>1</v>
      </c>
      <c r="B513" s="7">
        <v>500</v>
      </c>
      <c r="C513" s="7">
        <v>1</v>
      </c>
      <c r="D513" s="8" t="s">
        <v>86</v>
      </c>
      <c r="E513" s="7">
        <v>4</v>
      </c>
      <c r="F513" s="9" t="s">
        <v>23</v>
      </c>
      <c r="G513" s="13" t="s">
        <v>24</v>
      </c>
      <c r="H513" s="11" t="s">
        <v>25</v>
      </c>
      <c r="I513" s="7">
        <v>71</v>
      </c>
      <c r="J513" s="15">
        <v>22.600001919049138</v>
      </c>
      <c r="K513" s="7">
        <v>7.5</v>
      </c>
      <c r="L513" s="7">
        <v>14</v>
      </c>
      <c r="M513" s="7"/>
      <c r="N513" s="12" t="s">
        <v>20</v>
      </c>
      <c r="O513" s="12" t="s">
        <v>16</v>
      </c>
      <c r="P513" s="31" t="e">
        <f t="shared" si="21"/>
        <v>#VALUE!</v>
      </c>
      <c r="Q513">
        <f t="shared" si="22"/>
        <v>15</v>
      </c>
      <c r="R513">
        <f t="shared" si="23"/>
        <v>25</v>
      </c>
      <c r="S513">
        <v>15</v>
      </c>
      <c r="T513" t="s">
        <v>277</v>
      </c>
      <c r="U513">
        <v>0.31031795060100054</v>
      </c>
    </row>
    <row r="514" spans="1:21" x14ac:dyDescent="0.25">
      <c r="A514" s="7">
        <v>7</v>
      </c>
      <c r="B514" s="7">
        <v>5</v>
      </c>
      <c r="C514" s="8"/>
      <c r="D514" s="8">
        <v>22</v>
      </c>
      <c r="E514" s="8">
        <v>22</v>
      </c>
      <c r="F514" s="9" t="s">
        <v>90</v>
      </c>
      <c r="G514" s="13" t="s">
        <v>103</v>
      </c>
      <c r="H514" s="14" t="s">
        <v>104</v>
      </c>
      <c r="I514" s="7"/>
      <c r="J514" s="7"/>
      <c r="K514" s="7"/>
      <c r="L514" s="8">
        <v>0.7</v>
      </c>
      <c r="M514" s="7" t="e">
        <v>#REF!</v>
      </c>
      <c r="N514" s="12"/>
      <c r="O514" s="12" t="s">
        <v>16</v>
      </c>
      <c r="P514" s="57" t="str">
        <f t="shared" si="21"/>
        <v>un fuste</v>
      </c>
      <c r="Q514">
        <f t="shared" si="22"/>
        <v>2.5</v>
      </c>
      <c r="R514">
        <f t="shared" si="23"/>
        <v>5</v>
      </c>
    </row>
    <row r="515" spans="1:21" x14ac:dyDescent="0.25">
      <c r="A515" s="7">
        <v>3</v>
      </c>
      <c r="B515" s="7">
        <v>500</v>
      </c>
      <c r="C515" s="7">
        <v>1</v>
      </c>
      <c r="D515" s="8">
        <v>5</v>
      </c>
      <c r="E515" s="8">
        <v>5</v>
      </c>
      <c r="F515" s="9" t="s">
        <v>23</v>
      </c>
      <c r="G515" s="10" t="s">
        <v>24</v>
      </c>
      <c r="H515" s="11" t="s">
        <v>25</v>
      </c>
      <c r="I515" s="7">
        <v>35.5</v>
      </c>
      <c r="J515" s="15">
        <v>11.300000959524569</v>
      </c>
      <c r="K515" s="7">
        <v>6</v>
      </c>
      <c r="L515" s="7">
        <v>10</v>
      </c>
      <c r="M515" s="7"/>
      <c r="N515" s="12" t="s">
        <v>20</v>
      </c>
      <c r="O515" s="12" t="s">
        <v>16</v>
      </c>
      <c r="P515" s="57" t="str">
        <f t="shared" ref="P515:P578" si="24">IF((D515/D515)=1,"un fuste","bifurcado")</f>
        <v>un fuste</v>
      </c>
      <c r="Q515">
        <f t="shared" ref="Q515:Q578" si="25">IF(L515&lt;3.75,2.5,IF(L515&lt;6.25,5,IF(L515&lt;8.74,7.5,IF(L515&lt;11.24,10,IF(L515&lt;13.75,12.5,IF(L515&lt;16.25,15,IF(L515&lt;18.75,17.5,IF(L515&lt;21.25,20,IF(L515&lt;23.75,22.5,IF(L515&lt;26.25,25,IF(L515&lt;28.75,27.5,IF(L515&lt;31.25,30,IF(L515&lt;33.75,32.5,IF(L515&lt;36.25,35,IF(L515&lt;38.75,37.5,IF(L515&lt;41.24,40,IF(L515&lt;43.75,42.5,IF(L515&lt;46.25,45," "))))))))))))))))))</f>
        <v>10</v>
      </c>
      <c r="R515">
        <f t="shared" ref="R515:R578" si="26">IF(J515&lt;7.5,5,IF(J515&lt;12.5,10,IF(J515&lt;17.5,15,IF(J515&lt;22.5,20,IF(J515&lt;27.5,25,IF(J515&lt;32.5,30,IF(J515&lt;37.5,35,IF(J515&lt;42.5,40,IF(J515&lt;47.5,45,IF(J515&lt;52.5,50,IF(J515&lt;57.5,55,0)))))))))))</f>
        <v>10</v>
      </c>
      <c r="S515">
        <v>15</v>
      </c>
      <c r="T515" t="s">
        <v>277</v>
      </c>
      <c r="U515">
        <v>6.2118436965634988E-2</v>
      </c>
    </row>
    <row r="516" spans="1:21" x14ac:dyDescent="0.25">
      <c r="A516" s="7">
        <v>1</v>
      </c>
      <c r="B516" s="7">
        <v>500</v>
      </c>
      <c r="C516" s="7">
        <v>2</v>
      </c>
      <c r="D516" s="8">
        <v>5</v>
      </c>
      <c r="E516" s="7">
        <v>6</v>
      </c>
      <c r="F516" s="9" t="s">
        <v>23</v>
      </c>
      <c r="G516" s="13" t="s">
        <v>24</v>
      </c>
      <c r="H516" s="14" t="s">
        <v>25</v>
      </c>
      <c r="I516" s="7">
        <v>54</v>
      </c>
      <c r="J516" s="15">
        <v>17.188733853924695</v>
      </c>
      <c r="K516" s="7">
        <v>6</v>
      </c>
      <c r="L516" s="7">
        <v>13</v>
      </c>
      <c r="M516" s="7"/>
      <c r="N516" s="12" t="s">
        <v>20</v>
      </c>
      <c r="O516" s="12" t="s">
        <v>16</v>
      </c>
      <c r="P516" s="57" t="str">
        <f t="shared" si="24"/>
        <v>un fuste</v>
      </c>
      <c r="Q516">
        <f t="shared" si="25"/>
        <v>12.5</v>
      </c>
      <c r="R516">
        <f t="shared" si="26"/>
        <v>15</v>
      </c>
      <c r="S516">
        <v>15</v>
      </c>
      <c r="T516" t="s">
        <v>277</v>
      </c>
      <c r="U516">
        <v>0.17367382582472168</v>
      </c>
    </row>
    <row r="517" spans="1:21" x14ac:dyDescent="0.25">
      <c r="A517" s="7">
        <v>7</v>
      </c>
      <c r="B517" s="7">
        <v>100</v>
      </c>
      <c r="C517" s="7">
        <v>3</v>
      </c>
      <c r="D517" s="8">
        <v>6</v>
      </c>
      <c r="E517" s="7">
        <v>6</v>
      </c>
      <c r="F517" s="9" t="s">
        <v>23</v>
      </c>
      <c r="G517" s="10" t="s">
        <v>24</v>
      </c>
      <c r="H517" s="11" t="s">
        <v>25</v>
      </c>
      <c r="I517" s="7">
        <v>24</v>
      </c>
      <c r="J517" s="15">
        <v>7.6394372684109761</v>
      </c>
      <c r="K517" s="7">
        <v>8</v>
      </c>
      <c r="L517" s="7">
        <v>12</v>
      </c>
      <c r="M517" s="7"/>
      <c r="N517" s="12" t="s">
        <v>20</v>
      </c>
      <c r="O517" s="12" t="s">
        <v>16</v>
      </c>
      <c r="P517" s="57" t="str">
        <f t="shared" si="24"/>
        <v>un fuste</v>
      </c>
      <c r="Q517">
        <f t="shared" si="25"/>
        <v>12.5</v>
      </c>
      <c r="R517">
        <f t="shared" si="26"/>
        <v>10</v>
      </c>
    </row>
    <row r="518" spans="1:21" x14ac:dyDescent="0.25">
      <c r="A518" s="7">
        <v>1</v>
      </c>
      <c r="B518" s="7">
        <v>500</v>
      </c>
      <c r="C518" s="7">
        <v>2</v>
      </c>
      <c r="D518" s="8">
        <v>6</v>
      </c>
      <c r="E518" s="8">
        <v>7</v>
      </c>
      <c r="F518" s="17" t="s">
        <v>23</v>
      </c>
      <c r="G518" s="10" t="s">
        <v>24</v>
      </c>
      <c r="H518" s="11" t="s">
        <v>25</v>
      </c>
      <c r="I518" s="7">
        <v>32</v>
      </c>
      <c r="J518" s="15">
        <v>10.185916357881302</v>
      </c>
      <c r="K518" s="7">
        <v>4</v>
      </c>
      <c r="L518" s="7">
        <v>7.5</v>
      </c>
      <c r="M518" s="7"/>
      <c r="N518" s="12" t="s">
        <v>20</v>
      </c>
      <c r="O518" s="12" t="s">
        <v>16</v>
      </c>
      <c r="P518" s="57" t="str">
        <f t="shared" si="24"/>
        <v>un fuste</v>
      </c>
      <c r="Q518">
        <f t="shared" si="25"/>
        <v>7.5</v>
      </c>
      <c r="R518">
        <f t="shared" si="26"/>
        <v>10</v>
      </c>
      <c r="S518">
        <v>15</v>
      </c>
      <c r="T518" t="s">
        <v>277</v>
      </c>
      <c r="U518">
        <v>3.9137958929067379E-2</v>
      </c>
    </row>
    <row r="519" spans="1:21" x14ac:dyDescent="0.25">
      <c r="A519" s="7">
        <v>6</v>
      </c>
      <c r="B519" s="7">
        <v>500</v>
      </c>
      <c r="C519" s="8">
        <v>2</v>
      </c>
      <c r="D519" s="8">
        <v>6</v>
      </c>
      <c r="E519" s="8">
        <v>7</v>
      </c>
      <c r="F519" s="9" t="s">
        <v>23</v>
      </c>
      <c r="G519" s="10" t="s">
        <v>24</v>
      </c>
      <c r="H519" s="11" t="s">
        <v>25</v>
      </c>
      <c r="I519" s="7">
        <v>32.5</v>
      </c>
      <c r="J519" s="15">
        <v>10.345071300973197</v>
      </c>
      <c r="K519" s="7">
        <v>8</v>
      </c>
      <c r="L519" s="8">
        <v>11</v>
      </c>
      <c r="M519" s="7"/>
      <c r="N519" s="12" t="s">
        <v>20</v>
      </c>
      <c r="O519" s="12" t="s">
        <v>16</v>
      </c>
      <c r="P519" s="57" t="str">
        <f t="shared" si="24"/>
        <v>un fuste</v>
      </c>
      <c r="Q519">
        <f t="shared" si="25"/>
        <v>10</v>
      </c>
      <c r="R519">
        <f t="shared" si="26"/>
        <v>10</v>
      </c>
      <c r="S519">
        <v>15</v>
      </c>
      <c r="T519" t="s">
        <v>277</v>
      </c>
      <c r="U519">
        <v>5.7562430110280276E-2</v>
      </c>
    </row>
    <row r="520" spans="1:21" x14ac:dyDescent="0.25">
      <c r="A520" s="7">
        <v>7</v>
      </c>
      <c r="B520" s="7">
        <v>5</v>
      </c>
      <c r="C520" s="7"/>
      <c r="D520" s="8">
        <v>23</v>
      </c>
      <c r="E520" s="8">
        <v>23</v>
      </c>
      <c r="F520" s="17" t="s">
        <v>81</v>
      </c>
      <c r="G520" s="10" t="s">
        <v>190</v>
      </c>
      <c r="H520" s="11" t="s">
        <v>191</v>
      </c>
      <c r="I520" s="7"/>
      <c r="J520" s="7"/>
      <c r="K520" s="7"/>
      <c r="L520" s="7">
        <v>0.3</v>
      </c>
      <c r="M520" s="7" t="e">
        <v>#REF!</v>
      </c>
      <c r="N520" s="12"/>
      <c r="O520" s="12" t="s">
        <v>16</v>
      </c>
      <c r="P520" s="57" t="str">
        <f t="shared" si="24"/>
        <v>un fuste</v>
      </c>
      <c r="Q520">
        <f t="shared" si="25"/>
        <v>2.5</v>
      </c>
      <c r="R520">
        <f t="shared" si="26"/>
        <v>5</v>
      </c>
    </row>
    <row r="521" spans="1:21" x14ac:dyDescent="0.25">
      <c r="A521" s="7">
        <v>1</v>
      </c>
      <c r="B521" s="7">
        <v>500</v>
      </c>
      <c r="C521" s="8">
        <v>2</v>
      </c>
      <c r="D521" s="8">
        <v>9</v>
      </c>
      <c r="E521" s="8">
        <v>10</v>
      </c>
      <c r="F521" s="9" t="s">
        <v>23</v>
      </c>
      <c r="G521" s="13" t="s">
        <v>24</v>
      </c>
      <c r="H521" s="11" t="s">
        <v>25</v>
      </c>
      <c r="I521" s="7">
        <v>33</v>
      </c>
      <c r="J521" s="15">
        <v>10.504226244065093</v>
      </c>
      <c r="K521" s="7">
        <v>5.5</v>
      </c>
      <c r="L521" s="7">
        <v>8</v>
      </c>
      <c r="M521" s="7"/>
      <c r="N521" s="12" t="s">
        <v>20</v>
      </c>
      <c r="O521" s="12" t="s">
        <v>16</v>
      </c>
      <c r="P521" s="57" t="str">
        <f t="shared" si="24"/>
        <v>un fuste</v>
      </c>
      <c r="Q521">
        <f t="shared" si="25"/>
        <v>7.5</v>
      </c>
      <c r="R521">
        <f t="shared" si="26"/>
        <v>10</v>
      </c>
      <c r="S521">
        <v>15</v>
      </c>
      <c r="T521" t="s">
        <v>277</v>
      </c>
      <c r="U521">
        <v>4.4023049005083581E-2</v>
      </c>
    </row>
    <row r="522" spans="1:21" x14ac:dyDescent="0.25">
      <c r="A522" s="7">
        <v>2</v>
      </c>
      <c r="B522" s="7">
        <v>500</v>
      </c>
      <c r="C522" s="8">
        <v>1</v>
      </c>
      <c r="D522" s="8">
        <v>10</v>
      </c>
      <c r="E522" s="8">
        <v>10</v>
      </c>
      <c r="F522" s="9" t="s">
        <v>23</v>
      </c>
      <c r="G522" s="10" t="s">
        <v>24</v>
      </c>
      <c r="H522" s="11" t="s">
        <v>25</v>
      </c>
      <c r="I522" s="7">
        <v>40</v>
      </c>
      <c r="J522" s="15">
        <v>12.732395447351628</v>
      </c>
      <c r="K522" s="7">
        <v>5</v>
      </c>
      <c r="L522" s="8">
        <v>12</v>
      </c>
      <c r="M522" s="7"/>
      <c r="N522" s="12" t="s">
        <v>20</v>
      </c>
      <c r="O522" s="12" t="s">
        <v>16</v>
      </c>
      <c r="P522" s="57" t="str">
        <f t="shared" si="24"/>
        <v>un fuste</v>
      </c>
      <c r="Q522">
        <f t="shared" si="25"/>
        <v>12.5</v>
      </c>
      <c r="R522">
        <f t="shared" si="26"/>
        <v>15</v>
      </c>
      <c r="S522">
        <v>15</v>
      </c>
      <c r="T522" t="s">
        <v>277</v>
      </c>
      <c r="U522">
        <v>9.2009243969291984E-2</v>
      </c>
    </row>
    <row r="523" spans="1:21" x14ac:dyDescent="0.25">
      <c r="A523" s="7">
        <v>6</v>
      </c>
      <c r="B523" s="7">
        <v>500</v>
      </c>
      <c r="C523" s="7">
        <v>3</v>
      </c>
      <c r="D523" s="8">
        <v>9</v>
      </c>
      <c r="E523" s="7">
        <v>10</v>
      </c>
      <c r="F523" s="9" t="s">
        <v>23</v>
      </c>
      <c r="G523" s="10" t="s">
        <v>24</v>
      </c>
      <c r="H523" s="11" t="s">
        <v>25</v>
      </c>
      <c r="I523" s="7">
        <v>33.5</v>
      </c>
      <c r="J523" s="15">
        <v>10.663381187156988</v>
      </c>
      <c r="K523" s="7">
        <v>4.5</v>
      </c>
      <c r="L523" s="7">
        <v>9</v>
      </c>
      <c r="M523" s="7"/>
      <c r="N523" s="12" t="s">
        <v>20</v>
      </c>
      <c r="O523" s="12" t="s">
        <v>16</v>
      </c>
      <c r="P523" s="57" t="str">
        <f t="shared" si="24"/>
        <v>un fuste</v>
      </c>
      <c r="Q523">
        <f t="shared" si="25"/>
        <v>10</v>
      </c>
      <c r="R523">
        <f t="shared" si="26"/>
        <v>10</v>
      </c>
      <c r="S523">
        <v>15</v>
      </c>
      <c r="T523" t="s">
        <v>277</v>
      </c>
      <c r="U523">
        <v>5.0528681488540506E-2</v>
      </c>
    </row>
    <row r="524" spans="1:21" x14ac:dyDescent="0.25">
      <c r="A524" s="7">
        <v>8</v>
      </c>
      <c r="B524" s="7">
        <v>100</v>
      </c>
      <c r="C524" s="7">
        <v>1</v>
      </c>
      <c r="D524" s="8">
        <v>10</v>
      </c>
      <c r="E524" s="8">
        <v>10</v>
      </c>
      <c r="F524" s="9" t="s">
        <v>23</v>
      </c>
      <c r="G524" s="21" t="s">
        <v>24</v>
      </c>
      <c r="H524" s="14" t="s">
        <v>25</v>
      </c>
      <c r="I524" s="7">
        <v>20</v>
      </c>
      <c r="J524" s="15">
        <v>6.366197723675814</v>
      </c>
      <c r="K524" s="7">
        <v>8</v>
      </c>
      <c r="L524" s="7">
        <v>11</v>
      </c>
      <c r="M524" s="7"/>
      <c r="N524" s="12" t="s">
        <v>20</v>
      </c>
      <c r="O524" s="12" t="s">
        <v>16</v>
      </c>
      <c r="P524" s="57" t="str">
        <f t="shared" si="24"/>
        <v>un fuste</v>
      </c>
      <c r="Q524">
        <f t="shared" si="25"/>
        <v>10</v>
      </c>
      <c r="R524">
        <f t="shared" si="26"/>
        <v>5</v>
      </c>
    </row>
    <row r="525" spans="1:21" x14ac:dyDescent="0.25">
      <c r="A525" s="7">
        <v>2</v>
      </c>
      <c r="B525" s="7">
        <v>500</v>
      </c>
      <c r="C525" s="8">
        <v>1</v>
      </c>
      <c r="D525" s="8">
        <v>11</v>
      </c>
      <c r="E525" s="8">
        <v>11</v>
      </c>
      <c r="F525" s="9" t="s">
        <v>23</v>
      </c>
      <c r="G525" s="13" t="s">
        <v>24</v>
      </c>
      <c r="H525" s="11" t="s">
        <v>25</v>
      </c>
      <c r="I525" s="7">
        <v>41</v>
      </c>
      <c r="J525" s="15">
        <v>13.050705333535419</v>
      </c>
      <c r="K525" s="7">
        <v>8</v>
      </c>
      <c r="L525" s="8">
        <v>12</v>
      </c>
      <c r="M525" s="7"/>
      <c r="N525" s="12" t="s">
        <v>20</v>
      </c>
      <c r="O525" s="12" t="s">
        <v>16</v>
      </c>
      <c r="P525" s="57" t="str">
        <f t="shared" si="24"/>
        <v>un fuste</v>
      </c>
      <c r="Q525">
        <f t="shared" si="25"/>
        <v>12.5</v>
      </c>
      <c r="R525">
        <f t="shared" si="26"/>
        <v>15</v>
      </c>
      <c r="S525">
        <v>15</v>
      </c>
      <c r="T525" t="s">
        <v>277</v>
      </c>
      <c r="U525">
        <v>9.6353627976860701E-2</v>
      </c>
    </row>
    <row r="526" spans="1:21" x14ac:dyDescent="0.25">
      <c r="A526" s="7">
        <v>3</v>
      </c>
      <c r="B526" s="7">
        <v>500</v>
      </c>
      <c r="C526" s="8">
        <v>1</v>
      </c>
      <c r="D526" s="8">
        <v>12</v>
      </c>
      <c r="E526" s="8">
        <v>12</v>
      </c>
      <c r="F526" s="9" t="s">
        <v>23</v>
      </c>
      <c r="G526" s="10" t="s">
        <v>24</v>
      </c>
      <c r="H526" s="11" t="s">
        <v>25</v>
      </c>
      <c r="I526" s="7">
        <v>42</v>
      </c>
      <c r="J526" s="15">
        <v>13.369015219719209</v>
      </c>
      <c r="K526" s="7">
        <v>7</v>
      </c>
      <c r="L526" s="7">
        <v>11</v>
      </c>
      <c r="M526" s="7"/>
      <c r="N526" s="12" t="s">
        <v>20</v>
      </c>
      <c r="O526" s="12" t="s">
        <v>16</v>
      </c>
      <c r="P526" s="57" t="str">
        <f t="shared" si="24"/>
        <v>un fuste</v>
      </c>
      <c r="Q526">
        <f t="shared" si="25"/>
        <v>10</v>
      </c>
      <c r="R526">
        <f t="shared" si="26"/>
        <v>15</v>
      </c>
      <c r="S526">
        <v>15</v>
      </c>
      <c r="T526" t="s">
        <v>277</v>
      </c>
      <c r="U526">
        <v>9.2942996589490443E-2</v>
      </c>
    </row>
    <row r="527" spans="1:21" x14ac:dyDescent="0.25">
      <c r="A527" s="7">
        <v>2</v>
      </c>
      <c r="B527" s="7">
        <v>500</v>
      </c>
      <c r="C527" s="8">
        <v>1</v>
      </c>
      <c r="D527" s="8">
        <v>13</v>
      </c>
      <c r="E527" s="8">
        <v>13</v>
      </c>
      <c r="F527" s="9" t="s">
        <v>23</v>
      </c>
      <c r="G527" s="10" t="s">
        <v>24</v>
      </c>
      <c r="H527" s="14" t="s">
        <v>25</v>
      </c>
      <c r="I527" s="7">
        <v>42.5</v>
      </c>
      <c r="J527" s="15">
        <v>13.528170162811104</v>
      </c>
      <c r="K527" s="7">
        <v>4</v>
      </c>
      <c r="L527" s="7">
        <v>12</v>
      </c>
      <c r="M527" s="7"/>
      <c r="N527" s="12" t="s">
        <v>20</v>
      </c>
      <c r="O527" s="12" t="s">
        <v>16</v>
      </c>
      <c r="P527" s="57" t="str">
        <f t="shared" si="24"/>
        <v>un fuste</v>
      </c>
      <c r="Q527">
        <f t="shared" si="25"/>
        <v>12.5</v>
      </c>
      <c r="R527">
        <f t="shared" si="26"/>
        <v>15</v>
      </c>
      <c r="S527">
        <v>15</v>
      </c>
      <c r="T527" t="s">
        <v>277</v>
      </c>
      <c r="U527">
        <v>0.10304449460951418</v>
      </c>
    </row>
    <row r="528" spans="1:21" x14ac:dyDescent="0.25">
      <c r="A528" s="7">
        <v>3</v>
      </c>
      <c r="B528" s="7">
        <v>500</v>
      </c>
      <c r="C528" s="8">
        <v>1</v>
      </c>
      <c r="D528" s="8">
        <v>14</v>
      </c>
      <c r="E528" s="8">
        <v>14</v>
      </c>
      <c r="F528" s="9" t="s">
        <v>23</v>
      </c>
      <c r="G528" s="21" t="s">
        <v>24</v>
      </c>
      <c r="H528" s="14" t="s">
        <v>25</v>
      </c>
      <c r="I528" s="7">
        <v>37.54</v>
      </c>
      <c r="J528" s="15">
        <v>11.949353127339503</v>
      </c>
      <c r="K528" s="7">
        <v>3</v>
      </c>
      <c r="L528" s="7">
        <v>9</v>
      </c>
      <c r="M528" s="7"/>
      <c r="N528" s="12" t="s">
        <v>20</v>
      </c>
      <c r="O528" s="12" t="s">
        <v>16</v>
      </c>
      <c r="P528" s="57" t="str">
        <f t="shared" si="24"/>
        <v>un fuste</v>
      </c>
      <c r="Q528">
        <f t="shared" si="25"/>
        <v>10</v>
      </c>
      <c r="R528">
        <f t="shared" si="26"/>
        <v>10</v>
      </c>
      <c r="S528">
        <v>15</v>
      </c>
      <c r="T528" t="s">
        <v>277</v>
      </c>
      <c r="U528">
        <v>6.2507190906733928E-2</v>
      </c>
    </row>
    <row r="529" spans="1:21" x14ac:dyDescent="0.25">
      <c r="A529" s="7">
        <v>5</v>
      </c>
      <c r="B529" s="7">
        <v>100</v>
      </c>
      <c r="C529" s="7">
        <v>2</v>
      </c>
      <c r="D529" s="8">
        <v>13</v>
      </c>
      <c r="E529" s="7">
        <v>14</v>
      </c>
      <c r="F529" s="9" t="s">
        <v>23</v>
      </c>
      <c r="G529" s="10" t="s">
        <v>24</v>
      </c>
      <c r="H529" s="11" t="s">
        <v>25</v>
      </c>
      <c r="I529" s="7">
        <v>21</v>
      </c>
      <c r="J529" s="15">
        <v>6.6845076098596046</v>
      </c>
      <c r="K529" s="7">
        <v>3</v>
      </c>
      <c r="L529" s="7">
        <v>8</v>
      </c>
      <c r="M529" s="7"/>
      <c r="N529" s="12" t="s">
        <v>20</v>
      </c>
      <c r="O529" s="12" t="s">
        <v>16</v>
      </c>
      <c r="P529" s="57" t="str">
        <f t="shared" si="24"/>
        <v>un fuste</v>
      </c>
      <c r="Q529">
        <f t="shared" si="25"/>
        <v>7.5</v>
      </c>
      <c r="R529">
        <f t="shared" si="26"/>
        <v>5</v>
      </c>
    </row>
    <row r="530" spans="1:21" x14ac:dyDescent="0.25">
      <c r="A530" s="7">
        <v>1</v>
      </c>
      <c r="B530" s="7">
        <v>500</v>
      </c>
      <c r="C530" s="8">
        <v>2</v>
      </c>
      <c r="D530" s="8">
        <v>12</v>
      </c>
      <c r="E530" s="8">
        <v>15</v>
      </c>
      <c r="F530" s="9" t="s">
        <v>23</v>
      </c>
      <c r="G530" s="10" t="s">
        <v>24</v>
      </c>
      <c r="H530" s="11" t="s">
        <v>25</v>
      </c>
      <c r="I530" s="7">
        <v>32</v>
      </c>
      <c r="J530" s="15">
        <v>10.185916357881302</v>
      </c>
      <c r="K530" s="7">
        <v>3</v>
      </c>
      <c r="L530" s="8">
        <v>9</v>
      </c>
      <c r="M530" s="7"/>
      <c r="N530" s="12" t="s">
        <v>20</v>
      </c>
      <c r="O530" s="12" t="s">
        <v>16</v>
      </c>
      <c r="P530" s="57" t="str">
        <f t="shared" si="24"/>
        <v>un fuste</v>
      </c>
      <c r="Q530">
        <f t="shared" si="25"/>
        <v>10</v>
      </c>
      <c r="R530">
        <f t="shared" si="26"/>
        <v>10</v>
      </c>
      <c r="S530">
        <v>15</v>
      </c>
      <c r="T530" t="s">
        <v>277</v>
      </c>
      <c r="U530">
        <v>4.6383787585078627E-2</v>
      </c>
    </row>
    <row r="531" spans="1:21" x14ac:dyDescent="0.25">
      <c r="A531" s="7">
        <v>8</v>
      </c>
      <c r="B531" s="7">
        <v>500</v>
      </c>
      <c r="C531" s="8">
        <v>1</v>
      </c>
      <c r="D531" s="7">
        <v>14</v>
      </c>
      <c r="E531" s="7">
        <v>15</v>
      </c>
      <c r="F531" s="9" t="s">
        <v>23</v>
      </c>
      <c r="G531" s="13" t="s">
        <v>24</v>
      </c>
      <c r="H531" s="11" t="s">
        <v>25</v>
      </c>
      <c r="I531" s="7">
        <v>41</v>
      </c>
      <c r="J531" s="15">
        <v>13.050705333535419</v>
      </c>
      <c r="K531" s="7">
        <v>5</v>
      </c>
      <c r="L531" s="7">
        <v>12</v>
      </c>
      <c r="M531" s="7"/>
      <c r="N531" s="12" t="s">
        <v>20</v>
      </c>
      <c r="O531" s="12" t="s">
        <v>16</v>
      </c>
      <c r="P531" s="57" t="str">
        <f t="shared" si="24"/>
        <v>un fuste</v>
      </c>
      <c r="Q531">
        <f t="shared" si="25"/>
        <v>12.5</v>
      </c>
      <c r="R531">
        <f t="shared" si="26"/>
        <v>15</v>
      </c>
      <c r="S531">
        <v>15</v>
      </c>
      <c r="T531" t="s">
        <v>277</v>
      </c>
      <c r="U531">
        <v>9.6353627976860701E-2</v>
      </c>
    </row>
    <row r="532" spans="1:21" x14ac:dyDescent="0.25">
      <c r="A532" s="7">
        <v>6</v>
      </c>
      <c r="B532" s="7">
        <v>100</v>
      </c>
      <c r="C532" s="8">
        <v>3</v>
      </c>
      <c r="D532" s="8">
        <v>15</v>
      </c>
      <c r="E532" s="8">
        <v>15</v>
      </c>
      <c r="F532" s="9" t="s">
        <v>23</v>
      </c>
      <c r="G532" s="10" t="s">
        <v>24</v>
      </c>
      <c r="H532" s="11" t="s">
        <v>25</v>
      </c>
      <c r="I532" s="8">
        <v>26</v>
      </c>
      <c r="J532" s="15">
        <v>8.2760570407785572</v>
      </c>
      <c r="K532" s="8">
        <v>5</v>
      </c>
      <c r="L532" s="8">
        <v>10</v>
      </c>
      <c r="M532" s="7"/>
      <c r="N532" s="12" t="s">
        <v>29</v>
      </c>
      <c r="O532" s="12" t="s">
        <v>16</v>
      </c>
      <c r="P532" s="57" t="str">
        <f t="shared" si="24"/>
        <v>un fuste</v>
      </c>
      <c r="Q532">
        <f t="shared" si="25"/>
        <v>10</v>
      </c>
      <c r="R532">
        <f t="shared" si="26"/>
        <v>10</v>
      </c>
    </row>
    <row r="533" spans="1:21" x14ac:dyDescent="0.25">
      <c r="A533" s="7">
        <v>4</v>
      </c>
      <c r="B533" s="7">
        <v>500</v>
      </c>
      <c r="C533" s="8">
        <v>2</v>
      </c>
      <c r="D533" s="8">
        <v>16</v>
      </c>
      <c r="E533" s="8">
        <v>16</v>
      </c>
      <c r="F533" s="9" t="s">
        <v>23</v>
      </c>
      <c r="G533" s="13" t="s">
        <v>24</v>
      </c>
      <c r="H533" s="11" t="s">
        <v>25</v>
      </c>
      <c r="I533" s="7">
        <v>38.5</v>
      </c>
      <c r="J533" s="15">
        <v>12.254930618075941</v>
      </c>
      <c r="K533" s="7">
        <v>7</v>
      </c>
      <c r="L533" s="7">
        <v>12</v>
      </c>
      <c r="M533" s="7"/>
      <c r="N533" s="12" t="s">
        <v>20</v>
      </c>
      <c r="O533" s="12" t="s">
        <v>16</v>
      </c>
      <c r="P533" s="57" t="str">
        <f t="shared" si="24"/>
        <v>un fuste</v>
      </c>
      <c r="Q533">
        <f t="shared" si="25"/>
        <v>12.5</v>
      </c>
      <c r="R533">
        <f t="shared" si="26"/>
        <v>10</v>
      </c>
      <c r="S533">
        <v>15</v>
      </c>
      <c r="T533" t="s">
        <v>277</v>
      </c>
      <c r="U533">
        <v>8.5667715472304437E-2</v>
      </c>
    </row>
    <row r="534" spans="1:21" x14ac:dyDescent="0.25">
      <c r="A534" s="7">
        <v>5</v>
      </c>
      <c r="B534" s="7">
        <v>500</v>
      </c>
      <c r="C534" s="8">
        <v>2</v>
      </c>
      <c r="D534" s="8">
        <v>15</v>
      </c>
      <c r="E534" s="8">
        <v>16</v>
      </c>
      <c r="F534" s="17" t="s">
        <v>23</v>
      </c>
      <c r="G534" s="10" t="s">
        <v>24</v>
      </c>
      <c r="H534" s="11" t="s">
        <v>25</v>
      </c>
      <c r="I534" s="7">
        <v>35</v>
      </c>
      <c r="J534" s="15">
        <v>11.140846016432674</v>
      </c>
      <c r="K534" s="7">
        <v>4.5</v>
      </c>
      <c r="L534" s="7">
        <v>11</v>
      </c>
      <c r="M534" s="7"/>
      <c r="N534" s="12" t="s">
        <v>20</v>
      </c>
      <c r="O534" s="12" t="s">
        <v>16</v>
      </c>
      <c r="P534" s="57" t="str">
        <f t="shared" si="24"/>
        <v>un fuste</v>
      </c>
      <c r="Q534">
        <f t="shared" si="25"/>
        <v>10</v>
      </c>
      <c r="R534">
        <f t="shared" si="26"/>
        <v>10</v>
      </c>
      <c r="S534">
        <v>15</v>
      </c>
      <c r="T534" t="s">
        <v>277</v>
      </c>
      <c r="U534">
        <v>6.6110950476338373E-2</v>
      </c>
    </row>
    <row r="535" spans="1:21" x14ac:dyDescent="0.25">
      <c r="A535" s="7">
        <v>1</v>
      </c>
      <c r="B535" s="7">
        <v>100</v>
      </c>
      <c r="C535" s="8">
        <v>3</v>
      </c>
      <c r="D535" s="8">
        <v>16</v>
      </c>
      <c r="E535" s="8">
        <v>16</v>
      </c>
      <c r="F535" s="9" t="s">
        <v>23</v>
      </c>
      <c r="G535" s="13" t="s">
        <v>24</v>
      </c>
      <c r="H535" s="11" t="s">
        <v>25</v>
      </c>
      <c r="I535" s="8">
        <v>22</v>
      </c>
      <c r="J535" s="15">
        <v>7.0028174960433951</v>
      </c>
      <c r="K535" s="8">
        <v>6</v>
      </c>
      <c r="L535" s="8">
        <v>11</v>
      </c>
      <c r="M535" s="7"/>
      <c r="N535" s="12" t="s">
        <v>20</v>
      </c>
      <c r="O535" s="12" t="s">
        <v>16</v>
      </c>
      <c r="P535" s="57" t="str">
        <f t="shared" si="24"/>
        <v>un fuste</v>
      </c>
      <c r="Q535">
        <f t="shared" si="25"/>
        <v>10</v>
      </c>
      <c r="R535">
        <f t="shared" si="26"/>
        <v>5</v>
      </c>
    </row>
    <row r="536" spans="1:21" x14ac:dyDescent="0.25">
      <c r="A536" s="7">
        <v>6</v>
      </c>
      <c r="B536" s="7">
        <v>100</v>
      </c>
      <c r="C536" s="7">
        <v>3</v>
      </c>
      <c r="D536" s="8" t="s">
        <v>180</v>
      </c>
      <c r="E536" s="7">
        <v>16</v>
      </c>
      <c r="F536" s="9" t="s">
        <v>23</v>
      </c>
      <c r="G536" s="10" t="s">
        <v>24</v>
      </c>
      <c r="H536" s="11" t="s">
        <v>25</v>
      </c>
      <c r="I536" s="7">
        <v>24.5</v>
      </c>
      <c r="J536" s="15">
        <v>7.7985922115028714</v>
      </c>
      <c r="K536" s="7">
        <v>7</v>
      </c>
      <c r="L536" s="7">
        <v>10</v>
      </c>
      <c r="M536" s="7"/>
      <c r="N536" s="12" t="s">
        <v>20</v>
      </c>
      <c r="O536" s="12" t="s">
        <v>16</v>
      </c>
      <c r="P536" s="31" t="e">
        <f t="shared" si="24"/>
        <v>#VALUE!</v>
      </c>
      <c r="Q536">
        <f t="shared" si="25"/>
        <v>10</v>
      </c>
      <c r="R536">
        <f t="shared" si="26"/>
        <v>10</v>
      </c>
    </row>
    <row r="537" spans="1:21" x14ac:dyDescent="0.25">
      <c r="A537" s="7">
        <v>2</v>
      </c>
      <c r="B537" s="7">
        <v>500</v>
      </c>
      <c r="C537" s="7">
        <v>1</v>
      </c>
      <c r="D537" s="8">
        <v>17</v>
      </c>
      <c r="E537" s="7">
        <v>17</v>
      </c>
      <c r="F537" s="9" t="s">
        <v>23</v>
      </c>
      <c r="G537" s="13" t="s">
        <v>24</v>
      </c>
      <c r="H537" s="11" t="s">
        <v>25</v>
      </c>
      <c r="I537" s="7">
        <v>37</v>
      </c>
      <c r="J537" s="15">
        <v>11.777465788800255</v>
      </c>
      <c r="K537" s="7">
        <v>5</v>
      </c>
      <c r="L537" s="7">
        <v>10</v>
      </c>
      <c r="M537" s="7"/>
      <c r="N537" s="12" t="s">
        <v>20</v>
      </c>
      <c r="O537" s="12" t="s">
        <v>16</v>
      </c>
      <c r="P537" s="57" t="str">
        <f t="shared" si="24"/>
        <v>un fuste</v>
      </c>
      <c r="Q537">
        <f t="shared" si="25"/>
        <v>10</v>
      </c>
      <c r="R537">
        <f t="shared" si="26"/>
        <v>10</v>
      </c>
      <c r="S537">
        <v>15</v>
      </c>
      <c r="T537" t="s">
        <v>277</v>
      </c>
      <c r="U537">
        <v>6.7112311855052717E-2</v>
      </c>
    </row>
    <row r="538" spans="1:21" x14ac:dyDescent="0.25">
      <c r="A538" s="7">
        <v>5</v>
      </c>
      <c r="B538" s="7">
        <v>500</v>
      </c>
      <c r="C538" s="8">
        <v>2</v>
      </c>
      <c r="D538" s="8">
        <v>16</v>
      </c>
      <c r="E538" s="8">
        <v>17</v>
      </c>
      <c r="F538" s="9" t="s">
        <v>23</v>
      </c>
      <c r="G538" s="13" t="s">
        <v>24</v>
      </c>
      <c r="H538" s="14" t="s">
        <v>25</v>
      </c>
      <c r="I538" s="8">
        <v>34</v>
      </c>
      <c r="J538" s="15">
        <v>10.822536130248883</v>
      </c>
      <c r="K538" s="8">
        <v>5.5</v>
      </c>
      <c r="L538" s="8">
        <v>11</v>
      </c>
      <c r="M538" s="7"/>
      <c r="N538" s="12" t="s">
        <v>20</v>
      </c>
      <c r="O538" s="12" t="s">
        <v>16</v>
      </c>
      <c r="P538" s="57" t="str">
        <f t="shared" si="24"/>
        <v>un fuste</v>
      </c>
      <c r="Q538">
        <f t="shared" si="25"/>
        <v>10</v>
      </c>
      <c r="R538">
        <f t="shared" si="26"/>
        <v>10</v>
      </c>
      <c r="S538">
        <v>15</v>
      </c>
      <c r="T538" t="s">
        <v>277</v>
      </c>
      <c r="U538">
        <v>6.2625572914895164E-2</v>
      </c>
    </row>
    <row r="539" spans="1:21" x14ac:dyDescent="0.25">
      <c r="A539" s="7">
        <v>1</v>
      </c>
      <c r="B539" s="7">
        <v>100</v>
      </c>
      <c r="C539" s="7">
        <v>3</v>
      </c>
      <c r="D539" s="8">
        <v>17</v>
      </c>
      <c r="E539" s="7">
        <v>17</v>
      </c>
      <c r="F539" s="9" t="s">
        <v>23</v>
      </c>
      <c r="G539" s="13" t="s">
        <v>24</v>
      </c>
      <c r="H539" s="11" t="s">
        <v>25</v>
      </c>
      <c r="I539" s="7">
        <v>25</v>
      </c>
      <c r="J539" s="15">
        <v>7.9577471545947667</v>
      </c>
      <c r="K539" s="7">
        <v>6</v>
      </c>
      <c r="L539" s="7">
        <v>9</v>
      </c>
      <c r="M539" s="7"/>
      <c r="N539" s="12" t="s">
        <v>20</v>
      </c>
      <c r="O539" s="12" t="s">
        <v>16</v>
      </c>
      <c r="P539" s="57" t="str">
        <f t="shared" si="24"/>
        <v>un fuste</v>
      </c>
      <c r="Q539">
        <f t="shared" si="25"/>
        <v>10</v>
      </c>
      <c r="R539">
        <f t="shared" si="26"/>
        <v>10</v>
      </c>
    </row>
    <row r="540" spans="1:21" x14ac:dyDescent="0.25">
      <c r="A540" s="7">
        <v>6</v>
      </c>
      <c r="B540" s="7">
        <v>100</v>
      </c>
      <c r="C540" s="8">
        <v>3</v>
      </c>
      <c r="D540" s="8" t="s">
        <v>181</v>
      </c>
      <c r="E540" s="8">
        <v>17</v>
      </c>
      <c r="F540" s="9" t="s">
        <v>23</v>
      </c>
      <c r="G540" s="13" t="s">
        <v>24</v>
      </c>
      <c r="H540" s="11" t="s">
        <v>25</v>
      </c>
      <c r="I540" s="7">
        <v>22</v>
      </c>
      <c r="J540" s="15">
        <v>7.0028174960433951</v>
      </c>
      <c r="K540" s="7">
        <v>4</v>
      </c>
      <c r="L540" s="8">
        <v>9</v>
      </c>
      <c r="M540" s="7"/>
      <c r="N540" s="12" t="s">
        <v>20</v>
      </c>
      <c r="O540" s="12" t="s">
        <v>16</v>
      </c>
      <c r="P540" s="31" t="e">
        <f t="shared" si="24"/>
        <v>#VALUE!</v>
      </c>
      <c r="Q540">
        <f t="shared" si="25"/>
        <v>10</v>
      </c>
      <c r="R540">
        <f t="shared" si="26"/>
        <v>5</v>
      </c>
    </row>
    <row r="541" spans="1:21" x14ac:dyDescent="0.25">
      <c r="A541" s="7">
        <v>2</v>
      </c>
      <c r="B541" s="7">
        <v>500</v>
      </c>
      <c r="C541" s="7">
        <v>1</v>
      </c>
      <c r="D541" s="8">
        <v>18</v>
      </c>
      <c r="E541" s="7">
        <v>18</v>
      </c>
      <c r="F541" s="9" t="s">
        <v>23</v>
      </c>
      <c r="G541" s="10" t="s">
        <v>24</v>
      </c>
      <c r="H541" s="11" t="s">
        <v>25</v>
      </c>
      <c r="I541" s="7">
        <v>36</v>
      </c>
      <c r="J541" s="15">
        <v>11.459155902616464</v>
      </c>
      <c r="K541" s="7">
        <v>8</v>
      </c>
      <c r="L541" s="7">
        <v>12</v>
      </c>
      <c r="M541" s="7"/>
      <c r="N541" s="12" t="s">
        <v>20</v>
      </c>
      <c r="O541" s="12" t="s">
        <v>16</v>
      </c>
      <c r="P541" s="57" t="str">
        <f t="shared" si="24"/>
        <v>un fuste</v>
      </c>
      <c r="Q541">
        <f t="shared" si="25"/>
        <v>12.5</v>
      </c>
      <c r="R541">
        <f t="shared" si="26"/>
        <v>10</v>
      </c>
      <c r="S541">
        <v>15</v>
      </c>
      <c r="T541" t="s">
        <v>277</v>
      </c>
      <c r="U541">
        <v>7.5567938006532748E-2</v>
      </c>
    </row>
    <row r="542" spans="1:21" x14ac:dyDescent="0.25">
      <c r="A542" s="7">
        <v>3</v>
      </c>
      <c r="B542" s="7">
        <v>500</v>
      </c>
      <c r="C542" s="8">
        <v>2</v>
      </c>
      <c r="D542" s="8">
        <v>18</v>
      </c>
      <c r="E542" s="8">
        <v>18</v>
      </c>
      <c r="F542" s="9" t="s">
        <v>23</v>
      </c>
      <c r="G542" s="10" t="s">
        <v>24</v>
      </c>
      <c r="H542" s="11" t="s">
        <v>25</v>
      </c>
      <c r="I542" s="7">
        <v>51</v>
      </c>
      <c r="J542" s="15">
        <v>16.233804195373324</v>
      </c>
      <c r="K542" s="7">
        <v>7.5</v>
      </c>
      <c r="L542" s="7">
        <v>11</v>
      </c>
      <c r="M542" s="7"/>
      <c r="N542" s="12" t="s">
        <v>20</v>
      </c>
      <c r="O542" s="12" t="s">
        <v>16</v>
      </c>
      <c r="P542" s="57" t="str">
        <f t="shared" si="24"/>
        <v>un fuste</v>
      </c>
      <c r="Q542">
        <f t="shared" si="25"/>
        <v>10</v>
      </c>
      <c r="R542">
        <f t="shared" si="26"/>
        <v>15</v>
      </c>
      <c r="S542">
        <v>15</v>
      </c>
      <c r="T542" t="s">
        <v>277</v>
      </c>
      <c r="U542">
        <v>0.13358660401688185</v>
      </c>
    </row>
    <row r="543" spans="1:21" x14ac:dyDescent="0.25">
      <c r="A543" s="7">
        <v>5</v>
      </c>
      <c r="B543" s="7">
        <v>500</v>
      </c>
      <c r="C543" s="8">
        <v>2</v>
      </c>
      <c r="D543" s="8">
        <v>17</v>
      </c>
      <c r="E543" s="8">
        <v>18</v>
      </c>
      <c r="F543" s="9" t="s">
        <v>23</v>
      </c>
      <c r="G543" s="10" t="s">
        <v>24</v>
      </c>
      <c r="H543" s="11" t="s">
        <v>25</v>
      </c>
      <c r="I543" s="8">
        <v>44</v>
      </c>
      <c r="J543" s="15">
        <v>14.00563499208679</v>
      </c>
      <c r="K543" s="8">
        <v>7</v>
      </c>
      <c r="L543" s="8">
        <v>10</v>
      </c>
      <c r="M543" s="7"/>
      <c r="N543" s="12" t="s">
        <v>20</v>
      </c>
      <c r="O543" s="12" t="s">
        <v>16</v>
      </c>
      <c r="P543" s="57" t="str">
        <f t="shared" si="24"/>
        <v>un fuste</v>
      </c>
      <c r="Q543">
        <f t="shared" si="25"/>
        <v>10</v>
      </c>
      <c r="R543">
        <f t="shared" si="26"/>
        <v>15</v>
      </c>
      <c r="S543">
        <v>15</v>
      </c>
      <c r="T543" t="s">
        <v>277</v>
      </c>
      <c r="U543">
        <v>9.2768825280786782E-2</v>
      </c>
    </row>
    <row r="544" spans="1:21" x14ac:dyDescent="0.25">
      <c r="A544" s="7">
        <v>6</v>
      </c>
      <c r="B544" s="7">
        <v>100</v>
      </c>
      <c r="C544" s="8">
        <v>3</v>
      </c>
      <c r="D544" s="8" t="s">
        <v>182</v>
      </c>
      <c r="E544" s="8">
        <v>18</v>
      </c>
      <c r="F544" s="9" t="s">
        <v>23</v>
      </c>
      <c r="G544" s="10" t="s">
        <v>24</v>
      </c>
      <c r="H544" s="11" t="s">
        <v>25</v>
      </c>
      <c r="I544" s="7">
        <v>19.5</v>
      </c>
      <c r="J544" s="15">
        <v>6.2070427805839179</v>
      </c>
      <c r="K544" s="7">
        <v>3.5</v>
      </c>
      <c r="L544" s="7">
        <v>8</v>
      </c>
      <c r="M544" s="7"/>
      <c r="N544" s="12" t="s">
        <v>20</v>
      </c>
      <c r="O544" s="12" t="s">
        <v>16</v>
      </c>
      <c r="P544" s="31" t="e">
        <f t="shared" si="24"/>
        <v>#VALUE!</v>
      </c>
      <c r="Q544">
        <f t="shared" si="25"/>
        <v>7.5</v>
      </c>
      <c r="R544">
        <f t="shared" si="26"/>
        <v>5</v>
      </c>
    </row>
    <row r="545" spans="1:21" x14ac:dyDescent="0.25">
      <c r="A545" s="7">
        <v>1</v>
      </c>
      <c r="B545" s="7">
        <v>500</v>
      </c>
      <c r="C545" s="7">
        <v>3</v>
      </c>
      <c r="D545" s="8">
        <v>16</v>
      </c>
      <c r="E545" s="7">
        <v>19</v>
      </c>
      <c r="F545" s="9" t="s">
        <v>23</v>
      </c>
      <c r="G545" s="10" t="s">
        <v>24</v>
      </c>
      <c r="H545" s="11" t="s">
        <v>25</v>
      </c>
      <c r="I545" s="7">
        <v>34</v>
      </c>
      <c r="J545" s="15">
        <v>10.822536130248883</v>
      </c>
      <c r="K545" s="7">
        <v>5</v>
      </c>
      <c r="L545" s="7">
        <v>10</v>
      </c>
      <c r="M545" s="7"/>
      <c r="N545" s="12" t="s">
        <v>20</v>
      </c>
      <c r="O545" s="12" t="s">
        <v>16</v>
      </c>
      <c r="P545" s="57" t="str">
        <f t="shared" si="24"/>
        <v>un fuste</v>
      </c>
      <c r="Q545">
        <f t="shared" si="25"/>
        <v>10</v>
      </c>
      <c r="R545">
        <f t="shared" si="26"/>
        <v>10</v>
      </c>
      <c r="S545">
        <v>15</v>
      </c>
      <c r="T545" t="s">
        <v>277</v>
      </c>
      <c r="U545">
        <v>5.7304513444342842E-2</v>
      </c>
    </row>
    <row r="546" spans="1:21" x14ac:dyDescent="0.25">
      <c r="A546" s="7">
        <v>5</v>
      </c>
      <c r="B546" s="7">
        <v>500</v>
      </c>
      <c r="C546" s="7">
        <v>2</v>
      </c>
      <c r="D546" s="8">
        <v>18</v>
      </c>
      <c r="E546" s="8">
        <v>19</v>
      </c>
      <c r="F546" s="9" t="s">
        <v>23</v>
      </c>
      <c r="G546" s="13" t="s">
        <v>24</v>
      </c>
      <c r="H546" s="14" t="s">
        <v>25</v>
      </c>
      <c r="I546" s="7">
        <v>41.5</v>
      </c>
      <c r="J546" s="15">
        <v>13.209860276627314</v>
      </c>
      <c r="K546" s="7">
        <v>3</v>
      </c>
      <c r="L546" s="7">
        <v>10</v>
      </c>
      <c r="M546" s="7"/>
      <c r="N546" s="12" t="s">
        <v>29</v>
      </c>
      <c r="O546" s="12" t="s">
        <v>16</v>
      </c>
      <c r="P546" s="57" t="str">
        <f t="shared" si="24"/>
        <v>un fuste</v>
      </c>
      <c r="Q546">
        <f t="shared" si="25"/>
        <v>10</v>
      </c>
      <c r="R546">
        <f t="shared" si="26"/>
        <v>15</v>
      </c>
      <c r="S546">
        <v>15</v>
      </c>
      <c r="T546" t="s">
        <v>277</v>
      </c>
      <c r="U546">
        <v>8.3164084326966745E-2</v>
      </c>
    </row>
    <row r="547" spans="1:21" x14ac:dyDescent="0.25">
      <c r="A547" s="7">
        <v>4</v>
      </c>
      <c r="B547" s="7">
        <v>100</v>
      </c>
      <c r="C547" s="8">
        <v>3</v>
      </c>
      <c r="D547" s="8">
        <v>18</v>
      </c>
      <c r="E547" s="8">
        <v>19</v>
      </c>
      <c r="F547" s="9" t="s">
        <v>23</v>
      </c>
      <c r="G547" s="13" t="s">
        <v>24</v>
      </c>
      <c r="H547" s="14" t="s">
        <v>25</v>
      </c>
      <c r="I547" s="7">
        <v>19</v>
      </c>
      <c r="J547" s="15">
        <v>6.0478878374920226</v>
      </c>
      <c r="K547" s="7">
        <v>7</v>
      </c>
      <c r="L547" s="7">
        <v>11</v>
      </c>
      <c r="M547" s="7"/>
      <c r="N547" s="12" t="s">
        <v>20</v>
      </c>
      <c r="O547" s="12" t="s">
        <v>16</v>
      </c>
      <c r="P547" s="57" t="str">
        <f t="shared" si="24"/>
        <v>un fuste</v>
      </c>
      <c r="Q547">
        <f t="shared" si="25"/>
        <v>10</v>
      </c>
      <c r="R547">
        <f t="shared" si="26"/>
        <v>5</v>
      </c>
    </row>
    <row r="548" spans="1:21" x14ac:dyDescent="0.25">
      <c r="A548" s="7">
        <v>12</v>
      </c>
      <c r="B548" s="7">
        <v>100</v>
      </c>
      <c r="C548" s="7">
        <v>2</v>
      </c>
      <c r="D548" s="8">
        <v>14</v>
      </c>
      <c r="E548" s="7">
        <v>19</v>
      </c>
      <c r="F548" s="9" t="s">
        <v>23</v>
      </c>
      <c r="G548" s="13" t="s">
        <v>24</v>
      </c>
      <c r="H548" s="14" t="s">
        <v>25</v>
      </c>
      <c r="I548" s="7">
        <v>16</v>
      </c>
      <c r="J548" s="15">
        <v>5.0929581789406511</v>
      </c>
      <c r="K548" s="7">
        <v>5</v>
      </c>
      <c r="L548" s="7">
        <v>8</v>
      </c>
      <c r="M548" s="7"/>
      <c r="N548" s="12" t="s">
        <v>20</v>
      </c>
      <c r="O548" s="12" t="s">
        <v>16</v>
      </c>
      <c r="P548" s="57" t="str">
        <f t="shared" si="24"/>
        <v>un fuste</v>
      </c>
      <c r="Q548">
        <f t="shared" si="25"/>
        <v>7.5</v>
      </c>
      <c r="R548">
        <f t="shared" si="26"/>
        <v>5</v>
      </c>
    </row>
    <row r="549" spans="1:21" x14ac:dyDescent="0.25">
      <c r="A549" s="7">
        <v>3</v>
      </c>
      <c r="B549" s="7">
        <v>500</v>
      </c>
      <c r="C549" s="7">
        <v>2</v>
      </c>
      <c r="D549" s="8">
        <v>20</v>
      </c>
      <c r="E549" s="7">
        <v>20</v>
      </c>
      <c r="F549" s="9" t="s">
        <v>23</v>
      </c>
      <c r="G549" s="13" t="s">
        <v>24</v>
      </c>
      <c r="H549" s="11" t="s">
        <v>25</v>
      </c>
      <c r="I549" s="7">
        <v>44</v>
      </c>
      <c r="J549" s="15">
        <v>14.00563499208679</v>
      </c>
      <c r="K549" s="7">
        <v>6</v>
      </c>
      <c r="L549" s="7">
        <v>12</v>
      </c>
      <c r="M549" s="7"/>
      <c r="N549" s="12" t="s">
        <v>20</v>
      </c>
      <c r="O549" s="12" t="s">
        <v>16</v>
      </c>
      <c r="P549" s="57" t="str">
        <f t="shared" si="24"/>
        <v>un fuste</v>
      </c>
      <c r="Q549">
        <f t="shared" si="25"/>
        <v>12.5</v>
      </c>
      <c r="R549">
        <f t="shared" si="26"/>
        <v>15</v>
      </c>
      <c r="S549">
        <v>15</v>
      </c>
      <c r="T549" t="s">
        <v>277</v>
      </c>
      <c r="U549">
        <v>0.1099436353883419</v>
      </c>
    </row>
    <row r="550" spans="1:21" x14ac:dyDescent="0.25">
      <c r="A550" s="7">
        <v>5</v>
      </c>
      <c r="B550" s="7">
        <v>500</v>
      </c>
      <c r="C550" s="7">
        <v>2</v>
      </c>
      <c r="D550" s="8" t="s">
        <v>163</v>
      </c>
      <c r="E550" s="8">
        <v>20</v>
      </c>
      <c r="F550" s="17" t="s">
        <v>23</v>
      </c>
      <c r="G550" s="10" t="s">
        <v>24</v>
      </c>
      <c r="H550" s="11" t="s">
        <v>25</v>
      </c>
      <c r="I550" s="7">
        <v>34.5</v>
      </c>
      <c r="J550" s="15">
        <v>10.981691073340778</v>
      </c>
      <c r="K550" s="7">
        <v>6</v>
      </c>
      <c r="L550" s="7">
        <v>9</v>
      </c>
      <c r="M550" s="7"/>
      <c r="N550" s="12" t="s">
        <v>20</v>
      </c>
      <c r="O550" s="12" t="s">
        <v>16</v>
      </c>
      <c r="P550" s="31" t="e">
        <f t="shared" si="24"/>
        <v>#VALUE!</v>
      </c>
      <c r="Q550">
        <f t="shared" si="25"/>
        <v>10</v>
      </c>
      <c r="R550">
        <f t="shared" si="26"/>
        <v>10</v>
      </c>
      <c r="S550">
        <v>15</v>
      </c>
      <c r="T550" t="s">
        <v>277</v>
      </c>
      <c r="U550">
        <v>5.3383323907952501E-2</v>
      </c>
    </row>
    <row r="551" spans="1:21" x14ac:dyDescent="0.25">
      <c r="A551" s="7">
        <v>8</v>
      </c>
      <c r="B551" s="7">
        <v>5</v>
      </c>
      <c r="C551" s="8"/>
      <c r="D551" s="8">
        <v>1</v>
      </c>
      <c r="E551" s="8">
        <v>1</v>
      </c>
      <c r="F551" s="9" t="s">
        <v>108</v>
      </c>
      <c r="G551" s="10" t="s">
        <v>132</v>
      </c>
      <c r="H551" s="11" t="s">
        <v>133</v>
      </c>
      <c r="I551" s="7"/>
      <c r="J551" s="7"/>
      <c r="K551" s="7"/>
      <c r="L551" s="8">
        <v>2.5</v>
      </c>
      <c r="M551" s="7" t="e">
        <v>#REF!</v>
      </c>
      <c r="N551" s="12"/>
      <c r="O551" s="12"/>
      <c r="P551" s="57" t="str">
        <f t="shared" si="24"/>
        <v>un fuste</v>
      </c>
      <c r="Q551">
        <f t="shared" si="25"/>
        <v>2.5</v>
      </c>
      <c r="R551">
        <f t="shared" si="26"/>
        <v>5</v>
      </c>
    </row>
    <row r="552" spans="1:21" x14ac:dyDescent="0.25">
      <c r="A552" s="7">
        <v>2</v>
      </c>
      <c r="B552" s="7">
        <v>500</v>
      </c>
      <c r="C552" s="7">
        <v>2</v>
      </c>
      <c r="D552" s="8">
        <v>21</v>
      </c>
      <c r="E552" s="8">
        <v>21</v>
      </c>
      <c r="F552" s="17" t="s">
        <v>23</v>
      </c>
      <c r="G552" s="10" t="s">
        <v>24</v>
      </c>
      <c r="H552" s="11" t="s">
        <v>25</v>
      </c>
      <c r="I552" s="7">
        <v>46</v>
      </c>
      <c r="J552" s="15">
        <v>14.642254764454371</v>
      </c>
      <c r="K552" s="7">
        <v>5</v>
      </c>
      <c r="L552" s="7">
        <v>11</v>
      </c>
      <c r="M552" s="7"/>
      <c r="N552" s="12" t="s">
        <v>29</v>
      </c>
      <c r="O552" s="12" t="s">
        <v>16</v>
      </c>
      <c r="P552" s="57" t="str">
        <f t="shared" si="24"/>
        <v>un fuste</v>
      </c>
      <c r="Q552">
        <f t="shared" si="25"/>
        <v>10</v>
      </c>
      <c r="R552">
        <f t="shared" si="26"/>
        <v>15</v>
      </c>
      <c r="S552">
        <v>15</v>
      </c>
      <c r="T552" t="s">
        <v>277</v>
      </c>
      <c r="U552">
        <v>0.11016279412741189</v>
      </c>
    </row>
    <row r="553" spans="1:21" x14ac:dyDescent="0.25">
      <c r="A553" s="7">
        <v>5</v>
      </c>
      <c r="B553" s="7">
        <v>500</v>
      </c>
      <c r="C553" s="8">
        <v>2</v>
      </c>
      <c r="D553" s="8">
        <v>19</v>
      </c>
      <c r="E553" s="8">
        <v>21</v>
      </c>
      <c r="F553" s="9" t="s">
        <v>23</v>
      </c>
      <c r="G553" s="13" t="s">
        <v>24</v>
      </c>
      <c r="H553" s="11" t="s">
        <v>25</v>
      </c>
      <c r="I553" s="7">
        <v>42</v>
      </c>
      <c r="J553" s="15">
        <v>13.369015219719209</v>
      </c>
      <c r="K553" s="7">
        <v>4.5</v>
      </c>
      <c r="L553" s="7">
        <v>11</v>
      </c>
      <c r="M553" s="7"/>
      <c r="N553" s="12" t="s">
        <v>20</v>
      </c>
      <c r="O553" s="12" t="s">
        <v>16</v>
      </c>
      <c r="P553" s="57" t="str">
        <f t="shared" si="24"/>
        <v>un fuste</v>
      </c>
      <c r="Q553">
        <f t="shared" si="25"/>
        <v>10</v>
      </c>
      <c r="R553">
        <f t="shared" si="26"/>
        <v>15</v>
      </c>
      <c r="S553">
        <v>15</v>
      </c>
      <c r="T553" t="s">
        <v>277</v>
      </c>
      <c r="U553">
        <v>9.2942996589490443E-2</v>
      </c>
    </row>
    <row r="554" spans="1:21" x14ac:dyDescent="0.25">
      <c r="A554" s="7">
        <v>9</v>
      </c>
      <c r="B554" s="7">
        <v>500</v>
      </c>
      <c r="C554" s="8">
        <v>4</v>
      </c>
      <c r="D554" s="8">
        <v>20</v>
      </c>
      <c r="E554" s="8">
        <v>21</v>
      </c>
      <c r="F554" s="9" t="s">
        <v>23</v>
      </c>
      <c r="G554" s="10" t="s">
        <v>24</v>
      </c>
      <c r="H554" s="11" t="s">
        <v>25</v>
      </c>
      <c r="I554" s="7">
        <v>37.5</v>
      </c>
      <c r="J554" s="15">
        <v>11.93662073189215</v>
      </c>
      <c r="K554" s="7">
        <v>6</v>
      </c>
      <c r="L554" s="8">
        <v>10</v>
      </c>
      <c r="M554" s="7"/>
      <c r="N554" s="12" t="s">
        <v>29</v>
      </c>
      <c r="O554" s="12" t="s">
        <v>16</v>
      </c>
      <c r="P554" s="57" t="str">
        <f t="shared" si="24"/>
        <v>un fuste</v>
      </c>
      <c r="Q554">
        <f t="shared" si="25"/>
        <v>10</v>
      </c>
      <c r="R554">
        <f t="shared" si="26"/>
        <v>10</v>
      </c>
      <c r="S554">
        <v>15</v>
      </c>
      <c r="T554" t="s">
        <v>277</v>
      </c>
      <c r="U554">
        <v>6.8816755739047483E-2</v>
      </c>
    </row>
    <row r="555" spans="1:21" x14ac:dyDescent="0.25">
      <c r="A555" s="7">
        <v>2</v>
      </c>
      <c r="B555" s="7">
        <v>500</v>
      </c>
      <c r="C555" s="7">
        <v>2</v>
      </c>
      <c r="D555" s="8" t="s">
        <v>114</v>
      </c>
      <c r="E555" s="7">
        <v>22</v>
      </c>
      <c r="F555" s="9" t="s">
        <v>23</v>
      </c>
      <c r="G555" s="10" t="s">
        <v>24</v>
      </c>
      <c r="H555" s="11" t="s">
        <v>25</v>
      </c>
      <c r="I555" s="7">
        <v>40</v>
      </c>
      <c r="J555" s="15">
        <v>12.732395447351628</v>
      </c>
      <c r="K555" s="7">
        <v>6</v>
      </c>
      <c r="L555" s="7">
        <v>11</v>
      </c>
      <c r="M555" s="7"/>
      <c r="N555" s="12" t="s">
        <v>20</v>
      </c>
      <c r="O555" s="12" t="s">
        <v>16</v>
      </c>
      <c r="P555" s="31" t="e">
        <f t="shared" si="24"/>
        <v>#VALUE!</v>
      </c>
      <c r="Q555">
        <f t="shared" si="25"/>
        <v>10</v>
      </c>
      <c r="R555">
        <f t="shared" si="26"/>
        <v>15</v>
      </c>
      <c r="S555">
        <v>15</v>
      </c>
      <c r="T555" t="s">
        <v>277</v>
      </c>
      <c r="U555">
        <v>8.4845010681965774E-2</v>
      </c>
    </row>
    <row r="556" spans="1:21" x14ac:dyDescent="0.25">
      <c r="A556" s="7">
        <v>3</v>
      </c>
      <c r="B556" s="7">
        <v>500</v>
      </c>
      <c r="C556" s="7">
        <v>2</v>
      </c>
      <c r="D556" s="8">
        <v>22</v>
      </c>
      <c r="E556" s="8">
        <v>22</v>
      </c>
      <c r="F556" s="17" t="s">
        <v>23</v>
      </c>
      <c r="G556" s="18" t="s">
        <v>24</v>
      </c>
      <c r="H556" s="11" t="s">
        <v>25</v>
      </c>
      <c r="I556" s="7">
        <v>42</v>
      </c>
      <c r="J556" s="15">
        <v>13.369015219719209</v>
      </c>
      <c r="K556" s="7">
        <v>6</v>
      </c>
      <c r="L556" s="7">
        <v>12</v>
      </c>
      <c r="M556" s="7"/>
      <c r="N556" s="12" t="s">
        <v>20</v>
      </c>
      <c r="O556" s="12" t="s">
        <v>16</v>
      </c>
      <c r="P556" s="57" t="str">
        <f t="shared" si="24"/>
        <v>un fuste</v>
      </c>
      <c r="Q556">
        <f t="shared" si="25"/>
        <v>12.5</v>
      </c>
      <c r="R556">
        <f t="shared" si="26"/>
        <v>15</v>
      </c>
      <c r="S556">
        <v>15</v>
      </c>
      <c r="T556" t="s">
        <v>277</v>
      </c>
      <c r="U556">
        <v>0.10079101622715905</v>
      </c>
    </row>
    <row r="557" spans="1:21" x14ac:dyDescent="0.25">
      <c r="A557" s="7">
        <v>1</v>
      </c>
      <c r="B557" s="7">
        <v>100</v>
      </c>
      <c r="C557" s="8">
        <v>4</v>
      </c>
      <c r="D557" s="8">
        <v>22</v>
      </c>
      <c r="E557" s="8">
        <v>22</v>
      </c>
      <c r="F557" s="9" t="s">
        <v>23</v>
      </c>
      <c r="G557" s="13" t="s">
        <v>24</v>
      </c>
      <c r="H557" s="11" t="s">
        <v>25</v>
      </c>
      <c r="I557" s="7">
        <v>19.5</v>
      </c>
      <c r="J557" s="15">
        <v>6.2070427805839179</v>
      </c>
      <c r="K557" s="7">
        <v>7</v>
      </c>
      <c r="L557" s="8">
        <v>9</v>
      </c>
      <c r="M557" s="7"/>
      <c r="N557" s="12" t="s">
        <v>20</v>
      </c>
      <c r="O557" s="12" t="s">
        <v>16</v>
      </c>
      <c r="P557" s="57" t="str">
        <f t="shared" si="24"/>
        <v>un fuste</v>
      </c>
      <c r="Q557">
        <f t="shared" si="25"/>
        <v>10</v>
      </c>
      <c r="R557">
        <f t="shared" si="26"/>
        <v>5</v>
      </c>
    </row>
    <row r="558" spans="1:21" x14ac:dyDescent="0.25">
      <c r="A558" s="7">
        <v>3</v>
      </c>
      <c r="B558" s="7">
        <v>500</v>
      </c>
      <c r="C558" s="8">
        <v>2</v>
      </c>
      <c r="D558" s="8">
        <v>24</v>
      </c>
      <c r="E558" s="8">
        <v>24</v>
      </c>
      <c r="F558" s="9" t="s">
        <v>23</v>
      </c>
      <c r="G558" s="13" t="s">
        <v>24</v>
      </c>
      <c r="H558" s="11" t="s">
        <v>25</v>
      </c>
      <c r="I558" s="7">
        <v>31.5</v>
      </c>
      <c r="J558" s="15">
        <v>10.026761414789407</v>
      </c>
      <c r="K558" s="7">
        <v>4</v>
      </c>
      <c r="L558" s="7">
        <v>9</v>
      </c>
      <c r="M558" s="7"/>
      <c r="N558" s="12" t="s">
        <v>20</v>
      </c>
      <c r="O558" s="12" t="s">
        <v>16</v>
      </c>
      <c r="P558" s="57" t="str">
        <f t="shared" si="24"/>
        <v>un fuste</v>
      </c>
      <c r="Q558">
        <f t="shared" si="25"/>
        <v>10</v>
      </c>
      <c r="R558">
        <f t="shared" si="26"/>
        <v>10</v>
      </c>
      <c r="S558">
        <v>15</v>
      </c>
      <c r="T558" t="s">
        <v>277</v>
      </c>
      <c r="U558">
        <v>4.5038854825831719E-2</v>
      </c>
    </row>
    <row r="559" spans="1:21" x14ac:dyDescent="0.25">
      <c r="A559" s="7">
        <v>3</v>
      </c>
      <c r="B559" s="7">
        <v>500</v>
      </c>
      <c r="C559" s="8">
        <v>2</v>
      </c>
      <c r="D559" s="8">
        <v>26</v>
      </c>
      <c r="E559" s="8">
        <v>26</v>
      </c>
      <c r="F559" s="9" t="s">
        <v>23</v>
      </c>
      <c r="G559" s="13" t="s">
        <v>24</v>
      </c>
      <c r="H559" s="11" t="s">
        <v>25</v>
      </c>
      <c r="I559" s="7">
        <v>34</v>
      </c>
      <c r="J559" s="15">
        <v>10.822536130248883</v>
      </c>
      <c r="K559" s="7">
        <v>7</v>
      </c>
      <c r="L559" s="7">
        <v>11</v>
      </c>
      <c r="M559" s="7"/>
      <c r="N559" s="12" t="s">
        <v>20</v>
      </c>
      <c r="O559" s="12" t="s">
        <v>16</v>
      </c>
      <c r="P559" s="57" t="str">
        <f t="shared" si="24"/>
        <v>un fuste</v>
      </c>
      <c r="Q559">
        <f t="shared" si="25"/>
        <v>10</v>
      </c>
      <c r="R559">
        <f t="shared" si="26"/>
        <v>10</v>
      </c>
      <c r="S559">
        <v>15</v>
      </c>
      <c r="T559" t="s">
        <v>277</v>
      </c>
      <c r="U559">
        <v>6.2625572914895164E-2</v>
      </c>
    </row>
    <row r="560" spans="1:21" x14ac:dyDescent="0.25">
      <c r="A560" s="7">
        <v>4</v>
      </c>
      <c r="B560" s="7">
        <v>500</v>
      </c>
      <c r="C560" s="8">
        <v>2</v>
      </c>
      <c r="D560" s="8">
        <v>25</v>
      </c>
      <c r="E560" s="8">
        <v>26</v>
      </c>
      <c r="F560" s="9" t="s">
        <v>23</v>
      </c>
      <c r="G560" s="21" t="s">
        <v>24</v>
      </c>
      <c r="H560" s="14" t="s">
        <v>25</v>
      </c>
      <c r="I560" s="7">
        <v>44</v>
      </c>
      <c r="J560" s="15">
        <v>14.00563499208679</v>
      </c>
      <c r="K560" s="7">
        <v>6</v>
      </c>
      <c r="L560" s="7">
        <v>10</v>
      </c>
      <c r="M560" s="7"/>
      <c r="N560" s="12" t="s">
        <v>20</v>
      </c>
      <c r="O560" s="12" t="s">
        <v>16</v>
      </c>
      <c r="P560" s="57" t="str">
        <f t="shared" si="24"/>
        <v>un fuste</v>
      </c>
      <c r="Q560">
        <f t="shared" si="25"/>
        <v>10</v>
      </c>
      <c r="R560">
        <f t="shared" si="26"/>
        <v>15</v>
      </c>
      <c r="S560">
        <v>15</v>
      </c>
      <c r="T560" t="s">
        <v>277</v>
      </c>
      <c r="U560">
        <v>9.2768825280786782E-2</v>
      </c>
    </row>
    <row r="561" spans="1:21" x14ac:dyDescent="0.25">
      <c r="A561" s="7">
        <v>4</v>
      </c>
      <c r="B561" s="7">
        <v>500</v>
      </c>
      <c r="C561" s="7">
        <v>2</v>
      </c>
      <c r="D561" s="8">
        <v>26</v>
      </c>
      <c r="E561" s="7">
        <v>27</v>
      </c>
      <c r="F561" s="9" t="s">
        <v>23</v>
      </c>
      <c r="G561" s="13" t="s">
        <v>24</v>
      </c>
      <c r="H561" s="11" t="s">
        <v>25</v>
      </c>
      <c r="I561" s="7">
        <v>31.5</v>
      </c>
      <c r="J561" s="15">
        <v>10.026761414789407</v>
      </c>
      <c r="K561" s="7">
        <v>5.5</v>
      </c>
      <c r="L561" s="7">
        <v>11</v>
      </c>
      <c r="M561" s="7"/>
      <c r="N561" s="12" t="s">
        <v>20</v>
      </c>
      <c r="O561" s="12" t="s">
        <v>16</v>
      </c>
      <c r="P561" s="57" t="str">
        <f t="shared" si="24"/>
        <v>un fuste</v>
      </c>
      <c r="Q561">
        <f t="shared" si="25"/>
        <v>10</v>
      </c>
      <c r="R561">
        <f t="shared" si="26"/>
        <v>10</v>
      </c>
      <c r="S561">
        <v>15</v>
      </c>
      <c r="T561" t="s">
        <v>277</v>
      </c>
      <c r="U561">
        <v>5.4297459598910108E-2</v>
      </c>
    </row>
    <row r="562" spans="1:21" x14ac:dyDescent="0.25">
      <c r="A562" s="7">
        <v>1</v>
      </c>
      <c r="B562" s="7">
        <v>100</v>
      </c>
      <c r="C562" s="8">
        <v>4</v>
      </c>
      <c r="D562" s="8">
        <v>27</v>
      </c>
      <c r="E562" s="8">
        <v>27</v>
      </c>
      <c r="F562" s="9" t="s">
        <v>23</v>
      </c>
      <c r="G562" s="10" t="s">
        <v>24</v>
      </c>
      <c r="H562" s="11" t="s">
        <v>25</v>
      </c>
      <c r="I562" s="8">
        <v>27</v>
      </c>
      <c r="J562" s="15">
        <v>8.5943669269623477</v>
      </c>
      <c r="K562" s="8">
        <v>7</v>
      </c>
      <c r="L562" s="8">
        <v>10</v>
      </c>
      <c r="M562" s="7"/>
      <c r="N562" s="12" t="s">
        <v>20</v>
      </c>
      <c r="O562" s="12" t="s">
        <v>16</v>
      </c>
      <c r="P562" s="57" t="str">
        <f t="shared" si="24"/>
        <v>un fuste</v>
      </c>
      <c r="Q562">
        <f t="shared" si="25"/>
        <v>10</v>
      </c>
      <c r="R562">
        <f t="shared" si="26"/>
        <v>10</v>
      </c>
    </row>
    <row r="563" spans="1:21" x14ac:dyDescent="0.25">
      <c r="A563" s="7">
        <v>1</v>
      </c>
      <c r="B563" s="7">
        <v>500</v>
      </c>
      <c r="C563" s="8">
        <v>4</v>
      </c>
      <c r="D563" s="8">
        <v>25</v>
      </c>
      <c r="E563" s="8">
        <v>28</v>
      </c>
      <c r="F563" s="9" t="s">
        <v>23</v>
      </c>
      <c r="G563" s="13" t="s">
        <v>24</v>
      </c>
      <c r="H563" s="11" t="s">
        <v>25</v>
      </c>
      <c r="I563" s="7">
        <v>34</v>
      </c>
      <c r="J563" s="15">
        <v>10.822536130248883</v>
      </c>
      <c r="K563" s="7">
        <v>9</v>
      </c>
      <c r="L563" s="7">
        <v>12</v>
      </c>
      <c r="M563" s="7"/>
      <c r="N563" s="12" t="s">
        <v>20</v>
      </c>
      <c r="O563" s="12" t="s">
        <v>16</v>
      </c>
      <c r="P563" s="57" t="str">
        <f t="shared" si="24"/>
        <v>un fuste</v>
      </c>
      <c r="Q563">
        <f t="shared" si="25"/>
        <v>12.5</v>
      </c>
      <c r="R563">
        <f t="shared" si="26"/>
        <v>10</v>
      </c>
      <c r="S563">
        <v>15</v>
      </c>
      <c r="T563" t="s">
        <v>277</v>
      </c>
      <c r="U563">
        <v>6.7913617674492693E-2</v>
      </c>
    </row>
    <row r="564" spans="1:21" x14ac:dyDescent="0.25">
      <c r="A564" s="7">
        <v>2</v>
      </c>
      <c r="B564" s="7">
        <v>500</v>
      </c>
      <c r="C564" s="8">
        <v>2</v>
      </c>
      <c r="D564" s="7">
        <v>27</v>
      </c>
      <c r="E564" s="7">
        <v>28</v>
      </c>
      <c r="F564" s="9" t="s">
        <v>23</v>
      </c>
      <c r="G564" s="13" t="s">
        <v>24</v>
      </c>
      <c r="H564" s="11" t="s">
        <v>25</v>
      </c>
      <c r="I564" s="7">
        <v>38</v>
      </c>
      <c r="J564" s="15">
        <v>12.095775674984045</v>
      </c>
      <c r="K564" s="7">
        <v>8</v>
      </c>
      <c r="L564" s="7">
        <v>10</v>
      </c>
      <c r="M564" s="7"/>
      <c r="N564" s="12" t="s">
        <v>20</v>
      </c>
      <c r="O564" s="12" t="s">
        <v>16</v>
      </c>
      <c r="P564" s="57" t="str">
        <f t="shared" si="24"/>
        <v>un fuste</v>
      </c>
      <c r="Q564">
        <f t="shared" si="25"/>
        <v>10</v>
      </c>
      <c r="R564">
        <f t="shared" si="26"/>
        <v>10</v>
      </c>
      <c r="S564">
        <v>15</v>
      </c>
      <c r="T564" t="s">
        <v>277</v>
      </c>
      <c r="U564">
        <v>7.0541050140047107E-2</v>
      </c>
    </row>
    <row r="565" spans="1:21" x14ac:dyDescent="0.25">
      <c r="A565" s="7">
        <v>5</v>
      </c>
      <c r="B565" s="7">
        <v>500</v>
      </c>
      <c r="C565" s="8">
        <v>3</v>
      </c>
      <c r="D565" s="8">
        <v>26</v>
      </c>
      <c r="E565" s="8">
        <v>28</v>
      </c>
      <c r="F565" s="17" t="s">
        <v>23</v>
      </c>
      <c r="G565" s="10" t="s">
        <v>24</v>
      </c>
      <c r="H565" s="11" t="s">
        <v>25</v>
      </c>
      <c r="I565" s="7">
        <v>44</v>
      </c>
      <c r="J565" s="15">
        <v>14.00563499208679</v>
      </c>
      <c r="K565" s="7">
        <v>6</v>
      </c>
      <c r="L565" s="7">
        <v>9</v>
      </c>
      <c r="M565" s="7"/>
      <c r="N565" s="12" t="s">
        <v>20</v>
      </c>
      <c r="O565" s="12" t="s">
        <v>16</v>
      </c>
      <c r="P565" s="57" t="str">
        <f t="shared" si="24"/>
        <v>un fuste</v>
      </c>
      <c r="Q565">
        <f t="shared" si="25"/>
        <v>10</v>
      </c>
      <c r="R565">
        <f t="shared" si="26"/>
        <v>15</v>
      </c>
      <c r="S565">
        <v>15</v>
      </c>
      <c r="T565" t="s">
        <v>277</v>
      </c>
      <c r="U565">
        <v>8.4095502185124724E-2</v>
      </c>
    </row>
    <row r="566" spans="1:21" x14ac:dyDescent="0.25">
      <c r="A566" s="7">
        <v>2</v>
      </c>
      <c r="B566" s="7">
        <v>500</v>
      </c>
      <c r="C566" s="7">
        <v>2</v>
      </c>
      <c r="D566" s="8">
        <v>28</v>
      </c>
      <c r="E566" s="7">
        <v>29</v>
      </c>
      <c r="F566" s="9" t="s">
        <v>23</v>
      </c>
      <c r="G566" s="10" t="s">
        <v>24</v>
      </c>
      <c r="H566" s="11" t="s">
        <v>25</v>
      </c>
      <c r="I566" s="7">
        <v>46.5</v>
      </c>
      <c r="J566" s="15">
        <v>14.801409707546267</v>
      </c>
      <c r="K566" s="7">
        <v>5</v>
      </c>
      <c r="L566" s="7">
        <v>10</v>
      </c>
      <c r="M566" s="7"/>
      <c r="N566" s="12" t="s">
        <v>20</v>
      </c>
      <c r="O566" s="12" t="s">
        <v>16</v>
      </c>
      <c r="P566" s="57" t="str">
        <f t="shared" si="24"/>
        <v>un fuste</v>
      </c>
      <c r="Q566">
        <f t="shared" si="25"/>
        <v>10</v>
      </c>
      <c r="R566">
        <f t="shared" si="26"/>
        <v>15</v>
      </c>
      <c r="S566">
        <v>15</v>
      </c>
      <c r="T566" t="s">
        <v>277</v>
      </c>
      <c r="U566">
        <v>0.10285951818264641</v>
      </c>
    </row>
    <row r="567" spans="1:21" x14ac:dyDescent="0.25">
      <c r="A567" s="7">
        <v>3</v>
      </c>
      <c r="B567" s="7">
        <v>500</v>
      </c>
      <c r="C567" s="8">
        <v>3</v>
      </c>
      <c r="D567" s="8">
        <v>29</v>
      </c>
      <c r="E567" s="8">
        <v>29</v>
      </c>
      <c r="F567" s="9" t="s">
        <v>23</v>
      </c>
      <c r="G567" s="13" t="s">
        <v>24</v>
      </c>
      <c r="H567" s="11" t="s">
        <v>25</v>
      </c>
      <c r="I567" s="8">
        <v>32.5</v>
      </c>
      <c r="J567" s="15">
        <v>10.345071300973197</v>
      </c>
      <c r="K567" s="8">
        <v>4</v>
      </c>
      <c r="L567" s="8">
        <v>9</v>
      </c>
      <c r="M567" s="7"/>
      <c r="N567" s="12" t="s">
        <v>20</v>
      </c>
      <c r="O567" s="12" t="s">
        <v>16</v>
      </c>
      <c r="P567" s="57" t="str">
        <f t="shared" si="24"/>
        <v>un fuste</v>
      </c>
      <c r="Q567">
        <f t="shared" si="25"/>
        <v>10</v>
      </c>
      <c r="R567">
        <f t="shared" si="26"/>
        <v>10</v>
      </c>
      <c r="S567">
        <v>15</v>
      </c>
      <c r="T567" t="s">
        <v>277</v>
      </c>
      <c r="U567">
        <v>4.7747094473845987E-2</v>
      </c>
    </row>
    <row r="568" spans="1:21" x14ac:dyDescent="0.25">
      <c r="A568" s="7">
        <v>9</v>
      </c>
      <c r="B568" s="7">
        <v>100</v>
      </c>
      <c r="C568" s="8">
        <v>3</v>
      </c>
      <c r="D568" s="8">
        <v>32</v>
      </c>
      <c r="E568" s="8">
        <v>32</v>
      </c>
      <c r="F568" s="9" t="s">
        <v>23</v>
      </c>
      <c r="G568" s="13" t="s">
        <v>24</v>
      </c>
      <c r="H568" s="14" t="s">
        <v>25</v>
      </c>
      <c r="I568" s="8">
        <v>17</v>
      </c>
      <c r="J568" s="15">
        <v>5.4112680651244416</v>
      </c>
      <c r="K568" s="8">
        <v>7.5</v>
      </c>
      <c r="L568" s="8">
        <v>10</v>
      </c>
      <c r="M568" s="7"/>
      <c r="N568" s="12" t="s">
        <v>20</v>
      </c>
      <c r="O568" s="12" t="s">
        <v>16</v>
      </c>
      <c r="P568" s="57" t="str">
        <f t="shared" si="24"/>
        <v>un fuste</v>
      </c>
      <c r="Q568">
        <f t="shared" si="25"/>
        <v>10</v>
      </c>
      <c r="R568">
        <f t="shared" si="26"/>
        <v>5</v>
      </c>
    </row>
    <row r="569" spans="1:21" x14ac:dyDescent="0.25">
      <c r="A569" s="7">
        <v>1</v>
      </c>
      <c r="B569" s="7">
        <v>500</v>
      </c>
      <c r="C569" s="7">
        <v>4</v>
      </c>
      <c r="D569" s="8">
        <v>30</v>
      </c>
      <c r="E569" s="7">
        <v>33</v>
      </c>
      <c r="F569" s="9" t="s">
        <v>23</v>
      </c>
      <c r="G569" s="13" t="s">
        <v>24</v>
      </c>
      <c r="H569" s="11" t="s">
        <v>25</v>
      </c>
      <c r="I569" s="7">
        <v>36</v>
      </c>
      <c r="J569" s="15">
        <v>11.459155902616464</v>
      </c>
      <c r="K569" s="7">
        <v>4.5</v>
      </c>
      <c r="L569" s="7">
        <v>9</v>
      </c>
      <c r="M569" s="7"/>
      <c r="N569" s="12" t="s">
        <v>20</v>
      </c>
      <c r="O569" s="12" t="s">
        <v>16</v>
      </c>
      <c r="P569" s="57" t="str">
        <f t="shared" si="24"/>
        <v>un fuste</v>
      </c>
      <c r="Q569">
        <f t="shared" si="25"/>
        <v>10</v>
      </c>
      <c r="R569">
        <f t="shared" si="26"/>
        <v>10</v>
      </c>
      <c r="S569">
        <v>15</v>
      </c>
      <c r="T569" t="s">
        <v>277</v>
      </c>
      <c r="U569">
        <v>5.7801651485390147E-2</v>
      </c>
    </row>
    <row r="570" spans="1:21" x14ac:dyDescent="0.25">
      <c r="A570" s="7">
        <v>4</v>
      </c>
      <c r="B570" s="7">
        <v>500</v>
      </c>
      <c r="C570" s="8">
        <v>3</v>
      </c>
      <c r="D570" s="8">
        <v>36</v>
      </c>
      <c r="E570" s="8">
        <v>37</v>
      </c>
      <c r="F570" s="9" t="s">
        <v>23</v>
      </c>
      <c r="G570" s="10" t="s">
        <v>24</v>
      </c>
      <c r="H570" s="11" t="s">
        <v>25</v>
      </c>
      <c r="I570" s="7">
        <v>31.5</v>
      </c>
      <c r="J570" s="15">
        <v>10.026761414789407</v>
      </c>
      <c r="K570" s="7">
        <v>4</v>
      </c>
      <c r="L570" s="8">
        <v>9</v>
      </c>
      <c r="M570" s="7"/>
      <c r="N570" s="12" t="s">
        <v>20</v>
      </c>
      <c r="O570" s="12" t="s">
        <v>16</v>
      </c>
      <c r="P570" s="57" t="str">
        <f t="shared" si="24"/>
        <v>un fuste</v>
      </c>
      <c r="Q570">
        <f t="shared" si="25"/>
        <v>10</v>
      </c>
      <c r="R570">
        <f t="shared" si="26"/>
        <v>10</v>
      </c>
      <c r="S570">
        <v>15</v>
      </c>
      <c r="T570" t="s">
        <v>277</v>
      </c>
      <c r="U570">
        <v>4.5038854825831719E-2</v>
      </c>
    </row>
    <row r="571" spans="1:21" x14ac:dyDescent="0.25">
      <c r="A571" s="7">
        <v>7</v>
      </c>
      <c r="B571" s="7">
        <v>500</v>
      </c>
      <c r="C571" s="8">
        <v>3</v>
      </c>
      <c r="D571" s="8">
        <v>35</v>
      </c>
      <c r="E571" s="8">
        <v>38</v>
      </c>
      <c r="F571" s="9" t="s">
        <v>23</v>
      </c>
      <c r="G571" s="13" t="s">
        <v>24</v>
      </c>
      <c r="H571" s="11" t="s">
        <v>25</v>
      </c>
      <c r="I571" s="7">
        <v>33</v>
      </c>
      <c r="J571" s="15">
        <v>10.504226244065093</v>
      </c>
      <c r="K571" s="7">
        <v>6</v>
      </c>
      <c r="L571" s="7">
        <v>11</v>
      </c>
      <c r="M571" s="7"/>
      <c r="N571" s="12" t="s">
        <v>20</v>
      </c>
      <c r="O571" s="12" t="s">
        <v>16</v>
      </c>
      <c r="P571" s="57" t="str">
        <f t="shared" si="24"/>
        <v>un fuste</v>
      </c>
      <c r="Q571">
        <f t="shared" si="25"/>
        <v>10</v>
      </c>
      <c r="R571">
        <f t="shared" si="26"/>
        <v>10</v>
      </c>
      <c r="S571">
        <v>15</v>
      </c>
      <c r="T571" t="s">
        <v>277</v>
      </c>
      <c r="U571">
        <v>5.9228097147087003E-2</v>
      </c>
    </row>
    <row r="572" spans="1:21" x14ac:dyDescent="0.25">
      <c r="A572" s="7">
        <v>8</v>
      </c>
      <c r="B572" s="7">
        <v>500</v>
      </c>
      <c r="C572" s="7">
        <v>3</v>
      </c>
      <c r="D572" s="8">
        <v>33</v>
      </c>
      <c r="E572" s="7">
        <v>38</v>
      </c>
      <c r="F572" s="17" t="s">
        <v>23</v>
      </c>
      <c r="G572" s="10" t="s">
        <v>24</v>
      </c>
      <c r="H572" s="11" t="s">
        <v>25</v>
      </c>
      <c r="I572" s="7">
        <v>33</v>
      </c>
      <c r="J572" s="15">
        <v>10.504226244065093</v>
      </c>
      <c r="K572" s="7">
        <v>6</v>
      </c>
      <c r="L572" s="7">
        <v>12</v>
      </c>
      <c r="M572" s="7"/>
      <c r="N572" s="12" t="s">
        <v>20</v>
      </c>
      <c r="O572" s="12" t="s">
        <v>16</v>
      </c>
      <c r="P572" s="57" t="str">
        <f t="shared" si="24"/>
        <v>un fuste</v>
      </c>
      <c r="Q572">
        <f t="shared" si="25"/>
        <v>12.5</v>
      </c>
      <c r="R572">
        <f t="shared" si="26"/>
        <v>10</v>
      </c>
      <c r="S572">
        <v>15</v>
      </c>
      <c r="T572" t="s">
        <v>277</v>
      </c>
      <c r="U572">
        <v>6.4229262232877282E-2</v>
      </c>
    </row>
    <row r="573" spans="1:21" x14ac:dyDescent="0.25">
      <c r="A573" s="7">
        <v>4</v>
      </c>
      <c r="B573" s="7">
        <v>500</v>
      </c>
      <c r="C573" s="8">
        <v>3</v>
      </c>
      <c r="D573" s="8">
        <v>39</v>
      </c>
      <c r="E573" s="8">
        <v>40</v>
      </c>
      <c r="F573" s="19" t="s">
        <v>23</v>
      </c>
      <c r="G573" s="20" t="s">
        <v>24</v>
      </c>
      <c r="H573" s="11" t="s">
        <v>25</v>
      </c>
      <c r="I573" s="8">
        <v>32</v>
      </c>
      <c r="J573" s="15">
        <v>10.185916357881302</v>
      </c>
      <c r="K573" s="8">
        <v>4</v>
      </c>
      <c r="L573" s="8">
        <v>8</v>
      </c>
      <c r="M573" s="7"/>
      <c r="N573" s="12" t="s">
        <v>20</v>
      </c>
      <c r="O573" s="12" t="s">
        <v>16</v>
      </c>
      <c r="P573" s="57" t="str">
        <f t="shared" si="24"/>
        <v>un fuste</v>
      </c>
      <c r="Q573">
        <f t="shared" si="25"/>
        <v>7.5</v>
      </c>
      <c r="R573">
        <f t="shared" si="26"/>
        <v>10</v>
      </c>
      <c r="S573">
        <v>15</v>
      </c>
      <c r="T573" t="s">
        <v>277</v>
      </c>
      <c r="U573">
        <v>4.1563366682151257E-2</v>
      </c>
    </row>
    <row r="574" spans="1:21" x14ac:dyDescent="0.25">
      <c r="A574" s="7">
        <v>4</v>
      </c>
      <c r="B574" s="7">
        <v>500</v>
      </c>
      <c r="C574" s="8">
        <v>3</v>
      </c>
      <c r="D574" s="8">
        <v>40</v>
      </c>
      <c r="E574" s="8">
        <v>41</v>
      </c>
      <c r="F574" s="9" t="s">
        <v>23</v>
      </c>
      <c r="G574" s="10" t="s">
        <v>24</v>
      </c>
      <c r="H574" s="11" t="s">
        <v>25</v>
      </c>
      <c r="I574" s="7">
        <v>65.5</v>
      </c>
      <c r="J574" s="15">
        <v>20.84929754503829</v>
      </c>
      <c r="K574" s="7">
        <v>6</v>
      </c>
      <c r="L574" s="7">
        <v>13</v>
      </c>
      <c r="M574" s="7"/>
      <c r="N574" s="12" t="s">
        <v>29</v>
      </c>
      <c r="O574" s="12" t="s">
        <v>16</v>
      </c>
      <c r="P574" s="57" t="str">
        <f t="shared" si="24"/>
        <v>un fuste</v>
      </c>
      <c r="Q574">
        <f t="shared" si="25"/>
        <v>12.5</v>
      </c>
      <c r="R574">
        <f t="shared" si="26"/>
        <v>20</v>
      </c>
      <c r="S574">
        <v>15</v>
      </c>
      <c r="T574" t="s">
        <v>277</v>
      </c>
      <c r="U574">
        <v>0.24911289307601189</v>
      </c>
    </row>
    <row r="575" spans="1:21" x14ac:dyDescent="0.25">
      <c r="A575" s="7">
        <v>7</v>
      </c>
      <c r="B575" s="7">
        <v>500</v>
      </c>
      <c r="C575" s="7">
        <v>4</v>
      </c>
      <c r="D575" s="8">
        <v>38</v>
      </c>
      <c r="E575" s="7">
        <v>41</v>
      </c>
      <c r="F575" s="9" t="s">
        <v>23</v>
      </c>
      <c r="G575" s="13" t="s">
        <v>24</v>
      </c>
      <c r="H575" s="11" t="s">
        <v>25</v>
      </c>
      <c r="I575" s="7">
        <v>33</v>
      </c>
      <c r="J575" s="15">
        <v>10.504226244065093</v>
      </c>
      <c r="K575" s="7">
        <v>8</v>
      </c>
      <c r="L575" s="7">
        <v>13</v>
      </c>
      <c r="M575" s="7"/>
      <c r="N575" s="12" t="s">
        <v>20</v>
      </c>
      <c r="O575" s="12" t="s">
        <v>16</v>
      </c>
      <c r="P575" s="57" t="str">
        <f t="shared" si="24"/>
        <v>un fuste</v>
      </c>
      <c r="Q575">
        <f t="shared" si="25"/>
        <v>12.5</v>
      </c>
      <c r="R575">
        <f t="shared" si="26"/>
        <v>10</v>
      </c>
      <c r="S575">
        <v>15</v>
      </c>
      <c r="T575" t="s">
        <v>277</v>
      </c>
      <c r="U575">
        <v>6.9201982346803359E-2</v>
      </c>
    </row>
    <row r="576" spans="1:21" x14ac:dyDescent="0.25">
      <c r="A576" s="7">
        <v>3</v>
      </c>
      <c r="B576" s="7">
        <v>500</v>
      </c>
      <c r="C576" s="7">
        <v>3</v>
      </c>
      <c r="D576" s="8">
        <v>40</v>
      </c>
      <c r="E576" s="7">
        <v>42</v>
      </c>
      <c r="F576" s="9" t="s">
        <v>23</v>
      </c>
      <c r="G576" s="10" t="s">
        <v>24</v>
      </c>
      <c r="H576" s="11" t="s">
        <v>25</v>
      </c>
      <c r="I576" s="7">
        <v>56</v>
      </c>
      <c r="J576" s="15">
        <v>17.82535362629228</v>
      </c>
      <c r="K576" s="7">
        <v>5.5</v>
      </c>
      <c r="L576" s="7">
        <v>11</v>
      </c>
      <c r="M576" s="7"/>
      <c r="N576" s="12" t="s">
        <v>20</v>
      </c>
      <c r="O576" s="12" t="s">
        <v>16</v>
      </c>
      <c r="P576" s="57" t="str">
        <f t="shared" si="24"/>
        <v>un fuste</v>
      </c>
      <c r="Q576">
        <f t="shared" si="25"/>
        <v>10</v>
      </c>
      <c r="R576">
        <f t="shared" si="26"/>
        <v>20</v>
      </c>
      <c r="S576">
        <v>15</v>
      </c>
      <c r="T576" t="s">
        <v>277</v>
      </c>
      <c r="U576">
        <v>0.15909401063779105</v>
      </c>
    </row>
    <row r="577" spans="1:21" x14ac:dyDescent="0.25">
      <c r="A577" s="7">
        <v>4</v>
      </c>
      <c r="B577" s="7">
        <v>500</v>
      </c>
      <c r="C577" s="7">
        <v>3</v>
      </c>
      <c r="D577" s="8" t="s">
        <v>164</v>
      </c>
      <c r="E577" s="7">
        <v>42</v>
      </c>
      <c r="F577" s="9" t="s">
        <v>23</v>
      </c>
      <c r="G577" s="13" t="s">
        <v>24</v>
      </c>
      <c r="H577" s="14" t="s">
        <v>25</v>
      </c>
      <c r="I577" s="7">
        <v>56.5</v>
      </c>
      <c r="J577" s="15">
        <v>17.984508569384175</v>
      </c>
      <c r="K577" s="7">
        <v>6</v>
      </c>
      <c r="L577" s="7">
        <v>12</v>
      </c>
      <c r="M577" s="7"/>
      <c r="N577" s="12" t="s">
        <v>20</v>
      </c>
      <c r="O577" s="12" t="s">
        <v>16</v>
      </c>
      <c r="P577" s="31" t="e">
        <f t="shared" si="24"/>
        <v>#VALUE!</v>
      </c>
      <c r="Q577">
        <f t="shared" si="25"/>
        <v>12.5</v>
      </c>
      <c r="R577">
        <f t="shared" si="26"/>
        <v>20</v>
      </c>
      <c r="S577">
        <v>15</v>
      </c>
      <c r="T577" t="s">
        <v>277</v>
      </c>
      <c r="U577">
        <v>0.1754170665386981</v>
      </c>
    </row>
    <row r="578" spans="1:21" x14ac:dyDescent="0.25">
      <c r="A578" s="7">
        <v>3</v>
      </c>
      <c r="B578" s="7">
        <v>500</v>
      </c>
      <c r="C578" s="7">
        <v>3</v>
      </c>
      <c r="D578" s="8">
        <v>42</v>
      </c>
      <c r="E578" s="8">
        <v>44</v>
      </c>
      <c r="F578" s="9" t="s">
        <v>23</v>
      </c>
      <c r="G578" s="13" t="s">
        <v>24</v>
      </c>
      <c r="H578" s="14" t="s">
        <v>25</v>
      </c>
      <c r="I578" s="7">
        <v>52</v>
      </c>
      <c r="J578" s="15">
        <v>16.552114081557114</v>
      </c>
      <c r="K578" s="7">
        <v>3.5</v>
      </c>
      <c r="L578" s="7">
        <v>12</v>
      </c>
      <c r="M578" s="7"/>
      <c r="N578" s="12" t="s">
        <v>20</v>
      </c>
      <c r="O578" s="12" t="s">
        <v>16</v>
      </c>
      <c r="P578" s="57" t="str">
        <f t="shared" si="24"/>
        <v>un fuste</v>
      </c>
      <c r="Q578">
        <f t="shared" si="25"/>
        <v>12.5</v>
      </c>
      <c r="R578">
        <f t="shared" si="26"/>
        <v>15</v>
      </c>
      <c r="S578">
        <v>15</v>
      </c>
      <c r="T578" t="s">
        <v>277</v>
      </c>
      <c r="U578">
        <v>0.1502189433768448</v>
      </c>
    </row>
    <row r="579" spans="1:21" x14ac:dyDescent="0.25">
      <c r="A579" s="7">
        <v>2</v>
      </c>
      <c r="B579" s="7">
        <v>500</v>
      </c>
      <c r="C579" s="8">
        <v>3</v>
      </c>
      <c r="D579" s="8">
        <v>43</v>
      </c>
      <c r="E579" s="8">
        <v>45</v>
      </c>
      <c r="F579" s="9" t="s">
        <v>23</v>
      </c>
      <c r="G579" s="10" t="s">
        <v>24</v>
      </c>
      <c r="H579" s="11" t="s">
        <v>25</v>
      </c>
      <c r="I579" s="7">
        <v>85</v>
      </c>
      <c r="J579" s="15">
        <v>27.056340325622209</v>
      </c>
      <c r="K579" s="7">
        <v>8</v>
      </c>
      <c r="L579" s="7">
        <v>14</v>
      </c>
      <c r="M579" s="7"/>
      <c r="N579" s="12" t="s">
        <v>20</v>
      </c>
      <c r="O579" s="12" t="s">
        <v>16</v>
      </c>
      <c r="P579" s="57" t="str">
        <f t="shared" ref="P579:P642" si="27">IF((D579/D579)=1,"un fuste","bifurcado")</f>
        <v>un fuste</v>
      </c>
      <c r="Q579">
        <f t="shared" ref="Q579:Q642" si="28">IF(L579&lt;3.75,2.5,IF(L579&lt;6.25,5,IF(L579&lt;8.74,7.5,IF(L579&lt;11.24,10,IF(L579&lt;13.75,12.5,IF(L579&lt;16.25,15,IF(L579&lt;18.75,17.5,IF(L579&lt;21.25,20,IF(L579&lt;23.75,22.5,IF(L579&lt;26.25,25,IF(L579&lt;28.75,27.5,IF(L579&lt;31.25,30,IF(L579&lt;33.75,32.5,IF(L579&lt;36.25,35,IF(L579&lt;38.75,37.5,IF(L579&lt;41.24,40,IF(L579&lt;43.75,42.5,IF(L579&lt;46.25,45," "))))))))))))))))))</f>
        <v>15</v>
      </c>
      <c r="R579">
        <f t="shared" ref="R579:R642" si="29">IF(J579&lt;7.5,5,IF(J579&lt;12.5,10,IF(J579&lt;17.5,15,IF(J579&lt;22.5,20,IF(J579&lt;27.5,25,IF(J579&lt;32.5,30,IF(J579&lt;37.5,35,IF(J579&lt;42.5,40,IF(J579&lt;47.5,45,IF(J579&lt;52.5,50,IF(J579&lt;57.5,55,0)))))))))))</f>
        <v>25</v>
      </c>
      <c r="S579">
        <v>15</v>
      </c>
      <c r="T579" t="s">
        <v>277</v>
      </c>
      <c r="U579">
        <v>0.43435331116999504</v>
      </c>
    </row>
    <row r="580" spans="1:21" x14ac:dyDescent="0.25">
      <c r="A580" s="7">
        <v>4</v>
      </c>
      <c r="B580" s="7">
        <v>500</v>
      </c>
      <c r="C580" s="8">
        <v>4</v>
      </c>
      <c r="D580" s="8">
        <v>45</v>
      </c>
      <c r="E580" s="8">
        <v>47</v>
      </c>
      <c r="F580" s="9" t="s">
        <v>23</v>
      </c>
      <c r="G580" s="13" t="s">
        <v>24</v>
      </c>
      <c r="H580" s="11" t="s">
        <v>25</v>
      </c>
      <c r="I580" s="7">
        <v>34.5</v>
      </c>
      <c r="J580" s="15">
        <v>10.981691073340778</v>
      </c>
      <c r="K580" s="7">
        <v>7.5</v>
      </c>
      <c r="L580" s="8">
        <v>11</v>
      </c>
      <c r="M580" s="7"/>
      <c r="N580" s="12" t="s">
        <v>20</v>
      </c>
      <c r="O580" s="12" t="s">
        <v>16</v>
      </c>
      <c r="P580" s="57" t="str">
        <f t="shared" si="27"/>
        <v>un fuste</v>
      </c>
      <c r="Q580">
        <f t="shared" si="28"/>
        <v>10</v>
      </c>
      <c r="R580">
        <f t="shared" si="29"/>
        <v>10</v>
      </c>
      <c r="S580">
        <v>15</v>
      </c>
      <c r="T580" t="s">
        <v>277</v>
      </c>
      <c r="U580">
        <v>6.4357295147858054E-2</v>
      </c>
    </row>
    <row r="581" spans="1:21" x14ac:dyDescent="0.25">
      <c r="A581" s="7">
        <v>4</v>
      </c>
      <c r="B581" s="7">
        <v>500</v>
      </c>
      <c r="C581" s="7">
        <v>4</v>
      </c>
      <c r="D581" s="8">
        <v>48</v>
      </c>
      <c r="E581" s="7">
        <v>50</v>
      </c>
      <c r="F581" s="9" t="s">
        <v>23</v>
      </c>
      <c r="G581" s="13" t="s">
        <v>24</v>
      </c>
      <c r="H581" s="11" t="s">
        <v>25</v>
      </c>
      <c r="I581" s="7">
        <v>36</v>
      </c>
      <c r="J581" s="15">
        <v>11.459155902616464</v>
      </c>
      <c r="K581" s="7">
        <v>5</v>
      </c>
      <c r="L581" s="7">
        <v>11</v>
      </c>
      <c r="M581" s="7"/>
      <c r="N581" s="12" t="s">
        <v>20</v>
      </c>
      <c r="O581" s="12" t="s">
        <v>16</v>
      </c>
      <c r="P581" s="57" t="str">
        <f t="shared" si="27"/>
        <v>un fuste</v>
      </c>
      <c r="Q581">
        <f t="shared" si="28"/>
        <v>10</v>
      </c>
      <c r="R581">
        <f t="shared" si="29"/>
        <v>10</v>
      </c>
      <c r="S581">
        <v>15</v>
      </c>
      <c r="T581" t="s">
        <v>277</v>
      </c>
      <c r="U581">
        <v>6.9683895125996861E-2</v>
      </c>
    </row>
    <row r="582" spans="1:21" x14ac:dyDescent="0.25">
      <c r="A582" s="7">
        <v>4</v>
      </c>
      <c r="B582" s="7">
        <v>500</v>
      </c>
      <c r="C582" s="7">
        <v>4</v>
      </c>
      <c r="D582" s="8">
        <v>51</v>
      </c>
      <c r="E582" s="8">
        <v>53</v>
      </c>
      <c r="F582" s="17" t="s">
        <v>23</v>
      </c>
      <c r="G582" s="10" t="s">
        <v>24</v>
      </c>
      <c r="H582" s="11" t="s">
        <v>25</v>
      </c>
      <c r="I582" s="7">
        <v>33.5</v>
      </c>
      <c r="J582" s="15">
        <v>10.663381187156988</v>
      </c>
      <c r="K582" s="7">
        <v>6</v>
      </c>
      <c r="L582" s="7">
        <v>13</v>
      </c>
      <c r="M582" s="7"/>
      <c r="N582" s="12" t="s">
        <v>20</v>
      </c>
      <c r="O582" s="12" t="s">
        <v>16</v>
      </c>
      <c r="P582" s="57" t="str">
        <f t="shared" si="27"/>
        <v>un fuste</v>
      </c>
      <c r="Q582">
        <f t="shared" si="28"/>
        <v>12.5</v>
      </c>
      <c r="R582">
        <f t="shared" si="29"/>
        <v>10</v>
      </c>
      <c r="S582">
        <v>15</v>
      </c>
      <c r="T582" t="s">
        <v>277</v>
      </c>
      <c r="U582">
        <v>7.1173921083408573E-2</v>
      </c>
    </row>
    <row r="583" spans="1:21" x14ac:dyDescent="0.25">
      <c r="A583" s="7">
        <v>2</v>
      </c>
      <c r="B583" s="7">
        <v>500</v>
      </c>
      <c r="C583" s="8">
        <v>4</v>
      </c>
      <c r="D583" s="8">
        <v>50</v>
      </c>
      <c r="E583" s="8">
        <v>55</v>
      </c>
      <c r="F583" s="9" t="s">
        <v>23</v>
      </c>
      <c r="G583" s="10" t="s">
        <v>24</v>
      </c>
      <c r="H583" s="11" t="s">
        <v>25</v>
      </c>
      <c r="I583" s="7">
        <v>34.5</v>
      </c>
      <c r="J583" s="15">
        <v>10.981691073340778</v>
      </c>
      <c r="K583" s="7">
        <v>6</v>
      </c>
      <c r="L583" s="8">
        <v>12</v>
      </c>
      <c r="M583" s="7"/>
      <c r="N583" s="12" t="s">
        <v>20</v>
      </c>
      <c r="O583" s="12" t="s">
        <v>16</v>
      </c>
      <c r="P583" s="57" t="str">
        <f t="shared" si="27"/>
        <v>un fuste</v>
      </c>
      <c r="Q583">
        <f t="shared" si="28"/>
        <v>12.5</v>
      </c>
      <c r="R583">
        <f t="shared" si="29"/>
        <v>10</v>
      </c>
      <c r="S583">
        <v>15</v>
      </c>
      <c r="T583" t="s">
        <v>277</v>
      </c>
      <c r="U583">
        <v>6.9791564911920512E-2</v>
      </c>
    </row>
    <row r="584" spans="1:21" x14ac:dyDescent="0.25">
      <c r="A584" s="7">
        <v>4</v>
      </c>
      <c r="B584" s="7">
        <v>500</v>
      </c>
      <c r="C584" s="7">
        <v>4</v>
      </c>
      <c r="D584" s="8">
        <v>53</v>
      </c>
      <c r="E584" s="8">
        <v>55</v>
      </c>
      <c r="F584" s="17" t="s">
        <v>23</v>
      </c>
      <c r="G584" s="10" t="s">
        <v>24</v>
      </c>
      <c r="H584" s="11" t="s">
        <v>25</v>
      </c>
      <c r="I584" s="7">
        <v>50.5</v>
      </c>
      <c r="J584" s="15">
        <v>16.074649252281429</v>
      </c>
      <c r="K584" s="7">
        <v>8</v>
      </c>
      <c r="L584" s="7">
        <v>13</v>
      </c>
      <c r="M584" s="7"/>
      <c r="N584" s="12" t="s">
        <v>20</v>
      </c>
      <c r="O584" s="12" t="s">
        <v>16</v>
      </c>
      <c r="P584" s="57" t="str">
        <f t="shared" si="27"/>
        <v>un fuste</v>
      </c>
      <c r="Q584">
        <f t="shared" si="28"/>
        <v>12.5</v>
      </c>
      <c r="R584">
        <f t="shared" si="29"/>
        <v>15</v>
      </c>
      <c r="S584">
        <v>15</v>
      </c>
      <c r="T584" t="s">
        <v>277</v>
      </c>
      <c r="U584">
        <v>0.15323539884347603</v>
      </c>
    </row>
    <row r="585" spans="1:21" x14ac:dyDescent="0.25">
      <c r="A585" s="7">
        <v>3</v>
      </c>
      <c r="B585" s="7">
        <v>500</v>
      </c>
      <c r="C585" s="8">
        <v>4</v>
      </c>
      <c r="D585" s="8">
        <v>48</v>
      </c>
      <c r="E585" s="8">
        <v>57</v>
      </c>
      <c r="F585" s="9" t="s">
        <v>23</v>
      </c>
      <c r="G585" s="13" t="s">
        <v>24</v>
      </c>
      <c r="H585" s="11" t="s">
        <v>25</v>
      </c>
      <c r="I585" s="7">
        <v>46</v>
      </c>
      <c r="J585" s="15">
        <v>14.642254764454371</v>
      </c>
      <c r="K585" s="7">
        <v>5.5</v>
      </c>
      <c r="L585" s="7">
        <v>12</v>
      </c>
      <c r="M585" s="7"/>
      <c r="N585" s="12" t="s">
        <v>20</v>
      </c>
      <c r="O585" s="12" t="s">
        <v>16</v>
      </c>
      <c r="P585" s="57" t="str">
        <f t="shared" si="27"/>
        <v>un fuste</v>
      </c>
      <c r="Q585">
        <f t="shared" si="28"/>
        <v>12.5</v>
      </c>
      <c r="R585">
        <f t="shared" si="29"/>
        <v>15</v>
      </c>
      <c r="S585">
        <v>15</v>
      </c>
      <c r="T585" t="s">
        <v>277</v>
      </c>
      <c r="U585">
        <v>0.11946483735150713</v>
      </c>
    </row>
    <row r="586" spans="1:21" x14ac:dyDescent="0.25">
      <c r="A586" s="7">
        <v>2</v>
      </c>
      <c r="B586" s="7">
        <v>500</v>
      </c>
      <c r="C586" s="8">
        <v>4</v>
      </c>
      <c r="D586" s="8">
        <v>53</v>
      </c>
      <c r="E586" s="8">
        <v>58</v>
      </c>
      <c r="F586" s="9" t="s">
        <v>23</v>
      </c>
      <c r="G586" s="13" t="s">
        <v>24</v>
      </c>
      <c r="H586" s="14" t="s">
        <v>25</v>
      </c>
      <c r="I586" s="7">
        <v>45.5</v>
      </c>
      <c r="J586" s="15">
        <v>14.483099821362476</v>
      </c>
      <c r="K586" s="7">
        <v>7</v>
      </c>
      <c r="L586" s="8">
        <v>13</v>
      </c>
      <c r="M586" s="7"/>
      <c r="N586" s="12" t="s">
        <v>20</v>
      </c>
      <c r="O586" s="12" t="s">
        <v>16</v>
      </c>
      <c r="P586" s="57" t="str">
        <f t="shared" si="27"/>
        <v>un fuste</v>
      </c>
      <c r="Q586">
        <f t="shared" si="28"/>
        <v>12.5</v>
      </c>
      <c r="R586">
        <f t="shared" si="29"/>
        <v>15</v>
      </c>
      <c r="S586">
        <v>15</v>
      </c>
      <c r="T586" t="s">
        <v>277</v>
      </c>
      <c r="U586">
        <v>0.12611228570285718</v>
      </c>
    </row>
    <row r="587" spans="1:21" x14ac:dyDescent="0.25">
      <c r="A587" s="7">
        <v>3</v>
      </c>
      <c r="B587" s="7">
        <v>500</v>
      </c>
      <c r="C587" s="7">
        <v>4</v>
      </c>
      <c r="D587" s="8">
        <v>49</v>
      </c>
      <c r="E587" s="7">
        <v>58</v>
      </c>
      <c r="F587" s="9" t="s">
        <v>23</v>
      </c>
      <c r="G587" s="10" t="s">
        <v>24</v>
      </c>
      <c r="H587" s="11" t="s">
        <v>25</v>
      </c>
      <c r="I587" s="7">
        <v>48.5</v>
      </c>
      <c r="J587" s="15">
        <v>15.438029479913848</v>
      </c>
      <c r="K587" s="7">
        <v>6</v>
      </c>
      <c r="L587" s="7">
        <v>10</v>
      </c>
      <c r="M587" s="7"/>
      <c r="N587" s="12" t="s">
        <v>20</v>
      </c>
      <c r="O587" s="12" t="s">
        <v>16</v>
      </c>
      <c r="P587" s="57" t="str">
        <f t="shared" si="27"/>
        <v>un fuste</v>
      </c>
      <c r="Q587">
        <f t="shared" si="28"/>
        <v>10</v>
      </c>
      <c r="R587">
        <f t="shared" si="29"/>
        <v>15</v>
      </c>
      <c r="S587">
        <v>15</v>
      </c>
      <c r="T587" t="s">
        <v>277</v>
      </c>
      <c r="U587">
        <v>0.11127958327863874</v>
      </c>
    </row>
    <row r="588" spans="1:21" x14ac:dyDescent="0.25">
      <c r="A588" s="7">
        <v>2</v>
      </c>
      <c r="B588" s="7">
        <v>500</v>
      </c>
      <c r="C588" s="8">
        <v>4</v>
      </c>
      <c r="D588" s="8">
        <v>54</v>
      </c>
      <c r="E588" s="8">
        <v>59</v>
      </c>
      <c r="F588" s="17" t="s">
        <v>23</v>
      </c>
      <c r="G588" s="18" t="s">
        <v>24</v>
      </c>
      <c r="H588" s="11" t="s">
        <v>25</v>
      </c>
      <c r="I588" s="7">
        <v>40</v>
      </c>
      <c r="J588" s="15">
        <v>12.732395447351628</v>
      </c>
      <c r="K588" s="7">
        <v>4</v>
      </c>
      <c r="L588" s="8">
        <v>8</v>
      </c>
      <c r="M588" s="7"/>
      <c r="N588" s="12" t="s">
        <v>29</v>
      </c>
      <c r="O588" s="12" t="s">
        <v>16</v>
      </c>
      <c r="P588" s="57" t="str">
        <f t="shared" si="27"/>
        <v>un fuste</v>
      </c>
      <c r="Q588">
        <f t="shared" si="28"/>
        <v>7.5</v>
      </c>
      <c r="R588">
        <f t="shared" si="29"/>
        <v>15</v>
      </c>
      <c r="S588">
        <v>15</v>
      </c>
      <c r="T588" t="s">
        <v>277</v>
      </c>
      <c r="U588">
        <v>6.3063583721306896E-2</v>
      </c>
    </row>
    <row r="589" spans="1:21" x14ac:dyDescent="0.25">
      <c r="A589" s="7">
        <v>2</v>
      </c>
      <c r="B589" s="7">
        <v>500</v>
      </c>
      <c r="C589" s="8">
        <v>4</v>
      </c>
      <c r="D589" s="8" t="s">
        <v>119</v>
      </c>
      <c r="E589" s="8">
        <v>60</v>
      </c>
      <c r="F589" s="9" t="s">
        <v>23</v>
      </c>
      <c r="G589" s="13" t="s">
        <v>24</v>
      </c>
      <c r="H589" s="11" t="s">
        <v>25</v>
      </c>
      <c r="I589" s="7">
        <v>32.5</v>
      </c>
      <c r="J589" s="15">
        <v>10.345071300973197</v>
      </c>
      <c r="K589" s="7">
        <v>5</v>
      </c>
      <c r="L589" s="7">
        <v>8</v>
      </c>
      <c r="M589" s="7"/>
      <c r="N589" s="12" t="s">
        <v>20</v>
      </c>
      <c r="O589" s="12" t="s">
        <v>16</v>
      </c>
      <c r="P589" s="31" t="e">
        <f t="shared" si="27"/>
        <v>#VALUE!</v>
      </c>
      <c r="Q589">
        <f t="shared" si="28"/>
        <v>7.5</v>
      </c>
      <c r="R589">
        <f t="shared" si="29"/>
        <v>10</v>
      </c>
      <c r="S589">
        <v>15</v>
      </c>
      <c r="T589" t="s">
        <v>277</v>
      </c>
      <c r="U589">
        <v>4.2784992320510501E-2</v>
      </c>
    </row>
    <row r="590" spans="1:21" x14ac:dyDescent="0.25">
      <c r="A590" s="7">
        <v>8</v>
      </c>
      <c r="B590" s="7">
        <v>5</v>
      </c>
      <c r="C590" s="8"/>
      <c r="D590" s="8">
        <v>2</v>
      </c>
      <c r="E590" s="8">
        <v>2</v>
      </c>
      <c r="F590" s="9" t="s">
        <v>13</v>
      </c>
      <c r="G590" s="13" t="s">
        <v>14</v>
      </c>
      <c r="H590" s="11" t="s">
        <v>15</v>
      </c>
      <c r="I590" s="7"/>
      <c r="J590" s="7"/>
      <c r="K590" s="7"/>
      <c r="L590" s="7">
        <v>4</v>
      </c>
      <c r="M590" s="7" t="e">
        <v>#REF!</v>
      </c>
      <c r="N590" s="12"/>
      <c r="O590" s="12"/>
      <c r="P590" s="57" t="str">
        <f t="shared" si="27"/>
        <v>un fuste</v>
      </c>
      <c r="Q590">
        <f t="shared" si="28"/>
        <v>5</v>
      </c>
      <c r="R590">
        <f t="shared" si="29"/>
        <v>5</v>
      </c>
    </row>
    <row r="591" spans="1:21" x14ac:dyDescent="0.25">
      <c r="A591" s="7">
        <v>8</v>
      </c>
      <c r="B591" s="7">
        <v>5</v>
      </c>
      <c r="C591" s="8"/>
      <c r="D591" s="8">
        <v>3</v>
      </c>
      <c r="E591" s="8">
        <v>3</v>
      </c>
      <c r="F591" s="9" t="s">
        <v>195</v>
      </c>
      <c r="G591" s="13" t="s">
        <v>196</v>
      </c>
      <c r="H591" s="11" t="s">
        <v>197</v>
      </c>
      <c r="I591" s="7"/>
      <c r="J591" s="7"/>
      <c r="K591" s="7"/>
      <c r="L591" s="8">
        <v>3</v>
      </c>
      <c r="M591" s="7" t="e">
        <v>#REF!</v>
      </c>
      <c r="N591" s="12"/>
      <c r="O591" s="12"/>
      <c r="P591" s="57" t="str">
        <f t="shared" si="27"/>
        <v>un fuste</v>
      </c>
      <c r="Q591">
        <f t="shared" si="28"/>
        <v>2.5</v>
      </c>
      <c r="R591">
        <f t="shared" si="29"/>
        <v>5</v>
      </c>
    </row>
    <row r="592" spans="1:21" x14ac:dyDescent="0.25">
      <c r="A592" s="7">
        <v>9</v>
      </c>
      <c r="B592" s="7">
        <v>100</v>
      </c>
      <c r="C592" s="8">
        <v>1</v>
      </c>
      <c r="D592" s="7">
        <v>10</v>
      </c>
      <c r="E592" s="7">
        <v>10</v>
      </c>
      <c r="F592" s="9" t="s">
        <v>17</v>
      </c>
      <c r="G592" s="13" t="s">
        <v>207</v>
      </c>
      <c r="H592" s="11" t="s">
        <v>208</v>
      </c>
      <c r="I592" s="7">
        <v>22</v>
      </c>
      <c r="J592" s="15">
        <v>7.0028174960433951</v>
      </c>
      <c r="K592" s="7">
        <v>7</v>
      </c>
      <c r="L592" s="7">
        <v>9</v>
      </c>
      <c r="M592" s="7"/>
      <c r="N592" s="12" t="s">
        <v>20</v>
      </c>
      <c r="O592" s="12" t="s">
        <v>16</v>
      </c>
      <c r="P592" s="57" t="str">
        <f t="shared" si="27"/>
        <v>un fuste</v>
      </c>
      <c r="Q592">
        <f t="shared" si="28"/>
        <v>10</v>
      </c>
      <c r="R592">
        <f t="shared" si="29"/>
        <v>5</v>
      </c>
    </row>
    <row r="593" spans="1:21" x14ac:dyDescent="0.25">
      <c r="A593" s="7">
        <v>8</v>
      </c>
      <c r="B593" s="7">
        <v>500</v>
      </c>
      <c r="C593" s="7">
        <v>3</v>
      </c>
      <c r="D593" s="8">
        <v>38</v>
      </c>
      <c r="E593" s="7">
        <v>43</v>
      </c>
      <c r="F593" s="9" t="s">
        <v>17</v>
      </c>
      <c r="G593" s="13" t="s">
        <v>207</v>
      </c>
      <c r="H593" s="11" t="s">
        <v>208</v>
      </c>
      <c r="I593" s="7">
        <v>32</v>
      </c>
      <c r="J593" s="15">
        <v>10.185916357881302</v>
      </c>
      <c r="K593" s="7">
        <v>4.5</v>
      </c>
      <c r="L593" s="7">
        <v>7</v>
      </c>
      <c r="M593" s="7"/>
      <c r="N593" s="12" t="s">
        <v>20</v>
      </c>
      <c r="O593" s="12" t="s">
        <v>39</v>
      </c>
      <c r="P593" s="57" t="str">
        <f t="shared" si="27"/>
        <v>un fuste</v>
      </c>
      <c r="Q593">
        <f t="shared" si="28"/>
        <v>7.5</v>
      </c>
      <c r="R593">
        <f t="shared" si="29"/>
        <v>10</v>
      </c>
      <c r="S593">
        <v>17</v>
      </c>
      <c r="T593" t="s">
        <v>273</v>
      </c>
      <c r="U593">
        <v>3.6703896467853298E-2</v>
      </c>
    </row>
    <row r="594" spans="1:21" x14ac:dyDescent="0.25">
      <c r="A594" s="7">
        <v>8</v>
      </c>
      <c r="B594" s="7">
        <v>500</v>
      </c>
      <c r="C594" s="8">
        <v>4</v>
      </c>
      <c r="D594" s="8">
        <v>46</v>
      </c>
      <c r="E594" s="8">
        <v>51</v>
      </c>
      <c r="F594" s="9" t="s">
        <v>17</v>
      </c>
      <c r="G594" s="10" t="s">
        <v>207</v>
      </c>
      <c r="H594" s="11" t="s">
        <v>208</v>
      </c>
      <c r="I594" s="8">
        <v>31.5</v>
      </c>
      <c r="J594" s="15">
        <v>10.026761414789407</v>
      </c>
      <c r="K594" s="8">
        <v>5</v>
      </c>
      <c r="L594" s="8">
        <v>9</v>
      </c>
      <c r="M594" s="7"/>
      <c r="N594" s="12" t="s">
        <v>20</v>
      </c>
      <c r="O594" s="12" t="s">
        <v>16</v>
      </c>
      <c r="P594" s="57" t="str">
        <f t="shared" si="27"/>
        <v>un fuste</v>
      </c>
      <c r="Q594">
        <f t="shared" si="28"/>
        <v>10</v>
      </c>
      <c r="R594">
        <f t="shared" si="29"/>
        <v>10</v>
      </c>
      <c r="S594">
        <v>17</v>
      </c>
      <c r="T594" t="s">
        <v>273</v>
      </c>
      <c r="U594">
        <v>4.6212179647431767E-2</v>
      </c>
    </row>
    <row r="595" spans="1:21" x14ac:dyDescent="0.25">
      <c r="A595" s="7">
        <v>8</v>
      </c>
      <c r="B595" s="7">
        <v>5</v>
      </c>
      <c r="C595" s="7"/>
      <c r="D595" s="8">
        <v>4</v>
      </c>
      <c r="E595" s="7">
        <v>4</v>
      </c>
      <c r="F595" s="9" t="s">
        <v>23</v>
      </c>
      <c r="G595" s="10" t="s">
        <v>24</v>
      </c>
      <c r="H595" s="11" t="s">
        <v>25</v>
      </c>
      <c r="I595" s="7"/>
      <c r="J595" s="7"/>
      <c r="K595" s="7"/>
      <c r="L595" s="7">
        <v>3</v>
      </c>
      <c r="M595" s="7" t="e">
        <v>#REF!</v>
      </c>
      <c r="N595" s="12"/>
      <c r="O595" s="12"/>
      <c r="P595" s="57" t="str">
        <f t="shared" si="27"/>
        <v>un fuste</v>
      </c>
      <c r="Q595">
        <f t="shared" si="28"/>
        <v>2.5</v>
      </c>
      <c r="R595">
        <f t="shared" si="29"/>
        <v>5</v>
      </c>
    </row>
    <row r="596" spans="1:21" x14ac:dyDescent="0.25">
      <c r="A596" s="7">
        <v>8</v>
      </c>
      <c r="B596" s="7">
        <v>5</v>
      </c>
      <c r="C596" s="7"/>
      <c r="D596" s="8">
        <v>5</v>
      </c>
      <c r="E596" s="7">
        <v>5</v>
      </c>
      <c r="F596" s="9" t="s">
        <v>21</v>
      </c>
      <c r="G596" s="10" t="s">
        <v>22</v>
      </c>
      <c r="H596" s="11" t="s">
        <v>283</v>
      </c>
      <c r="I596" s="7"/>
      <c r="J596" s="7"/>
      <c r="K596" s="7"/>
      <c r="L596" s="7">
        <v>3</v>
      </c>
      <c r="M596" s="7" t="e">
        <v>#REF!</v>
      </c>
      <c r="N596" s="12"/>
      <c r="O596" s="12"/>
      <c r="P596" s="57" t="str">
        <f t="shared" si="27"/>
        <v>un fuste</v>
      </c>
      <c r="Q596">
        <f t="shared" si="28"/>
        <v>2.5</v>
      </c>
      <c r="R596">
        <f t="shared" si="29"/>
        <v>5</v>
      </c>
    </row>
    <row r="597" spans="1:21" x14ac:dyDescent="0.25">
      <c r="A597" s="7">
        <v>7</v>
      </c>
      <c r="B597" s="7">
        <v>100</v>
      </c>
      <c r="C597" s="8">
        <v>1</v>
      </c>
      <c r="D597" s="8">
        <v>2</v>
      </c>
      <c r="E597" s="8">
        <v>2</v>
      </c>
      <c r="F597" s="9" t="s">
        <v>30</v>
      </c>
      <c r="G597" s="13" t="s">
        <v>286</v>
      </c>
      <c r="H597" s="11" t="s">
        <v>113</v>
      </c>
      <c r="I597" s="7">
        <v>22</v>
      </c>
      <c r="J597" s="15">
        <v>7.0028174960433951</v>
      </c>
      <c r="K597" s="7">
        <v>4.5</v>
      </c>
      <c r="L597" s="7">
        <v>8</v>
      </c>
      <c r="M597" s="7"/>
      <c r="N597" s="12" t="s">
        <v>20</v>
      </c>
      <c r="O597" s="12" t="s">
        <v>16</v>
      </c>
      <c r="P597" s="57" t="str">
        <f t="shared" si="27"/>
        <v>un fuste</v>
      </c>
      <c r="Q597">
        <f t="shared" si="28"/>
        <v>7.5</v>
      </c>
      <c r="R597">
        <f t="shared" si="29"/>
        <v>5</v>
      </c>
    </row>
    <row r="598" spans="1:21" x14ac:dyDescent="0.25">
      <c r="A598" s="7">
        <v>8</v>
      </c>
      <c r="B598" s="7">
        <v>5</v>
      </c>
      <c r="C598" s="8"/>
      <c r="D598" s="8">
        <v>6</v>
      </c>
      <c r="E598" s="8">
        <v>6</v>
      </c>
      <c r="F598" s="17" t="s">
        <v>48</v>
      </c>
      <c r="G598" s="10" t="s">
        <v>49</v>
      </c>
      <c r="H598" s="11" t="s">
        <v>50</v>
      </c>
      <c r="I598" s="8"/>
      <c r="J598" s="7"/>
      <c r="K598" s="8"/>
      <c r="L598" s="8">
        <v>5</v>
      </c>
      <c r="M598" s="7" t="e">
        <v>#REF!</v>
      </c>
      <c r="N598" s="12"/>
      <c r="O598" s="12"/>
      <c r="P598" s="57" t="str">
        <f t="shared" si="27"/>
        <v>un fuste</v>
      </c>
      <c r="Q598">
        <f t="shared" si="28"/>
        <v>5</v>
      </c>
      <c r="R598">
        <f t="shared" si="29"/>
        <v>5</v>
      </c>
    </row>
    <row r="599" spans="1:21" x14ac:dyDescent="0.25">
      <c r="A599" s="7">
        <v>8</v>
      </c>
      <c r="B599" s="7">
        <v>5</v>
      </c>
      <c r="C599" s="8"/>
      <c r="D599" s="8">
        <v>7</v>
      </c>
      <c r="E599" s="8">
        <v>7</v>
      </c>
      <c r="F599" s="9" t="s">
        <v>30</v>
      </c>
      <c r="G599" s="13" t="s">
        <v>286</v>
      </c>
      <c r="H599" s="11" t="s">
        <v>113</v>
      </c>
      <c r="I599" s="7"/>
      <c r="J599" s="7"/>
      <c r="K599" s="7"/>
      <c r="L599" s="7">
        <v>1.5</v>
      </c>
      <c r="M599" s="7" t="e">
        <v>#REF!</v>
      </c>
      <c r="N599" s="12"/>
      <c r="O599" s="12"/>
      <c r="P599" s="57" t="str">
        <f t="shared" si="27"/>
        <v>un fuste</v>
      </c>
      <c r="Q599">
        <f t="shared" si="28"/>
        <v>2.5</v>
      </c>
      <c r="R599">
        <f t="shared" si="29"/>
        <v>5</v>
      </c>
    </row>
    <row r="600" spans="1:21" x14ac:dyDescent="0.25">
      <c r="A600" s="7">
        <v>2</v>
      </c>
      <c r="B600" s="7">
        <v>500</v>
      </c>
      <c r="C600" s="8">
        <v>4</v>
      </c>
      <c r="D600" s="8">
        <v>51</v>
      </c>
      <c r="E600" s="8">
        <v>56</v>
      </c>
      <c r="F600" s="9" t="s">
        <v>30</v>
      </c>
      <c r="G600" s="13" t="s">
        <v>286</v>
      </c>
      <c r="H600" s="14" t="s">
        <v>113</v>
      </c>
      <c r="I600" s="8">
        <v>60.5</v>
      </c>
      <c r="J600" s="15">
        <v>19.257748114119337</v>
      </c>
      <c r="K600" s="8">
        <v>4</v>
      </c>
      <c r="L600" s="8">
        <v>14</v>
      </c>
      <c r="M600" s="7"/>
      <c r="N600" s="12" t="s">
        <v>20</v>
      </c>
      <c r="O600" s="12" t="s">
        <v>16</v>
      </c>
      <c r="P600" s="57" t="str">
        <f t="shared" si="27"/>
        <v>un fuste</v>
      </c>
      <c r="Q600">
        <f t="shared" si="28"/>
        <v>15</v>
      </c>
      <c r="R600">
        <f t="shared" si="29"/>
        <v>20</v>
      </c>
      <c r="S600">
        <v>17</v>
      </c>
      <c r="T600" t="s">
        <v>273</v>
      </c>
      <c r="U600">
        <v>0.23827200798926257</v>
      </c>
    </row>
    <row r="601" spans="1:21" x14ac:dyDescent="0.25">
      <c r="A601" s="7">
        <v>8</v>
      </c>
      <c r="B601" s="7">
        <v>5</v>
      </c>
      <c r="C601" s="8"/>
      <c r="D601" s="8">
        <v>8</v>
      </c>
      <c r="E601" s="8">
        <v>8</v>
      </c>
      <c r="F601" s="9" t="s">
        <v>90</v>
      </c>
      <c r="G601" s="13" t="s">
        <v>177</v>
      </c>
      <c r="H601" s="11" t="s">
        <v>178</v>
      </c>
      <c r="I601" s="7"/>
      <c r="J601" s="7"/>
      <c r="K601" s="7"/>
      <c r="L601" s="7">
        <v>1.6</v>
      </c>
      <c r="M601" s="7" t="e">
        <v>#REF!</v>
      </c>
      <c r="N601" s="12"/>
      <c r="O601" s="12"/>
      <c r="P601" s="57" t="str">
        <f t="shared" si="27"/>
        <v>un fuste</v>
      </c>
      <c r="Q601">
        <f t="shared" si="28"/>
        <v>2.5</v>
      </c>
      <c r="R601">
        <f t="shared" si="29"/>
        <v>5</v>
      </c>
    </row>
    <row r="602" spans="1:21" x14ac:dyDescent="0.25">
      <c r="A602" s="7">
        <v>8</v>
      </c>
      <c r="B602" s="7">
        <v>5</v>
      </c>
      <c r="C602" s="7"/>
      <c r="D602" s="8">
        <v>9</v>
      </c>
      <c r="E602" s="7">
        <v>9</v>
      </c>
      <c r="F602" s="9" t="s">
        <v>13</v>
      </c>
      <c r="G602" s="10" t="s">
        <v>14</v>
      </c>
      <c r="H602" s="11" t="s">
        <v>15</v>
      </c>
      <c r="I602" s="7"/>
      <c r="J602" s="7"/>
      <c r="K602" s="7"/>
      <c r="L602" s="7">
        <v>1</v>
      </c>
      <c r="M602" s="7" t="e">
        <v>#REF!</v>
      </c>
      <c r="N602" s="12"/>
      <c r="O602" s="12"/>
      <c r="P602" s="57" t="str">
        <f t="shared" si="27"/>
        <v>un fuste</v>
      </c>
      <c r="Q602">
        <f t="shared" si="28"/>
        <v>2.5</v>
      </c>
      <c r="R602">
        <f t="shared" si="29"/>
        <v>5</v>
      </c>
    </row>
    <row r="603" spans="1:21" x14ac:dyDescent="0.25">
      <c r="A603" s="7">
        <v>8</v>
      </c>
      <c r="B603" s="7">
        <v>5</v>
      </c>
      <c r="C603" s="7"/>
      <c r="D603" s="8">
        <v>10</v>
      </c>
      <c r="E603" s="7">
        <v>10</v>
      </c>
      <c r="F603" s="9" t="s">
        <v>13</v>
      </c>
      <c r="G603" s="10" t="s">
        <v>14</v>
      </c>
      <c r="H603" s="11" t="s">
        <v>15</v>
      </c>
      <c r="I603" s="7"/>
      <c r="J603" s="7"/>
      <c r="K603" s="7"/>
      <c r="L603" s="7">
        <v>1</v>
      </c>
      <c r="M603" s="7" t="e">
        <v>#REF!</v>
      </c>
      <c r="N603" s="12"/>
      <c r="O603" s="12"/>
      <c r="P603" s="57" t="str">
        <f t="shared" si="27"/>
        <v>un fuste</v>
      </c>
      <c r="Q603">
        <f t="shared" si="28"/>
        <v>2.5</v>
      </c>
      <c r="R603">
        <f t="shared" si="29"/>
        <v>5</v>
      </c>
    </row>
    <row r="604" spans="1:21" x14ac:dyDescent="0.25">
      <c r="A604" s="7">
        <v>8</v>
      </c>
      <c r="B604" s="7">
        <v>5</v>
      </c>
      <c r="C604" s="8"/>
      <c r="D604" s="8">
        <v>11</v>
      </c>
      <c r="E604" s="8">
        <v>11</v>
      </c>
      <c r="F604" s="9" t="s">
        <v>13</v>
      </c>
      <c r="G604" s="10" t="s">
        <v>14</v>
      </c>
      <c r="H604" s="11" t="s">
        <v>15</v>
      </c>
      <c r="I604" s="7"/>
      <c r="J604" s="7"/>
      <c r="K604" s="7"/>
      <c r="L604" s="7">
        <v>0.4</v>
      </c>
      <c r="M604" s="7" t="e">
        <v>#REF!</v>
      </c>
      <c r="N604" s="12"/>
      <c r="O604" s="12"/>
      <c r="P604" s="57" t="str">
        <f t="shared" si="27"/>
        <v>un fuste</v>
      </c>
      <c r="Q604">
        <f t="shared" si="28"/>
        <v>2.5</v>
      </c>
      <c r="R604">
        <f t="shared" si="29"/>
        <v>5</v>
      </c>
    </row>
    <row r="605" spans="1:21" x14ac:dyDescent="0.25">
      <c r="A605" s="7">
        <v>8</v>
      </c>
      <c r="B605" s="7">
        <v>5</v>
      </c>
      <c r="C605" s="7"/>
      <c r="D605" s="8">
        <v>12</v>
      </c>
      <c r="E605" s="8">
        <v>12</v>
      </c>
      <c r="F605" s="9" t="s">
        <v>195</v>
      </c>
      <c r="G605" s="13" t="s">
        <v>196</v>
      </c>
      <c r="H605" s="14" t="s">
        <v>197</v>
      </c>
      <c r="I605" s="7"/>
      <c r="J605" s="7"/>
      <c r="K605" s="7"/>
      <c r="L605" s="7">
        <v>0.9</v>
      </c>
      <c r="M605" s="7" t="e">
        <v>#REF!</v>
      </c>
      <c r="N605" s="12"/>
      <c r="O605" s="12"/>
      <c r="P605" s="57" t="str">
        <f t="shared" si="27"/>
        <v>un fuste</v>
      </c>
      <c r="Q605">
        <f t="shared" si="28"/>
        <v>2.5</v>
      </c>
      <c r="R605">
        <f t="shared" si="29"/>
        <v>5</v>
      </c>
    </row>
    <row r="606" spans="1:21" x14ac:dyDescent="0.25">
      <c r="A606" s="7">
        <v>8</v>
      </c>
      <c r="B606" s="7">
        <v>5</v>
      </c>
      <c r="C606" s="8"/>
      <c r="D606" s="8">
        <v>13</v>
      </c>
      <c r="E606" s="8">
        <v>13</v>
      </c>
      <c r="F606" s="9" t="s">
        <v>90</v>
      </c>
      <c r="G606" s="10" t="s">
        <v>177</v>
      </c>
      <c r="H606" s="11" t="s">
        <v>178</v>
      </c>
      <c r="I606" s="7"/>
      <c r="J606" s="7"/>
      <c r="K606" s="7"/>
      <c r="L606" s="7">
        <v>1</v>
      </c>
      <c r="M606" s="7" t="e">
        <v>#REF!</v>
      </c>
      <c r="N606" s="12"/>
      <c r="O606" s="12"/>
      <c r="P606" s="57" t="str">
        <f t="shared" si="27"/>
        <v>un fuste</v>
      </c>
      <c r="Q606">
        <f t="shared" si="28"/>
        <v>2.5</v>
      </c>
      <c r="R606">
        <f t="shared" si="29"/>
        <v>5</v>
      </c>
    </row>
    <row r="607" spans="1:21" x14ac:dyDescent="0.25">
      <c r="A607" s="7">
        <v>8</v>
      </c>
      <c r="B607" s="7">
        <v>5</v>
      </c>
      <c r="C607" s="8"/>
      <c r="D607" s="8">
        <v>14</v>
      </c>
      <c r="E607" s="8">
        <v>14</v>
      </c>
      <c r="F607" s="9" t="s">
        <v>201</v>
      </c>
      <c r="G607" s="10" t="s">
        <v>202</v>
      </c>
      <c r="H607" s="11" t="s">
        <v>203</v>
      </c>
      <c r="I607" s="7"/>
      <c r="J607" s="7"/>
      <c r="K607" s="7"/>
      <c r="L607" s="8">
        <v>1.2</v>
      </c>
      <c r="M607" s="7" t="e">
        <v>#REF!</v>
      </c>
      <c r="N607" s="12"/>
      <c r="O607" s="12"/>
      <c r="P607" s="57" t="str">
        <f t="shared" si="27"/>
        <v>un fuste</v>
      </c>
      <c r="Q607">
        <f t="shared" si="28"/>
        <v>2.5</v>
      </c>
      <c r="R607">
        <f t="shared" si="29"/>
        <v>5</v>
      </c>
    </row>
    <row r="608" spans="1:21" x14ac:dyDescent="0.25">
      <c r="A608" s="7">
        <v>8</v>
      </c>
      <c r="B608" s="7">
        <v>5</v>
      </c>
      <c r="C608" s="7"/>
      <c r="D608" s="8">
        <v>15</v>
      </c>
      <c r="E608" s="7">
        <v>15</v>
      </c>
      <c r="F608" s="9" t="s">
        <v>179</v>
      </c>
      <c r="G608" s="13" t="s">
        <v>284</v>
      </c>
      <c r="H608" s="11" t="s">
        <v>285</v>
      </c>
      <c r="I608" s="7"/>
      <c r="J608" s="7"/>
      <c r="K608" s="7"/>
      <c r="L608" s="7">
        <v>1.7</v>
      </c>
      <c r="M608" s="7" t="e">
        <v>#REF!</v>
      </c>
      <c r="N608" s="12"/>
      <c r="O608" s="12"/>
      <c r="P608" s="57" t="str">
        <f t="shared" si="27"/>
        <v>un fuste</v>
      </c>
      <c r="Q608">
        <f t="shared" si="28"/>
        <v>2.5</v>
      </c>
      <c r="R608">
        <f t="shared" si="29"/>
        <v>5</v>
      </c>
    </row>
    <row r="609" spans="1:21" x14ac:dyDescent="0.25">
      <c r="A609" s="7">
        <v>8</v>
      </c>
      <c r="B609" s="7">
        <v>5</v>
      </c>
      <c r="C609" s="7"/>
      <c r="D609" s="8">
        <v>16</v>
      </c>
      <c r="E609" s="7">
        <v>16</v>
      </c>
      <c r="F609" s="9" t="s">
        <v>90</v>
      </c>
      <c r="G609" s="10" t="s">
        <v>103</v>
      </c>
      <c r="H609" s="11" t="s">
        <v>104</v>
      </c>
      <c r="I609" s="7"/>
      <c r="J609" s="7"/>
      <c r="K609" s="7"/>
      <c r="L609" s="7">
        <v>2</v>
      </c>
      <c r="M609" s="7" t="e">
        <v>#REF!</v>
      </c>
      <c r="N609" s="12"/>
      <c r="O609" s="12"/>
      <c r="P609" s="57" t="str">
        <f t="shared" si="27"/>
        <v>un fuste</v>
      </c>
      <c r="Q609">
        <f t="shared" si="28"/>
        <v>2.5</v>
      </c>
      <c r="R609">
        <f t="shared" si="29"/>
        <v>5</v>
      </c>
    </row>
    <row r="610" spans="1:21" x14ac:dyDescent="0.25">
      <c r="A610" s="7">
        <v>9</v>
      </c>
      <c r="B610" s="7">
        <v>5</v>
      </c>
      <c r="C610" s="7"/>
      <c r="D610" s="8">
        <v>1</v>
      </c>
      <c r="E610" s="7">
        <v>1</v>
      </c>
      <c r="F610" s="9" t="s">
        <v>218</v>
      </c>
      <c r="G610" s="10" t="s">
        <v>219</v>
      </c>
      <c r="H610" s="11" t="s">
        <v>220</v>
      </c>
      <c r="I610" s="7"/>
      <c r="J610" s="7"/>
      <c r="K610" s="7"/>
      <c r="L610" s="7">
        <v>6</v>
      </c>
      <c r="M610" s="7" t="e">
        <v>#REF!</v>
      </c>
      <c r="N610" s="12"/>
      <c r="O610" s="12" t="s">
        <v>16</v>
      </c>
      <c r="P610" s="57" t="str">
        <f t="shared" si="27"/>
        <v>un fuste</v>
      </c>
      <c r="Q610">
        <f t="shared" si="28"/>
        <v>5</v>
      </c>
      <c r="R610">
        <f t="shared" si="29"/>
        <v>5</v>
      </c>
    </row>
    <row r="611" spans="1:21" x14ac:dyDescent="0.25">
      <c r="A611" s="7">
        <v>9</v>
      </c>
      <c r="B611" s="7">
        <v>5</v>
      </c>
      <c r="C611" s="7"/>
      <c r="D611" s="8">
        <v>2</v>
      </c>
      <c r="E611" s="8">
        <v>2</v>
      </c>
      <c r="F611" s="9" t="s">
        <v>81</v>
      </c>
      <c r="G611" s="10" t="s">
        <v>120</v>
      </c>
      <c r="H611" s="11" t="s">
        <v>121</v>
      </c>
      <c r="I611" s="7"/>
      <c r="J611" s="7"/>
      <c r="K611" s="7"/>
      <c r="L611" s="7">
        <v>1.5</v>
      </c>
      <c r="M611" s="7" t="e">
        <v>#REF!</v>
      </c>
      <c r="N611" s="12"/>
      <c r="O611" s="12" t="s">
        <v>16</v>
      </c>
      <c r="P611" s="57" t="str">
        <f t="shared" si="27"/>
        <v>un fuste</v>
      </c>
      <c r="Q611">
        <f t="shared" si="28"/>
        <v>2.5</v>
      </c>
      <c r="R611">
        <f t="shared" si="29"/>
        <v>5</v>
      </c>
    </row>
    <row r="612" spans="1:21" x14ac:dyDescent="0.25">
      <c r="A612" s="7">
        <v>3</v>
      </c>
      <c r="B612" s="7">
        <v>500</v>
      </c>
      <c r="C612" s="8">
        <v>1</v>
      </c>
      <c r="D612" s="8">
        <v>4</v>
      </c>
      <c r="E612" s="8">
        <v>4</v>
      </c>
      <c r="F612" s="9" t="s">
        <v>87</v>
      </c>
      <c r="G612" s="10" t="s">
        <v>88</v>
      </c>
      <c r="H612" s="11" t="s">
        <v>89</v>
      </c>
      <c r="I612" s="7">
        <v>38</v>
      </c>
      <c r="J612" s="15">
        <v>12.095775674984045</v>
      </c>
      <c r="K612" s="7">
        <v>7</v>
      </c>
      <c r="L612" s="8">
        <v>9</v>
      </c>
      <c r="M612" s="7"/>
      <c r="N612" s="12" t="s">
        <v>20</v>
      </c>
      <c r="O612" s="12" t="s">
        <v>16</v>
      </c>
      <c r="P612" s="57" t="str">
        <f t="shared" si="27"/>
        <v>un fuste</v>
      </c>
      <c r="Q612">
        <f t="shared" si="28"/>
        <v>10</v>
      </c>
      <c r="R612">
        <f t="shared" si="29"/>
        <v>10</v>
      </c>
      <c r="S612">
        <v>9</v>
      </c>
      <c r="T612" t="s">
        <v>268</v>
      </c>
      <c r="U612">
        <v>6.6969092074145434E-2</v>
      </c>
    </row>
    <row r="613" spans="1:21" x14ac:dyDescent="0.25">
      <c r="A613" s="7">
        <v>2</v>
      </c>
      <c r="B613" s="7">
        <v>100</v>
      </c>
      <c r="C613" s="7">
        <v>1</v>
      </c>
      <c r="D613" s="8">
        <v>4</v>
      </c>
      <c r="E613" s="8">
        <v>4</v>
      </c>
      <c r="F613" s="17" t="s">
        <v>87</v>
      </c>
      <c r="G613" s="10" t="s">
        <v>88</v>
      </c>
      <c r="H613" s="11" t="s">
        <v>89</v>
      </c>
      <c r="I613" s="7">
        <v>16</v>
      </c>
      <c r="J613" s="15">
        <v>5.0929581789406511</v>
      </c>
      <c r="K613" s="7">
        <v>6</v>
      </c>
      <c r="L613" s="7">
        <v>11</v>
      </c>
      <c r="M613" s="7"/>
      <c r="N613" s="12" t="s">
        <v>20</v>
      </c>
      <c r="O613" s="12" t="s">
        <v>16</v>
      </c>
      <c r="P613" s="57" t="str">
        <f t="shared" si="27"/>
        <v>un fuste</v>
      </c>
      <c r="Q613">
        <f t="shared" si="28"/>
        <v>10</v>
      </c>
      <c r="R613">
        <f t="shared" si="29"/>
        <v>5</v>
      </c>
    </row>
    <row r="614" spans="1:21" x14ac:dyDescent="0.25">
      <c r="A614" s="7">
        <v>9</v>
      </c>
      <c r="B614" s="7">
        <v>5</v>
      </c>
      <c r="C614" s="8"/>
      <c r="D614" s="8">
        <v>3</v>
      </c>
      <c r="E614" s="8">
        <v>3</v>
      </c>
      <c r="F614" s="9" t="s">
        <v>62</v>
      </c>
      <c r="G614" s="13" t="s">
        <v>63</v>
      </c>
      <c r="H614" s="11" t="s">
        <v>64</v>
      </c>
      <c r="I614" s="7"/>
      <c r="J614" s="7"/>
      <c r="K614" s="7"/>
      <c r="L614" s="7">
        <v>3</v>
      </c>
      <c r="M614" s="7" t="e">
        <v>#REF!</v>
      </c>
      <c r="N614" s="12"/>
      <c r="O614" s="12" t="s">
        <v>16</v>
      </c>
      <c r="P614" s="57" t="str">
        <f t="shared" si="27"/>
        <v>un fuste</v>
      </c>
      <c r="Q614">
        <f t="shared" si="28"/>
        <v>2.5</v>
      </c>
      <c r="R614">
        <f t="shared" si="29"/>
        <v>5</v>
      </c>
    </row>
    <row r="615" spans="1:21" x14ac:dyDescent="0.25">
      <c r="A615" s="7">
        <v>2</v>
      </c>
      <c r="B615" s="7">
        <v>100</v>
      </c>
      <c r="C615" s="8">
        <v>2</v>
      </c>
      <c r="D615" s="8">
        <v>9</v>
      </c>
      <c r="E615" s="8">
        <v>9</v>
      </c>
      <c r="F615" s="9" t="s">
        <v>87</v>
      </c>
      <c r="G615" s="13" t="s">
        <v>88</v>
      </c>
      <c r="H615" s="14" t="s">
        <v>89</v>
      </c>
      <c r="I615" s="7">
        <v>17</v>
      </c>
      <c r="J615" s="15">
        <v>5.4112680651244416</v>
      </c>
      <c r="K615" s="7">
        <v>8</v>
      </c>
      <c r="L615" s="8">
        <v>9</v>
      </c>
      <c r="M615" s="7"/>
      <c r="N615" s="12" t="s">
        <v>20</v>
      </c>
      <c r="O615" s="12" t="s">
        <v>16</v>
      </c>
      <c r="P615" s="57" t="str">
        <f t="shared" si="27"/>
        <v>un fuste</v>
      </c>
      <c r="Q615">
        <f t="shared" si="28"/>
        <v>10</v>
      </c>
      <c r="R615">
        <f t="shared" si="29"/>
        <v>5</v>
      </c>
    </row>
    <row r="616" spans="1:21" x14ac:dyDescent="0.25">
      <c r="A616" s="7">
        <v>9</v>
      </c>
      <c r="B616" s="7">
        <v>5</v>
      </c>
      <c r="C616" s="7"/>
      <c r="D616" s="8">
        <v>4</v>
      </c>
      <c r="E616" s="7">
        <v>4</v>
      </c>
      <c r="F616" s="9" t="s">
        <v>62</v>
      </c>
      <c r="G616" s="10" t="s">
        <v>63</v>
      </c>
      <c r="H616" s="11" t="s">
        <v>64</v>
      </c>
      <c r="I616" s="7"/>
      <c r="J616" s="7"/>
      <c r="K616" s="7"/>
      <c r="L616" s="7">
        <v>1.9</v>
      </c>
      <c r="M616" s="7" t="e">
        <v>#REF!</v>
      </c>
      <c r="N616" s="12"/>
      <c r="O616" s="12" t="s">
        <v>16</v>
      </c>
      <c r="P616" s="57" t="str">
        <f t="shared" si="27"/>
        <v>un fuste</v>
      </c>
      <c r="Q616">
        <f t="shared" si="28"/>
        <v>2.5</v>
      </c>
      <c r="R616">
        <f t="shared" si="29"/>
        <v>5</v>
      </c>
    </row>
    <row r="617" spans="1:21" x14ac:dyDescent="0.25">
      <c r="A617" s="7">
        <v>9</v>
      </c>
      <c r="B617" s="7">
        <v>5</v>
      </c>
      <c r="C617" s="8"/>
      <c r="D617" s="8">
        <v>5</v>
      </c>
      <c r="E617" s="8">
        <v>5</v>
      </c>
      <c r="F617" s="17" t="s">
        <v>62</v>
      </c>
      <c r="G617" s="10" t="s">
        <v>63</v>
      </c>
      <c r="H617" s="11" t="s">
        <v>64</v>
      </c>
      <c r="I617" s="7"/>
      <c r="J617" s="7"/>
      <c r="K617" s="7"/>
      <c r="L617" s="8">
        <v>1.6</v>
      </c>
      <c r="M617" s="7" t="e">
        <v>#REF!</v>
      </c>
      <c r="N617" s="12"/>
      <c r="O617" s="12" t="s">
        <v>16</v>
      </c>
      <c r="P617" s="57" t="str">
        <f t="shared" si="27"/>
        <v>un fuste</v>
      </c>
      <c r="Q617">
        <f t="shared" si="28"/>
        <v>2.5</v>
      </c>
      <c r="R617">
        <f t="shared" si="29"/>
        <v>5</v>
      </c>
    </row>
    <row r="618" spans="1:21" x14ac:dyDescent="0.25">
      <c r="A618" s="7">
        <v>9</v>
      </c>
      <c r="B618" s="7">
        <v>5</v>
      </c>
      <c r="C618" s="8"/>
      <c r="D618" s="8">
        <v>6</v>
      </c>
      <c r="E618" s="8">
        <v>6</v>
      </c>
      <c r="F618" s="9" t="s">
        <v>17</v>
      </c>
      <c r="G618" s="13" t="s">
        <v>221</v>
      </c>
      <c r="H618" s="11" t="s">
        <v>222</v>
      </c>
      <c r="I618" s="7"/>
      <c r="J618" s="7"/>
      <c r="K618" s="7"/>
      <c r="L618" s="7">
        <v>2.5</v>
      </c>
      <c r="M618" s="7" t="e">
        <v>#REF!</v>
      </c>
      <c r="N618" s="12"/>
      <c r="O618" s="12" t="s">
        <v>16</v>
      </c>
      <c r="P618" s="57" t="str">
        <f t="shared" si="27"/>
        <v>un fuste</v>
      </c>
      <c r="Q618">
        <f t="shared" si="28"/>
        <v>2.5</v>
      </c>
      <c r="R618">
        <f t="shared" si="29"/>
        <v>5</v>
      </c>
    </row>
    <row r="619" spans="1:21" x14ac:dyDescent="0.25">
      <c r="A619" s="7">
        <v>9</v>
      </c>
      <c r="B619" s="7">
        <v>5</v>
      </c>
      <c r="C619" s="8"/>
      <c r="D619" s="8">
        <v>7</v>
      </c>
      <c r="E619" s="8">
        <v>7</v>
      </c>
      <c r="F619" s="9" t="s">
        <v>17</v>
      </c>
      <c r="G619" s="13" t="s">
        <v>221</v>
      </c>
      <c r="H619" s="11" t="s">
        <v>222</v>
      </c>
      <c r="I619" s="7"/>
      <c r="J619" s="7"/>
      <c r="K619" s="7"/>
      <c r="L619" s="7">
        <v>0.9</v>
      </c>
      <c r="M619" s="7" t="e">
        <v>#REF!</v>
      </c>
      <c r="N619" s="12"/>
      <c r="O619" s="12" t="s">
        <v>16</v>
      </c>
      <c r="P619" s="57" t="str">
        <f t="shared" si="27"/>
        <v>un fuste</v>
      </c>
      <c r="Q619">
        <f t="shared" si="28"/>
        <v>2.5</v>
      </c>
      <c r="R619">
        <f t="shared" si="29"/>
        <v>5</v>
      </c>
    </row>
    <row r="620" spans="1:21" x14ac:dyDescent="0.25">
      <c r="A620" s="7">
        <v>8</v>
      </c>
      <c r="B620" s="7">
        <v>100</v>
      </c>
      <c r="C620" s="8">
        <v>3</v>
      </c>
      <c r="D620" s="8">
        <v>18</v>
      </c>
      <c r="E620" s="8">
        <v>18</v>
      </c>
      <c r="F620" s="17" t="s">
        <v>87</v>
      </c>
      <c r="G620" s="10" t="s">
        <v>88</v>
      </c>
      <c r="H620" s="11" t="s">
        <v>89</v>
      </c>
      <c r="I620" s="7">
        <v>19</v>
      </c>
      <c r="J620" s="15">
        <v>6.0478878374920226</v>
      </c>
      <c r="K620" s="7">
        <v>9</v>
      </c>
      <c r="L620" s="7">
        <v>10</v>
      </c>
      <c r="M620" s="7"/>
      <c r="N620" s="12" t="s">
        <v>20</v>
      </c>
      <c r="O620" s="12" t="s">
        <v>16</v>
      </c>
      <c r="P620" s="57" t="str">
        <f t="shared" si="27"/>
        <v>un fuste</v>
      </c>
      <c r="Q620">
        <f t="shared" si="28"/>
        <v>10</v>
      </c>
      <c r="R620">
        <f t="shared" si="29"/>
        <v>5</v>
      </c>
    </row>
    <row r="621" spans="1:21" x14ac:dyDescent="0.25">
      <c r="A621" s="7">
        <v>8</v>
      </c>
      <c r="B621" s="7">
        <v>100</v>
      </c>
      <c r="C621" s="8">
        <v>3</v>
      </c>
      <c r="D621" s="7">
        <v>19</v>
      </c>
      <c r="E621" s="7">
        <v>19</v>
      </c>
      <c r="F621" s="9" t="s">
        <v>87</v>
      </c>
      <c r="G621" s="13" t="s">
        <v>88</v>
      </c>
      <c r="H621" s="11" t="s">
        <v>89</v>
      </c>
      <c r="I621" s="7">
        <v>29</v>
      </c>
      <c r="J621" s="15">
        <v>9.2309866993299305</v>
      </c>
      <c r="K621" s="7">
        <v>9</v>
      </c>
      <c r="L621" s="7">
        <v>9</v>
      </c>
      <c r="M621" s="7"/>
      <c r="N621" s="12" t="s">
        <v>20</v>
      </c>
      <c r="O621" s="12" t="s">
        <v>39</v>
      </c>
      <c r="P621" s="57" t="str">
        <f t="shared" si="27"/>
        <v>un fuste</v>
      </c>
      <c r="Q621">
        <f t="shared" si="28"/>
        <v>10</v>
      </c>
      <c r="R621">
        <f t="shared" si="29"/>
        <v>10</v>
      </c>
    </row>
    <row r="622" spans="1:21" x14ac:dyDescent="0.25">
      <c r="A622" s="7">
        <v>8</v>
      </c>
      <c r="B622" s="7">
        <v>100</v>
      </c>
      <c r="C622" s="7">
        <v>3</v>
      </c>
      <c r="D622" s="8">
        <v>20</v>
      </c>
      <c r="E622" s="7">
        <v>20</v>
      </c>
      <c r="F622" s="9" t="s">
        <v>87</v>
      </c>
      <c r="G622" s="13" t="s">
        <v>88</v>
      </c>
      <c r="H622" s="11" t="s">
        <v>89</v>
      </c>
      <c r="I622" s="7">
        <v>20</v>
      </c>
      <c r="J622" s="15">
        <v>6.366197723675814</v>
      </c>
      <c r="K622" s="7">
        <v>9</v>
      </c>
      <c r="L622" s="7">
        <v>11</v>
      </c>
      <c r="M622" s="7"/>
      <c r="N622" s="12" t="s">
        <v>20</v>
      </c>
      <c r="O622" s="12" t="s">
        <v>16</v>
      </c>
      <c r="P622" s="57" t="str">
        <f t="shared" si="27"/>
        <v>un fuste</v>
      </c>
      <c r="Q622">
        <f t="shared" si="28"/>
        <v>10</v>
      </c>
      <c r="R622">
        <f t="shared" si="29"/>
        <v>5</v>
      </c>
    </row>
    <row r="623" spans="1:21" x14ac:dyDescent="0.25">
      <c r="A623" s="7">
        <v>4</v>
      </c>
      <c r="B623" s="7">
        <v>100</v>
      </c>
      <c r="C623" s="8">
        <v>4</v>
      </c>
      <c r="D623" s="8">
        <v>24</v>
      </c>
      <c r="E623" s="8">
        <v>25</v>
      </c>
      <c r="F623" s="9" t="s">
        <v>87</v>
      </c>
      <c r="G623" s="10" t="s">
        <v>88</v>
      </c>
      <c r="H623" s="11" t="s">
        <v>89</v>
      </c>
      <c r="I623" s="8">
        <v>24</v>
      </c>
      <c r="J623" s="15">
        <v>7.6394372684109761</v>
      </c>
      <c r="K623" s="8">
        <v>6</v>
      </c>
      <c r="L623" s="8">
        <v>9</v>
      </c>
      <c r="M623" s="7"/>
      <c r="N623" s="12" t="s">
        <v>20</v>
      </c>
      <c r="O623" s="12" t="s">
        <v>16</v>
      </c>
      <c r="P623" s="57" t="str">
        <f t="shared" si="27"/>
        <v>un fuste</v>
      </c>
      <c r="Q623">
        <f t="shared" si="28"/>
        <v>10</v>
      </c>
      <c r="R623">
        <f t="shared" si="29"/>
        <v>10</v>
      </c>
    </row>
    <row r="624" spans="1:21" x14ac:dyDescent="0.25">
      <c r="A624" s="7">
        <v>4</v>
      </c>
      <c r="B624" s="7">
        <v>100</v>
      </c>
      <c r="C624" s="8">
        <v>4</v>
      </c>
      <c r="D624" s="8">
        <v>25</v>
      </c>
      <c r="E624" s="8">
        <v>26</v>
      </c>
      <c r="F624" s="9" t="s">
        <v>87</v>
      </c>
      <c r="G624" s="13" t="s">
        <v>88</v>
      </c>
      <c r="H624" s="11" t="s">
        <v>89</v>
      </c>
      <c r="I624" s="7">
        <v>16</v>
      </c>
      <c r="J624" s="15">
        <v>5.0929581789406511</v>
      </c>
      <c r="K624" s="7">
        <v>7</v>
      </c>
      <c r="L624" s="7">
        <v>9</v>
      </c>
      <c r="M624" s="7"/>
      <c r="N624" s="12" t="s">
        <v>20</v>
      </c>
      <c r="O624" s="12" t="s">
        <v>16</v>
      </c>
      <c r="P624" s="57" t="str">
        <f t="shared" si="27"/>
        <v>un fuste</v>
      </c>
      <c r="Q624">
        <f t="shared" si="28"/>
        <v>10</v>
      </c>
      <c r="R624">
        <f t="shared" si="29"/>
        <v>5</v>
      </c>
    </row>
    <row r="625" spans="1:18" x14ac:dyDescent="0.25">
      <c r="A625" s="7">
        <v>11</v>
      </c>
      <c r="B625" s="7">
        <v>100</v>
      </c>
      <c r="C625" s="8">
        <v>3</v>
      </c>
      <c r="D625" s="8">
        <v>26</v>
      </c>
      <c r="E625" s="8">
        <v>26</v>
      </c>
      <c r="F625" s="9" t="s">
        <v>87</v>
      </c>
      <c r="G625" s="13" t="s">
        <v>88</v>
      </c>
      <c r="H625" s="14" t="s">
        <v>89</v>
      </c>
      <c r="I625" s="8">
        <v>16</v>
      </c>
      <c r="J625" s="15">
        <v>5.0929581789406511</v>
      </c>
      <c r="K625" s="8">
        <v>4.5</v>
      </c>
      <c r="L625" s="8">
        <v>8</v>
      </c>
      <c r="M625" s="7"/>
      <c r="N625" s="12" t="s">
        <v>20</v>
      </c>
      <c r="O625" s="12" t="s">
        <v>16</v>
      </c>
      <c r="P625" s="57" t="str">
        <f t="shared" si="27"/>
        <v>un fuste</v>
      </c>
      <c r="Q625">
        <f t="shared" si="28"/>
        <v>7.5</v>
      </c>
      <c r="R625">
        <f t="shared" si="29"/>
        <v>5</v>
      </c>
    </row>
    <row r="626" spans="1:18" x14ac:dyDescent="0.25">
      <c r="A626" s="7">
        <v>11</v>
      </c>
      <c r="B626" s="7">
        <v>100</v>
      </c>
      <c r="C626" s="8">
        <v>3</v>
      </c>
      <c r="D626" s="8">
        <v>31</v>
      </c>
      <c r="E626" s="8">
        <v>31</v>
      </c>
      <c r="F626" s="9" t="s">
        <v>87</v>
      </c>
      <c r="G626" s="10" t="s">
        <v>88</v>
      </c>
      <c r="H626" s="11" t="s">
        <v>89</v>
      </c>
      <c r="I626" s="8">
        <v>23</v>
      </c>
      <c r="J626" s="15">
        <v>7.3211273822271856</v>
      </c>
      <c r="K626" s="8">
        <v>6</v>
      </c>
      <c r="L626" s="8">
        <v>10</v>
      </c>
      <c r="M626" s="7"/>
      <c r="N626" s="12" t="s">
        <v>20</v>
      </c>
      <c r="O626" s="12" t="s">
        <v>16</v>
      </c>
      <c r="P626" s="57" t="str">
        <f t="shared" si="27"/>
        <v>un fuste</v>
      </c>
      <c r="Q626">
        <f t="shared" si="28"/>
        <v>10</v>
      </c>
      <c r="R626">
        <f t="shared" si="29"/>
        <v>5</v>
      </c>
    </row>
    <row r="627" spans="1:18" x14ac:dyDescent="0.25">
      <c r="A627" s="7">
        <v>11</v>
      </c>
      <c r="B627" s="7">
        <v>100</v>
      </c>
      <c r="C627" s="7">
        <v>3</v>
      </c>
      <c r="D627" s="8">
        <v>32</v>
      </c>
      <c r="E627" s="7">
        <v>32</v>
      </c>
      <c r="F627" s="9" t="s">
        <v>87</v>
      </c>
      <c r="G627" s="10" t="s">
        <v>88</v>
      </c>
      <c r="H627" s="11" t="s">
        <v>89</v>
      </c>
      <c r="I627" s="7">
        <v>24</v>
      </c>
      <c r="J627" s="15">
        <v>7.6394372684109761</v>
      </c>
      <c r="K627" s="7">
        <v>4</v>
      </c>
      <c r="L627" s="7">
        <v>10</v>
      </c>
      <c r="M627" s="7"/>
      <c r="N627" s="12" t="s">
        <v>20</v>
      </c>
      <c r="O627" s="12" t="s">
        <v>16</v>
      </c>
      <c r="P627" s="57" t="str">
        <f t="shared" si="27"/>
        <v>un fuste</v>
      </c>
      <c r="Q627">
        <f t="shared" si="28"/>
        <v>10</v>
      </c>
      <c r="R627">
        <f t="shared" si="29"/>
        <v>10</v>
      </c>
    </row>
    <row r="628" spans="1:18" x14ac:dyDescent="0.25">
      <c r="A628" s="7">
        <v>9</v>
      </c>
      <c r="B628" s="7">
        <v>5</v>
      </c>
      <c r="C628" s="7"/>
      <c r="D628" s="8">
        <v>8</v>
      </c>
      <c r="E628" s="7">
        <v>8</v>
      </c>
      <c r="F628" s="9" t="s">
        <v>17</v>
      </c>
      <c r="G628" s="10" t="s">
        <v>221</v>
      </c>
      <c r="H628" s="11" t="s">
        <v>222</v>
      </c>
      <c r="I628" s="7"/>
      <c r="J628" s="7"/>
      <c r="K628" s="7"/>
      <c r="L628" s="7">
        <v>2.2000000000000002</v>
      </c>
      <c r="M628" s="7" t="e">
        <v>#REF!</v>
      </c>
      <c r="N628" s="12"/>
      <c r="O628" s="12" t="s">
        <v>16</v>
      </c>
      <c r="P628" s="57" t="str">
        <f t="shared" si="27"/>
        <v>un fuste</v>
      </c>
      <c r="Q628">
        <f t="shared" si="28"/>
        <v>2.5</v>
      </c>
      <c r="R628">
        <f t="shared" si="29"/>
        <v>5</v>
      </c>
    </row>
    <row r="629" spans="1:18" x14ac:dyDescent="0.25">
      <c r="A629" s="7">
        <v>9</v>
      </c>
      <c r="B629" s="7">
        <v>5</v>
      </c>
      <c r="C629" s="7"/>
      <c r="D629" s="8">
        <v>9</v>
      </c>
      <c r="E629" s="7">
        <v>9</v>
      </c>
      <c r="F629" s="9" t="s">
        <v>17</v>
      </c>
      <c r="G629" s="10" t="s">
        <v>221</v>
      </c>
      <c r="H629" s="11" t="s">
        <v>222</v>
      </c>
      <c r="I629" s="7"/>
      <c r="J629" s="7"/>
      <c r="K629" s="7"/>
      <c r="L629" s="7">
        <v>2</v>
      </c>
      <c r="M629" s="7" t="e">
        <v>#REF!</v>
      </c>
      <c r="N629" s="12"/>
      <c r="O629" s="12" t="s">
        <v>16</v>
      </c>
      <c r="P629" s="57" t="str">
        <f t="shared" si="27"/>
        <v>un fuste</v>
      </c>
      <c r="Q629">
        <f t="shared" si="28"/>
        <v>2.5</v>
      </c>
      <c r="R629">
        <f t="shared" si="29"/>
        <v>5</v>
      </c>
    </row>
    <row r="630" spans="1:18" x14ac:dyDescent="0.25">
      <c r="A630" s="7">
        <v>9</v>
      </c>
      <c r="B630" s="7">
        <v>5</v>
      </c>
      <c r="C630" s="8"/>
      <c r="D630" s="8">
        <v>10</v>
      </c>
      <c r="E630" s="8">
        <v>10</v>
      </c>
      <c r="F630" s="9" t="s">
        <v>17</v>
      </c>
      <c r="G630" s="13" t="s">
        <v>54</v>
      </c>
      <c r="H630" s="11" t="s">
        <v>55</v>
      </c>
      <c r="I630" s="7"/>
      <c r="J630" s="7"/>
      <c r="K630" s="7"/>
      <c r="L630" s="7">
        <v>0.8</v>
      </c>
      <c r="M630" s="7" t="e">
        <v>#REF!</v>
      </c>
      <c r="N630" s="12"/>
      <c r="O630" s="12" t="s">
        <v>16</v>
      </c>
      <c r="P630" s="57" t="str">
        <f t="shared" si="27"/>
        <v>un fuste</v>
      </c>
      <c r="Q630">
        <f t="shared" si="28"/>
        <v>2.5</v>
      </c>
      <c r="R630">
        <f t="shared" si="29"/>
        <v>5</v>
      </c>
    </row>
    <row r="631" spans="1:18" x14ac:dyDescent="0.25">
      <c r="A631" s="7">
        <v>9</v>
      </c>
      <c r="B631" s="7">
        <v>5</v>
      </c>
      <c r="C631" s="8"/>
      <c r="D631" s="8">
        <v>11</v>
      </c>
      <c r="E631" s="8">
        <v>11</v>
      </c>
      <c r="F631" s="9" t="s">
        <v>17</v>
      </c>
      <c r="G631" s="13" t="s">
        <v>54</v>
      </c>
      <c r="H631" s="11" t="s">
        <v>55</v>
      </c>
      <c r="I631" s="7"/>
      <c r="J631" s="7"/>
      <c r="K631" s="7"/>
      <c r="L631" s="8">
        <v>1.2</v>
      </c>
      <c r="M631" s="7" t="e">
        <v>#REF!</v>
      </c>
      <c r="N631" s="12"/>
      <c r="O631" s="12" t="s">
        <v>16</v>
      </c>
      <c r="P631" s="57" t="str">
        <f t="shared" si="27"/>
        <v>un fuste</v>
      </c>
      <c r="Q631">
        <f t="shared" si="28"/>
        <v>2.5</v>
      </c>
      <c r="R631">
        <f t="shared" si="29"/>
        <v>5</v>
      </c>
    </row>
    <row r="632" spans="1:18" x14ac:dyDescent="0.25">
      <c r="A632" s="7">
        <v>9</v>
      </c>
      <c r="B632" s="7">
        <v>5</v>
      </c>
      <c r="C632" s="8"/>
      <c r="D632" s="8">
        <v>12</v>
      </c>
      <c r="E632" s="8">
        <v>12</v>
      </c>
      <c r="F632" s="9" t="s">
        <v>17</v>
      </c>
      <c r="G632" s="13" t="s">
        <v>221</v>
      </c>
      <c r="H632" s="11" t="s">
        <v>222</v>
      </c>
      <c r="I632" s="7"/>
      <c r="J632" s="7"/>
      <c r="K632" s="7"/>
      <c r="L632" s="7">
        <v>0.5</v>
      </c>
      <c r="M632" s="7" t="e">
        <v>#REF!</v>
      </c>
      <c r="N632" s="12"/>
      <c r="O632" s="12" t="s">
        <v>16</v>
      </c>
      <c r="P632" s="57" t="str">
        <f t="shared" si="27"/>
        <v>un fuste</v>
      </c>
      <c r="Q632">
        <f t="shared" si="28"/>
        <v>2.5</v>
      </c>
      <c r="R632">
        <f t="shared" si="29"/>
        <v>5</v>
      </c>
    </row>
    <row r="633" spans="1:18" x14ac:dyDescent="0.25">
      <c r="A633" s="7">
        <v>8</v>
      </c>
      <c r="B633" s="7">
        <v>100</v>
      </c>
      <c r="C633" s="7">
        <v>2</v>
      </c>
      <c r="D633" s="8">
        <v>13</v>
      </c>
      <c r="E633" s="7">
        <v>13</v>
      </c>
      <c r="F633" s="9" t="s">
        <v>62</v>
      </c>
      <c r="G633" s="13" t="s">
        <v>63</v>
      </c>
      <c r="H633" s="14" t="s">
        <v>64</v>
      </c>
      <c r="I633" s="7">
        <v>26</v>
      </c>
      <c r="J633" s="15">
        <v>8.2760570407785572</v>
      </c>
      <c r="K633" s="7">
        <v>5</v>
      </c>
      <c r="L633" s="7">
        <v>9</v>
      </c>
      <c r="M633" s="7"/>
      <c r="N633" s="12" t="s">
        <v>20</v>
      </c>
      <c r="O633" s="12" t="s">
        <v>16</v>
      </c>
      <c r="P633" s="57" t="str">
        <f t="shared" si="27"/>
        <v>un fuste</v>
      </c>
      <c r="Q633">
        <f t="shared" si="28"/>
        <v>10</v>
      </c>
      <c r="R633">
        <f t="shared" si="29"/>
        <v>10</v>
      </c>
    </row>
    <row r="634" spans="1:18" x14ac:dyDescent="0.25">
      <c r="A634" s="7">
        <v>9</v>
      </c>
      <c r="B634" s="7">
        <v>5</v>
      </c>
      <c r="C634" s="7"/>
      <c r="D634" s="8">
        <v>13</v>
      </c>
      <c r="E634" s="7">
        <v>13</v>
      </c>
      <c r="F634" s="9" t="s">
        <v>43</v>
      </c>
      <c r="G634" s="13" t="s">
        <v>99</v>
      </c>
      <c r="H634" s="11" t="s">
        <v>100</v>
      </c>
      <c r="I634" s="7"/>
      <c r="J634" s="7"/>
      <c r="K634" s="7"/>
      <c r="L634" s="7">
        <v>4</v>
      </c>
      <c r="M634" s="7" t="e">
        <v>#REF!</v>
      </c>
      <c r="N634" s="12"/>
      <c r="O634" s="12" t="s">
        <v>16</v>
      </c>
      <c r="P634" s="57" t="str">
        <f t="shared" si="27"/>
        <v>un fuste</v>
      </c>
      <c r="Q634">
        <f t="shared" si="28"/>
        <v>5</v>
      </c>
      <c r="R634">
        <f t="shared" si="29"/>
        <v>5</v>
      </c>
    </row>
    <row r="635" spans="1:18" x14ac:dyDescent="0.25">
      <c r="A635" s="7">
        <v>9</v>
      </c>
      <c r="B635" s="7">
        <v>5</v>
      </c>
      <c r="C635" s="7"/>
      <c r="D635" s="8">
        <v>14</v>
      </c>
      <c r="E635" s="7">
        <v>14</v>
      </c>
      <c r="F635" s="9" t="s">
        <v>48</v>
      </c>
      <c r="G635" s="13" t="s">
        <v>49</v>
      </c>
      <c r="H635" s="11" t="s">
        <v>50</v>
      </c>
      <c r="I635" s="7"/>
      <c r="J635" s="7"/>
      <c r="K635" s="7"/>
      <c r="L635" s="7">
        <v>6</v>
      </c>
      <c r="M635" s="7" t="e">
        <v>#REF!</v>
      </c>
      <c r="N635" s="12"/>
      <c r="O635" s="12" t="s">
        <v>16</v>
      </c>
      <c r="P635" s="57" t="str">
        <f t="shared" si="27"/>
        <v>un fuste</v>
      </c>
      <c r="Q635">
        <f t="shared" si="28"/>
        <v>5</v>
      </c>
      <c r="R635">
        <f t="shared" si="29"/>
        <v>5</v>
      </c>
    </row>
    <row r="636" spans="1:18" x14ac:dyDescent="0.25">
      <c r="A636" s="7">
        <v>9</v>
      </c>
      <c r="B636" s="7">
        <v>5</v>
      </c>
      <c r="C636" s="8"/>
      <c r="D636" s="8">
        <v>15</v>
      </c>
      <c r="E636" s="8">
        <v>15</v>
      </c>
      <c r="F636" s="9" t="s">
        <v>81</v>
      </c>
      <c r="G636" s="10" t="s">
        <v>82</v>
      </c>
      <c r="H636" s="11" t="s">
        <v>83</v>
      </c>
      <c r="I636" s="7"/>
      <c r="J636" s="7"/>
      <c r="K636" s="7"/>
      <c r="L636" s="7">
        <v>6</v>
      </c>
      <c r="M636" s="7" t="e">
        <v>#REF!</v>
      </c>
      <c r="N636" s="12"/>
      <c r="O636" s="12" t="s">
        <v>16</v>
      </c>
      <c r="P636" s="57" t="str">
        <f t="shared" si="27"/>
        <v>un fuste</v>
      </c>
      <c r="Q636">
        <f t="shared" si="28"/>
        <v>5</v>
      </c>
      <c r="R636">
        <f t="shared" si="29"/>
        <v>5</v>
      </c>
    </row>
    <row r="637" spans="1:18" x14ac:dyDescent="0.25">
      <c r="A637" s="7">
        <v>9</v>
      </c>
      <c r="B637" s="7">
        <v>5</v>
      </c>
      <c r="C637" s="7"/>
      <c r="D637" s="8">
        <v>16</v>
      </c>
      <c r="E637" s="8">
        <v>16</v>
      </c>
      <c r="F637" s="9" t="s">
        <v>81</v>
      </c>
      <c r="G637" s="13" t="s">
        <v>82</v>
      </c>
      <c r="H637" s="14" t="s">
        <v>83</v>
      </c>
      <c r="I637" s="7"/>
      <c r="J637" s="7"/>
      <c r="K637" s="7"/>
      <c r="L637" s="7">
        <v>3.5</v>
      </c>
      <c r="M637" s="7" t="e">
        <v>#REF!</v>
      </c>
      <c r="N637" s="12"/>
      <c r="O637" s="12" t="s">
        <v>16</v>
      </c>
      <c r="P637" s="57" t="str">
        <f t="shared" si="27"/>
        <v>un fuste</v>
      </c>
      <c r="Q637">
        <f t="shared" si="28"/>
        <v>2.5</v>
      </c>
      <c r="R637">
        <f t="shared" si="29"/>
        <v>5</v>
      </c>
    </row>
    <row r="638" spans="1:18" x14ac:dyDescent="0.25">
      <c r="A638" s="7">
        <v>9</v>
      </c>
      <c r="B638" s="7">
        <v>5</v>
      </c>
      <c r="C638" s="7"/>
      <c r="D638" s="8">
        <v>17</v>
      </c>
      <c r="E638" s="7">
        <v>17</v>
      </c>
      <c r="F638" s="9" t="s">
        <v>90</v>
      </c>
      <c r="G638" s="10" t="s">
        <v>103</v>
      </c>
      <c r="H638" s="11" t="s">
        <v>104</v>
      </c>
      <c r="I638" s="7"/>
      <c r="J638" s="7"/>
      <c r="K638" s="7"/>
      <c r="L638" s="7">
        <v>4</v>
      </c>
      <c r="M638" s="7" t="e">
        <v>#REF!</v>
      </c>
      <c r="N638" s="12"/>
      <c r="O638" s="12" t="s">
        <v>16</v>
      </c>
      <c r="P638" s="57" t="str">
        <f t="shared" si="27"/>
        <v>un fuste</v>
      </c>
      <c r="Q638">
        <f t="shared" si="28"/>
        <v>5</v>
      </c>
      <c r="R638">
        <f t="shared" si="29"/>
        <v>5</v>
      </c>
    </row>
    <row r="639" spans="1:18" x14ac:dyDescent="0.25">
      <c r="A639" s="7">
        <v>9</v>
      </c>
      <c r="B639" s="7">
        <v>5</v>
      </c>
      <c r="C639" s="7"/>
      <c r="D639" s="8">
        <v>18</v>
      </c>
      <c r="E639" s="8">
        <v>18</v>
      </c>
      <c r="F639" s="9" t="s">
        <v>90</v>
      </c>
      <c r="G639" s="10" t="s">
        <v>282</v>
      </c>
      <c r="H639" s="11" t="s">
        <v>124</v>
      </c>
      <c r="I639" s="7"/>
      <c r="J639" s="7"/>
      <c r="K639" s="7"/>
      <c r="L639" s="7">
        <v>5</v>
      </c>
      <c r="M639" s="7" t="e">
        <v>#REF!</v>
      </c>
      <c r="N639" s="12"/>
      <c r="O639" s="12" t="s">
        <v>16</v>
      </c>
      <c r="P639" s="57" t="str">
        <f t="shared" si="27"/>
        <v>un fuste</v>
      </c>
      <c r="Q639">
        <f t="shared" si="28"/>
        <v>5</v>
      </c>
      <c r="R639">
        <f t="shared" si="29"/>
        <v>5</v>
      </c>
    </row>
    <row r="640" spans="1:18" x14ac:dyDescent="0.25">
      <c r="A640" s="7">
        <v>9</v>
      </c>
      <c r="B640" s="7">
        <v>5</v>
      </c>
      <c r="C640" s="8"/>
      <c r="D640" s="8">
        <v>19</v>
      </c>
      <c r="E640" s="8">
        <v>19</v>
      </c>
      <c r="F640" s="9" t="s">
        <v>43</v>
      </c>
      <c r="G640" s="10" t="s">
        <v>146</v>
      </c>
      <c r="H640" s="11" t="s">
        <v>147</v>
      </c>
      <c r="I640" s="7"/>
      <c r="J640" s="7"/>
      <c r="K640" s="7"/>
      <c r="L640" s="8">
        <v>8</v>
      </c>
      <c r="M640" s="7" t="e">
        <v>#REF!</v>
      </c>
      <c r="N640" s="12"/>
      <c r="O640" s="12" t="s">
        <v>16</v>
      </c>
      <c r="P640" s="57" t="str">
        <f t="shared" si="27"/>
        <v>un fuste</v>
      </c>
      <c r="Q640">
        <f t="shared" si="28"/>
        <v>7.5</v>
      </c>
      <c r="R640">
        <f t="shared" si="29"/>
        <v>5</v>
      </c>
    </row>
    <row r="641" spans="1:21" x14ac:dyDescent="0.25">
      <c r="A641" s="7">
        <v>9</v>
      </c>
      <c r="B641" s="7">
        <v>5</v>
      </c>
      <c r="C641" s="7"/>
      <c r="D641" s="8">
        <v>20</v>
      </c>
      <c r="E641" s="8">
        <v>20</v>
      </c>
      <c r="F641" s="17" t="s">
        <v>17</v>
      </c>
      <c r="G641" s="10" t="s">
        <v>221</v>
      </c>
      <c r="H641" s="11" t="s">
        <v>222</v>
      </c>
      <c r="I641" s="7"/>
      <c r="J641" s="7"/>
      <c r="K641" s="7"/>
      <c r="L641" s="7">
        <v>5</v>
      </c>
      <c r="M641" s="7" t="e">
        <v>#REF!</v>
      </c>
      <c r="N641" s="12"/>
      <c r="O641" s="12" t="s">
        <v>16</v>
      </c>
      <c r="P641" s="57" t="str">
        <f t="shared" si="27"/>
        <v>un fuste</v>
      </c>
      <c r="Q641">
        <f t="shared" si="28"/>
        <v>5</v>
      </c>
      <c r="R641">
        <f t="shared" si="29"/>
        <v>5</v>
      </c>
    </row>
    <row r="642" spans="1:21" x14ac:dyDescent="0.25">
      <c r="A642" s="7">
        <v>9</v>
      </c>
      <c r="B642" s="7">
        <v>5</v>
      </c>
      <c r="C642" s="8"/>
      <c r="D642" s="8">
        <v>21</v>
      </c>
      <c r="E642" s="8">
        <v>21</v>
      </c>
      <c r="F642" s="9" t="s">
        <v>43</v>
      </c>
      <c r="G642" s="13" t="s">
        <v>46</v>
      </c>
      <c r="H642" s="11" t="s">
        <v>47</v>
      </c>
      <c r="I642" s="7"/>
      <c r="J642" s="7"/>
      <c r="K642" s="7"/>
      <c r="L642" s="7">
        <v>0.4</v>
      </c>
      <c r="M642" s="7" t="e">
        <v>#REF!</v>
      </c>
      <c r="N642" s="12"/>
      <c r="O642" s="12" t="s">
        <v>16</v>
      </c>
      <c r="P642" s="57" t="str">
        <f t="shared" si="27"/>
        <v>un fuste</v>
      </c>
      <c r="Q642">
        <f t="shared" si="28"/>
        <v>2.5</v>
      </c>
      <c r="R642">
        <f t="shared" si="29"/>
        <v>5</v>
      </c>
    </row>
    <row r="643" spans="1:21" x14ac:dyDescent="0.25">
      <c r="A643" s="7">
        <v>4</v>
      </c>
      <c r="B643" s="7">
        <v>500</v>
      </c>
      <c r="C643" s="8">
        <v>2</v>
      </c>
      <c r="D643" s="8">
        <v>31</v>
      </c>
      <c r="E643" s="8">
        <v>32</v>
      </c>
      <c r="F643" s="9" t="s">
        <v>48</v>
      </c>
      <c r="G643" s="13" t="s">
        <v>161</v>
      </c>
      <c r="H643" s="14" t="s">
        <v>162</v>
      </c>
      <c r="I643" s="7">
        <v>32</v>
      </c>
      <c r="J643" s="15">
        <v>10.185916357881302</v>
      </c>
      <c r="K643" s="7">
        <v>4</v>
      </c>
      <c r="L643" s="8">
        <v>10</v>
      </c>
      <c r="M643" s="7"/>
      <c r="N643" s="12" t="s">
        <v>20</v>
      </c>
      <c r="O643" s="12" t="s">
        <v>16</v>
      </c>
      <c r="P643" s="57" t="str">
        <f t="shared" ref="P643:P706" si="30">IF((D643/D643)=1,"un fuste","bifurcado")</f>
        <v>un fuste</v>
      </c>
      <c r="Q643">
        <f t="shared" ref="Q643:Q706" si="31">IF(L643&lt;3.75,2.5,IF(L643&lt;6.25,5,IF(L643&lt;8.74,7.5,IF(L643&lt;11.24,10,IF(L643&lt;13.75,12.5,IF(L643&lt;16.25,15,IF(L643&lt;18.75,17.5,IF(L643&lt;21.25,20,IF(L643&lt;23.75,22.5,IF(L643&lt;26.25,25,IF(L643&lt;28.75,27.5,IF(L643&lt;31.25,30,IF(L643&lt;33.75,32.5,IF(L643&lt;36.25,35,IF(L643&lt;38.75,37.5,IF(L643&lt;41.24,40,IF(L643&lt;43.75,42.5,IF(L643&lt;46.25,45," "))))))))))))))))))</f>
        <v>10</v>
      </c>
      <c r="R643">
        <f t="shared" ref="R643:R706" si="32">IF(J643&lt;7.5,5,IF(J643&lt;12.5,10,IF(J643&lt;17.5,15,IF(J643&lt;22.5,20,IF(J643&lt;27.5,25,IF(J643&lt;32.5,30,IF(J643&lt;37.5,35,IF(J643&lt;42.5,40,IF(J643&lt;47.5,45,IF(J643&lt;52.5,50,IF(J643&lt;57.5,55,0)))))))))))</f>
        <v>10</v>
      </c>
      <c r="S643">
        <v>17</v>
      </c>
      <c r="T643" t="s">
        <v>273</v>
      </c>
      <c r="U643">
        <v>5.3005584899578816E-2</v>
      </c>
    </row>
    <row r="644" spans="1:21" x14ac:dyDescent="0.25">
      <c r="A644" s="7">
        <v>4</v>
      </c>
      <c r="B644" s="7">
        <v>500</v>
      </c>
      <c r="C644" s="7">
        <v>3</v>
      </c>
      <c r="D644" s="8">
        <v>41</v>
      </c>
      <c r="E644" s="7">
        <v>43</v>
      </c>
      <c r="F644" s="9" t="s">
        <v>48</v>
      </c>
      <c r="G644" s="13" t="s">
        <v>161</v>
      </c>
      <c r="H644" s="14" t="s">
        <v>162</v>
      </c>
      <c r="I644" s="7">
        <v>32</v>
      </c>
      <c r="J644" s="15">
        <v>10.185916357881302</v>
      </c>
      <c r="K644" s="7">
        <v>4.5</v>
      </c>
      <c r="L644" s="7">
        <v>10</v>
      </c>
      <c r="M644" s="7"/>
      <c r="N644" s="12" t="s">
        <v>20</v>
      </c>
      <c r="O644" s="12" t="s">
        <v>16</v>
      </c>
      <c r="P644" s="57" t="str">
        <f t="shared" si="30"/>
        <v>un fuste</v>
      </c>
      <c r="Q644">
        <f t="shared" si="31"/>
        <v>10</v>
      </c>
      <c r="R644">
        <f t="shared" si="32"/>
        <v>10</v>
      </c>
      <c r="S644">
        <v>17</v>
      </c>
      <c r="T644" t="s">
        <v>273</v>
      </c>
      <c r="U644">
        <v>5.3005584899578816E-2</v>
      </c>
    </row>
    <row r="645" spans="1:21" x14ac:dyDescent="0.25">
      <c r="A645" s="7">
        <v>9</v>
      </c>
      <c r="B645" s="7">
        <v>5</v>
      </c>
      <c r="C645" s="8"/>
      <c r="D645" s="8">
        <v>22</v>
      </c>
      <c r="E645" s="8">
        <v>22</v>
      </c>
      <c r="F645" s="9" t="s">
        <v>17</v>
      </c>
      <c r="G645" s="13" t="s">
        <v>221</v>
      </c>
      <c r="H645" s="11" t="s">
        <v>222</v>
      </c>
      <c r="I645" s="7"/>
      <c r="J645" s="7"/>
      <c r="K645" s="7"/>
      <c r="L645" s="8">
        <v>4</v>
      </c>
      <c r="M645" s="7" t="e">
        <v>#REF!</v>
      </c>
      <c r="N645" s="12"/>
      <c r="O645" s="12" t="s">
        <v>16</v>
      </c>
      <c r="P645" s="57" t="str">
        <f t="shared" si="30"/>
        <v>un fuste</v>
      </c>
      <c r="Q645">
        <f t="shared" si="31"/>
        <v>5</v>
      </c>
      <c r="R645">
        <f t="shared" si="32"/>
        <v>5</v>
      </c>
    </row>
    <row r="646" spans="1:21" x14ac:dyDescent="0.25">
      <c r="A646" s="7">
        <v>9</v>
      </c>
      <c r="B646" s="7">
        <v>5</v>
      </c>
      <c r="C646" s="8"/>
      <c r="D646" s="8">
        <v>23</v>
      </c>
      <c r="E646" s="8">
        <v>23</v>
      </c>
      <c r="F646" s="9" t="s">
        <v>17</v>
      </c>
      <c r="G646" s="13" t="s">
        <v>221</v>
      </c>
      <c r="H646" s="11" t="s">
        <v>222</v>
      </c>
      <c r="I646" s="7"/>
      <c r="J646" s="7"/>
      <c r="K646" s="7"/>
      <c r="L646" s="7">
        <v>3</v>
      </c>
      <c r="M646" s="7" t="e">
        <v>#REF!</v>
      </c>
      <c r="N646" s="12"/>
      <c r="O646" s="12" t="s">
        <v>16</v>
      </c>
      <c r="P646" s="57" t="str">
        <f t="shared" si="30"/>
        <v>un fuste</v>
      </c>
      <c r="Q646">
        <f t="shared" si="31"/>
        <v>2.5</v>
      </c>
      <c r="R646">
        <f t="shared" si="32"/>
        <v>5</v>
      </c>
    </row>
    <row r="647" spans="1:21" x14ac:dyDescent="0.25">
      <c r="A647" s="7">
        <v>9</v>
      </c>
      <c r="B647" s="7">
        <v>5</v>
      </c>
      <c r="C647" s="8"/>
      <c r="D647" s="8">
        <v>24</v>
      </c>
      <c r="E647" s="8">
        <v>24</v>
      </c>
      <c r="F647" s="9" t="s">
        <v>17</v>
      </c>
      <c r="G647" s="13" t="s">
        <v>221</v>
      </c>
      <c r="H647" s="11" t="s">
        <v>222</v>
      </c>
      <c r="I647" s="7"/>
      <c r="J647" s="7"/>
      <c r="K647" s="7"/>
      <c r="L647" s="7">
        <v>4</v>
      </c>
      <c r="M647" s="7" t="e">
        <v>#REF!</v>
      </c>
      <c r="N647" s="12"/>
      <c r="O647" s="12" t="s">
        <v>16</v>
      </c>
      <c r="P647" s="57" t="str">
        <f t="shared" si="30"/>
        <v>un fuste</v>
      </c>
      <c r="Q647">
        <f t="shared" si="31"/>
        <v>5</v>
      </c>
      <c r="R647">
        <f t="shared" si="32"/>
        <v>5</v>
      </c>
    </row>
    <row r="648" spans="1:21" x14ac:dyDescent="0.25">
      <c r="A648" s="7">
        <v>9</v>
      </c>
      <c r="B648" s="7">
        <v>5</v>
      </c>
      <c r="C648" s="8"/>
      <c r="D648" s="8">
        <v>25</v>
      </c>
      <c r="E648" s="8">
        <v>25</v>
      </c>
      <c r="F648" s="9" t="s">
        <v>48</v>
      </c>
      <c r="G648" s="13" t="s">
        <v>49</v>
      </c>
      <c r="H648" s="11" t="s">
        <v>50</v>
      </c>
      <c r="I648" s="8"/>
      <c r="J648" s="7"/>
      <c r="K648" s="8"/>
      <c r="L648" s="8">
        <v>4</v>
      </c>
      <c r="M648" s="7" t="e">
        <v>#REF!</v>
      </c>
      <c r="N648" s="12"/>
      <c r="O648" s="12" t="s">
        <v>16</v>
      </c>
      <c r="P648" s="57" t="str">
        <f t="shared" si="30"/>
        <v>un fuste</v>
      </c>
      <c r="Q648">
        <f t="shared" si="31"/>
        <v>5</v>
      </c>
      <c r="R648">
        <f t="shared" si="32"/>
        <v>5</v>
      </c>
    </row>
    <row r="649" spans="1:21" x14ac:dyDescent="0.25">
      <c r="A649" s="7">
        <v>9</v>
      </c>
      <c r="B649" s="7">
        <v>5</v>
      </c>
      <c r="C649" s="8"/>
      <c r="D649" s="8">
        <v>26</v>
      </c>
      <c r="E649" s="8">
        <v>26</v>
      </c>
      <c r="F649" s="9" t="s">
        <v>48</v>
      </c>
      <c r="G649" s="13" t="s">
        <v>49</v>
      </c>
      <c r="H649" s="11" t="s">
        <v>50</v>
      </c>
      <c r="I649" s="7"/>
      <c r="J649" s="7"/>
      <c r="K649" s="7"/>
      <c r="L649" s="7">
        <v>7</v>
      </c>
      <c r="M649" s="7" t="e">
        <v>#REF!</v>
      </c>
      <c r="N649" s="12"/>
      <c r="O649" s="12" t="s">
        <v>16</v>
      </c>
      <c r="P649" s="57" t="str">
        <f t="shared" si="30"/>
        <v>un fuste</v>
      </c>
      <c r="Q649">
        <f t="shared" si="31"/>
        <v>7.5</v>
      </c>
      <c r="R649">
        <f t="shared" si="32"/>
        <v>5</v>
      </c>
    </row>
    <row r="650" spans="1:21" x14ac:dyDescent="0.25">
      <c r="A650" s="7">
        <v>9</v>
      </c>
      <c r="B650" s="7">
        <v>5</v>
      </c>
      <c r="C650" s="8"/>
      <c r="D650" s="8">
        <v>27</v>
      </c>
      <c r="E650" s="8">
        <v>27</v>
      </c>
      <c r="F650" s="9" t="s">
        <v>17</v>
      </c>
      <c r="G650" s="10" t="s">
        <v>54</v>
      </c>
      <c r="H650" s="11" t="s">
        <v>55</v>
      </c>
      <c r="I650" s="8"/>
      <c r="J650" s="7"/>
      <c r="K650" s="8"/>
      <c r="L650" s="8">
        <v>1.3</v>
      </c>
      <c r="M650" s="7" t="e">
        <v>#REF!</v>
      </c>
      <c r="N650" s="12"/>
      <c r="O650" s="12" t="s">
        <v>16</v>
      </c>
      <c r="P650" s="57" t="str">
        <f t="shared" si="30"/>
        <v>un fuste</v>
      </c>
      <c r="Q650">
        <f t="shared" si="31"/>
        <v>2.5</v>
      </c>
      <c r="R650">
        <f t="shared" si="32"/>
        <v>5</v>
      </c>
    </row>
    <row r="651" spans="1:21" x14ac:dyDescent="0.25">
      <c r="A651" s="7">
        <v>9</v>
      </c>
      <c r="B651" s="7">
        <v>5</v>
      </c>
      <c r="C651" s="8"/>
      <c r="D651" s="7">
        <v>28</v>
      </c>
      <c r="E651" s="7">
        <v>28</v>
      </c>
      <c r="F651" s="9" t="s">
        <v>17</v>
      </c>
      <c r="G651" s="13" t="s">
        <v>54</v>
      </c>
      <c r="H651" s="11" t="s">
        <v>55</v>
      </c>
      <c r="I651" s="7"/>
      <c r="J651" s="7"/>
      <c r="K651" s="7"/>
      <c r="L651" s="7">
        <v>1</v>
      </c>
      <c r="M651" s="7" t="e">
        <v>#REF!</v>
      </c>
      <c r="N651" s="12"/>
      <c r="O651" s="12" t="s">
        <v>16</v>
      </c>
      <c r="P651" s="57" t="str">
        <f t="shared" si="30"/>
        <v>un fuste</v>
      </c>
      <c r="Q651">
        <f t="shared" si="31"/>
        <v>2.5</v>
      </c>
      <c r="R651">
        <f t="shared" si="32"/>
        <v>5</v>
      </c>
    </row>
    <row r="652" spans="1:21" x14ac:dyDescent="0.25">
      <c r="A652" s="7">
        <v>4</v>
      </c>
      <c r="B652" s="7">
        <v>100</v>
      </c>
      <c r="C652" s="8">
        <v>1</v>
      </c>
      <c r="D652" s="8">
        <v>2</v>
      </c>
      <c r="E652" s="8">
        <v>2</v>
      </c>
      <c r="F652" s="9" t="s">
        <v>48</v>
      </c>
      <c r="G652" s="13" t="s">
        <v>49</v>
      </c>
      <c r="H652" s="11" t="s">
        <v>50</v>
      </c>
      <c r="I652" s="7">
        <v>18.5</v>
      </c>
      <c r="J652" s="15">
        <v>5.8887328944001274</v>
      </c>
      <c r="K652" s="7">
        <v>6</v>
      </c>
      <c r="L652" s="7">
        <v>7</v>
      </c>
      <c r="M652" s="7"/>
      <c r="N652" s="12" t="s">
        <v>20</v>
      </c>
      <c r="O652" s="12" t="s">
        <v>16</v>
      </c>
      <c r="P652" s="57" t="str">
        <f t="shared" si="30"/>
        <v>un fuste</v>
      </c>
      <c r="Q652">
        <f t="shared" si="31"/>
        <v>7.5</v>
      </c>
      <c r="R652">
        <f t="shared" si="32"/>
        <v>5</v>
      </c>
    </row>
    <row r="653" spans="1:21" x14ac:dyDescent="0.25">
      <c r="A653" s="7">
        <v>9</v>
      </c>
      <c r="B653" s="7">
        <v>5</v>
      </c>
      <c r="C653" s="7"/>
      <c r="D653" s="8">
        <v>29</v>
      </c>
      <c r="E653" s="7">
        <v>29</v>
      </c>
      <c r="F653" s="9" t="s">
        <v>90</v>
      </c>
      <c r="G653" s="10" t="s">
        <v>103</v>
      </c>
      <c r="H653" s="11" t="s">
        <v>104</v>
      </c>
      <c r="I653" s="7"/>
      <c r="J653" s="7"/>
      <c r="K653" s="7"/>
      <c r="L653" s="7">
        <v>7</v>
      </c>
      <c r="M653" s="7" t="e">
        <v>#REF!</v>
      </c>
      <c r="N653" s="12"/>
      <c r="O653" s="12" t="s">
        <v>16</v>
      </c>
      <c r="P653" s="57" t="str">
        <f t="shared" si="30"/>
        <v>un fuste</v>
      </c>
      <c r="Q653">
        <f t="shared" si="31"/>
        <v>7.5</v>
      </c>
      <c r="R653">
        <f t="shared" si="32"/>
        <v>5</v>
      </c>
    </row>
    <row r="654" spans="1:21" x14ac:dyDescent="0.25">
      <c r="A654" s="7">
        <v>9</v>
      </c>
      <c r="B654" s="7">
        <v>5</v>
      </c>
      <c r="C654" s="7"/>
      <c r="D654" s="8">
        <v>30</v>
      </c>
      <c r="E654" s="7">
        <v>30</v>
      </c>
      <c r="F654" s="9" t="s">
        <v>17</v>
      </c>
      <c r="G654" s="13" t="s">
        <v>54</v>
      </c>
      <c r="H654" s="11" t="s">
        <v>55</v>
      </c>
      <c r="I654" s="7"/>
      <c r="J654" s="7"/>
      <c r="K654" s="7"/>
      <c r="L654" s="7">
        <v>2</v>
      </c>
      <c r="M654" s="7" t="e">
        <v>#REF!</v>
      </c>
      <c r="N654" s="12"/>
      <c r="O654" s="12" t="s">
        <v>16</v>
      </c>
      <c r="P654" s="57" t="str">
        <f t="shared" si="30"/>
        <v>un fuste</v>
      </c>
      <c r="Q654">
        <f t="shared" si="31"/>
        <v>2.5</v>
      </c>
      <c r="R654">
        <f t="shared" si="32"/>
        <v>5</v>
      </c>
    </row>
    <row r="655" spans="1:21" x14ac:dyDescent="0.25">
      <c r="A655" s="7">
        <v>3</v>
      </c>
      <c r="B655" s="7">
        <v>100</v>
      </c>
      <c r="C655" s="7">
        <v>2</v>
      </c>
      <c r="D655" s="8">
        <v>6</v>
      </c>
      <c r="E655" s="7">
        <v>6</v>
      </c>
      <c r="F655" s="9" t="s">
        <v>48</v>
      </c>
      <c r="G655" s="10" t="s">
        <v>49</v>
      </c>
      <c r="H655" s="11" t="s">
        <v>50</v>
      </c>
      <c r="I655" s="7">
        <v>18.5</v>
      </c>
      <c r="J655" s="15">
        <v>5.8887328944001274</v>
      </c>
      <c r="K655" s="7">
        <v>3.5</v>
      </c>
      <c r="L655" s="7">
        <v>8</v>
      </c>
      <c r="M655" s="7"/>
      <c r="N655" s="12" t="s">
        <v>20</v>
      </c>
      <c r="O655" s="12" t="s">
        <v>16</v>
      </c>
      <c r="P655" s="57" t="str">
        <f t="shared" si="30"/>
        <v>un fuste</v>
      </c>
      <c r="Q655">
        <f t="shared" si="31"/>
        <v>7.5</v>
      </c>
      <c r="R655">
        <f t="shared" si="32"/>
        <v>5</v>
      </c>
    </row>
    <row r="656" spans="1:21" x14ac:dyDescent="0.25">
      <c r="A656" s="7">
        <v>9</v>
      </c>
      <c r="B656" s="7">
        <v>5</v>
      </c>
      <c r="C656" s="8"/>
      <c r="D656" s="8">
        <v>31</v>
      </c>
      <c r="E656" s="8">
        <v>31</v>
      </c>
      <c r="F656" s="9" t="s">
        <v>62</v>
      </c>
      <c r="G656" s="13" t="s">
        <v>63</v>
      </c>
      <c r="H656" s="14" t="s">
        <v>64</v>
      </c>
      <c r="I656" s="8"/>
      <c r="J656" s="7"/>
      <c r="K656" s="8"/>
      <c r="L656" s="8">
        <v>3</v>
      </c>
      <c r="M656" s="7" t="e">
        <v>#REF!</v>
      </c>
      <c r="N656" s="12"/>
      <c r="O656" s="12" t="s">
        <v>16</v>
      </c>
      <c r="P656" s="57" t="str">
        <f t="shared" si="30"/>
        <v>un fuste</v>
      </c>
      <c r="Q656">
        <f t="shared" si="31"/>
        <v>2.5</v>
      </c>
      <c r="R656">
        <f t="shared" si="32"/>
        <v>5</v>
      </c>
    </row>
    <row r="657" spans="1:18" x14ac:dyDescent="0.25">
      <c r="A657" s="7">
        <v>1</v>
      </c>
      <c r="B657" s="7">
        <v>100</v>
      </c>
      <c r="C657" s="7">
        <v>2</v>
      </c>
      <c r="D657" s="8">
        <v>7</v>
      </c>
      <c r="E657" s="7">
        <v>7</v>
      </c>
      <c r="F657" s="9" t="s">
        <v>48</v>
      </c>
      <c r="G657" s="10" t="s">
        <v>49</v>
      </c>
      <c r="H657" s="11" t="s">
        <v>50</v>
      </c>
      <c r="I657" s="7">
        <v>17</v>
      </c>
      <c r="J657" s="15">
        <v>5.4112680651244416</v>
      </c>
      <c r="K657" s="7">
        <v>2</v>
      </c>
      <c r="L657" s="7">
        <v>6</v>
      </c>
      <c r="M657" s="7"/>
      <c r="N657" s="12" t="s">
        <v>20</v>
      </c>
      <c r="O657" s="12" t="s">
        <v>16</v>
      </c>
      <c r="P657" s="57" t="str">
        <f t="shared" si="30"/>
        <v>un fuste</v>
      </c>
      <c r="Q657">
        <f t="shared" si="31"/>
        <v>5</v>
      </c>
      <c r="R657">
        <f t="shared" si="32"/>
        <v>5</v>
      </c>
    </row>
    <row r="658" spans="1:18" x14ac:dyDescent="0.25">
      <c r="A658" s="7">
        <v>6</v>
      </c>
      <c r="B658" s="7">
        <v>100</v>
      </c>
      <c r="C658" s="7">
        <v>1</v>
      </c>
      <c r="D658" s="8">
        <v>7</v>
      </c>
      <c r="E658" s="7">
        <v>7</v>
      </c>
      <c r="F658" s="9" t="s">
        <v>48</v>
      </c>
      <c r="G658" s="10" t="s">
        <v>49</v>
      </c>
      <c r="H658" s="11" t="s">
        <v>50</v>
      </c>
      <c r="I658" s="7">
        <v>16.5</v>
      </c>
      <c r="J658" s="15">
        <v>5.2521131220325463</v>
      </c>
      <c r="K658" s="7">
        <v>4</v>
      </c>
      <c r="L658" s="7">
        <v>9</v>
      </c>
      <c r="M658" s="7"/>
      <c r="N658" s="12" t="s">
        <v>20</v>
      </c>
      <c r="O658" s="12" t="s">
        <v>16</v>
      </c>
      <c r="P658" s="57" t="str">
        <f t="shared" si="30"/>
        <v>un fuste</v>
      </c>
      <c r="Q658">
        <f t="shared" si="31"/>
        <v>10</v>
      </c>
      <c r="R658">
        <f t="shared" si="32"/>
        <v>5</v>
      </c>
    </row>
    <row r="659" spans="1:18" x14ac:dyDescent="0.25">
      <c r="A659" s="7">
        <v>3</v>
      </c>
      <c r="B659" s="7">
        <v>100</v>
      </c>
      <c r="C659" s="7">
        <v>3</v>
      </c>
      <c r="D659" s="8">
        <v>11</v>
      </c>
      <c r="E659" s="7">
        <v>11</v>
      </c>
      <c r="F659" s="9" t="s">
        <v>48</v>
      </c>
      <c r="G659" s="10" t="s">
        <v>49</v>
      </c>
      <c r="H659" s="11" t="s">
        <v>50</v>
      </c>
      <c r="I659" s="7">
        <v>19.5</v>
      </c>
      <c r="J659" s="15">
        <v>6.2070427805839179</v>
      </c>
      <c r="K659" s="7">
        <v>3.5</v>
      </c>
      <c r="L659" s="7">
        <v>8</v>
      </c>
      <c r="M659" s="7"/>
      <c r="N659" s="12" t="s">
        <v>20</v>
      </c>
      <c r="O659" s="12" t="s">
        <v>16</v>
      </c>
      <c r="P659" s="57" t="str">
        <f t="shared" si="30"/>
        <v>un fuste</v>
      </c>
      <c r="Q659">
        <f t="shared" si="31"/>
        <v>7.5</v>
      </c>
      <c r="R659">
        <f t="shared" si="32"/>
        <v>5</v>
      </c>
    </row>
    <row r="660" spans="1:18" x14ac:dyDescent="0.25">
      <c r="A660" s="7">
        <v>6</v>
      </c>
      <c r="B660" s="7">
        <v>100</v>
      </c>
      <c r="C660" s="8">
        <v>2</v>
      </c>
      <c r="D660" s="8">
        <v>12</v>
      </c>
      <c r="E660" s="8">
        <v>12</v>
      </c>
      <c r="F660" s="9" t="s">
        <v>48</v>
      </c>
      <c r="G660" s="10" t="s">
        <v>49</v>
      </c>
      <c r="H660" s="11" t="s">
        <v>50</v>
      </c>
      <c r="I660" s="7">
        <v>26</v>
      </c>
      <c r="J660" s="15">
        <v>8.2760570407785572</v>
      </c>
      <c r="K660" s="7">
        <v>7</v>
      </c>
      <c r="L660" s="7">
        <v>9</v>
      </c>
      <c r="M660" s="7"/>
      <c r="N660" s="12" t="s">
        <v>20</v>
      </c>
      <c r="O660" s="12" t="s">
        <v>16</v>
      </c>
      <c r="P660" s="57" t="str">
        <f t="shared" si="30"/>
        <v>un fuste</v>
      </c>
      <c r="Q660">
        <f t="shared" si="31"/>
        <v>10</v>
      </c>
      <c r="R660">
        <f t="shared" si="32"/>
        <v>10</v>
      </c>
    </row>
    <row r="661" spans="1:18" x14ac:dyDescent="0.25">
      <c r="A661" s="7">
        <v>9</v>
      </c>
      <c r="B661" s="7">
        <v>100</v>
      </c>
      <c r="C661" s="8">
        <v>1</v>
      </c>
      <c r="D661" s="8">
        <v>12</v>
      </c>
      <c r="E661" s="8">
        <v>12</v>
      </c>
      <c r="F661" s="9" t="s">
        <v>48</v>
      </c>
      <c r="G661" s="10" t="s">
        <v>49</v>
      </c>
      <c r="H661" s="11" t="s">
        <v>50</v>
      </c>
      <c r="I661" s="7">
        <v>18</v>
      </c>
      <c r="J661" s="15">
        <v>5.7295779513082321</v>
      </c>
      <c r="K661" s="7">
        <v>6</v>
      </c>
      <c r="L661" s="7">
        <v>9</v>
      </c>
      <c r="M661" s="7"/>
      <c r="N661" s="12" t="s">
        <v>20</v>
      </c>
      <c r="O661" s="12" t="s">
        <v>16</v>
      </c>
      <c r="P661" s="57" t="str">
        <f t="shared" si="30"/>
        <v>un fuste</v>
      </c>
      <c r="Q661">
        <f t="shared" si="31"/>
        <v>10</v>
      </c>
      <c r="R661">
        <f t="shared" si="32"/>
        <v>5</v>
      </c>
    </row>
    <row r="662" spans="1:18" x14ac:dyDescent="0.25">
      <c r="A662" s="7">
        <v>10</v>
      </c>
      <c r="B662" s="7">
        <v>100</v>
      </c>
      <c r="C662" s="8">
        <v>1</v>
      </c>
      <c r="D662" s="8">
        <v>12</v>
      </c>
      <c r="E662" s="8">
        <v>12</v>
      </c>
      <c r="F662" s="9" t="s">
        <v>48</v>
      </c>
      <c r="G662" s="13" t="s">
        <v>49</v>
      </c>
      <c r="H662" s="14" t="s">
        <v>50</v>
      </c>
      <c r="I662" s="7">
        <v>17.5</v>
      </c>
      <c r="J662" s="15">
        <v>5.5704230082163368</v>
      </c>
      <c r="K662" s="7">
        <v>8</v>
      </c>
      <c r="L662" s="7">
        <v>10</v>
      </c>
      <c r="M662" s="7"/>
      <c r="N662" s="12" t="s">
        <v>20</v>
      </c>
      <c r="O662" s="12" t="s">
        <v>16</v>
      </c>
      <c r="P662" s="57" t="str">
        <f t="shared" si="30"/>
        <v>un fuste</v>
      </c>
      <c r="Q662">
        <f t="shared" si="31"/>
        <v>10</v>
      </c>
      <c r="R662">
        <f t="shared" si="32"/>
        <v>5</v>
      </c>
    </row>
    <row r="663" spans="1:18" x14ac:dyDescent="0.25">
      <c r="A663" s="7">
        <v>9</v>
      </c>
      <c r="B663" s="7">
        <v>5</v>
      </c>
      <c r="C663" s="7"/>
      <c r="D663" s="8">
        <v>32</v>
      </c>
      <c r="E663" s="7">
        <v>32</v>
      </c>
      <c r="F663" s="9" t="s">
        <v>90</v>
      </c>
      <c r="G663" s="13" t="s">
        <v>103</v>
      </c>
      <c r="H663" s="14" t="s">
        <v>104</v>
      </c>
      <c r="I663" s="7"/>
      <c r="J663" s="7"/>
      <c r="K663" s="7"/>
      <c r="L663" s="7">
        <v>5</v>
      </c>
      <c r="M663" s="7" t="e">
        <v>#REF!</v>
      </c>
      <c r="N663" s="12"/>
      <c r="O663" s="12" t="s">
        <v>16</v>
      </c>
      <c r="P663" s="57" t="str">
        <f t="shared" si="30"/>
        <v>un fuste</v>
      </c>
      <c r="Q663">
        <f t="shared" si="31"/>
        <v>5</v>
      </c>
      <c r="R663">
        <f t="shared" si="32"/>
        <v>5</v>
      </c>
    </row>
    <row r="664" spans="1:18" x14ac:dyDescent="0.25">
      <c r="A664" s="7">
        <v>6</v>
      </c>
      <c r="B664" s="7">
        <v>100</v>
      </c>
      <c r="C664" s="8">
        <v>2</v>
      </c>
      <c r="D664" s="8">
        <v>14</v>
      </c>
      <c r="E664" s="8">
        <v>14</v>
      </c>
      <c r="F664" s="9" t="s">
        <v>48</v>
      </c>
      <c r="G664" s="10" t="s">
        <v>49</v>
      </c>
      <c r="H664" s="11" t="s">
        <v>50</v>
      </c>
      <c r="I664" s="7">
        <v>16.5</v>
      </c>
      <c r="J664" s="15">
        <v>5.2521131220325463</v>
      </c>
      <c r="K664" s="7">
        <v>5</v>
      </c>
      <c r="L664" s="8">
        <v>8</v>
      </c>
      <c r="M664" s="7"/>
      <c r="N664" s="12" t="s">
        <v>20</v>
      </c>
      <c r="O664" s="12" t="s">
        <v>16</v>
      </c>
      <c r="P664" s="57" t="str">
        <f t="shared" si="30"/>
        <v>un fuste</v>
      </c>
      <c r="Q664">
        <f t="shared" si="31"/>
        <v>7.5</v>
      </c>
      <c r="R664">
        <f t="shared" si="32"/>
        <v>5</v>
      </c>
    </row>
    <row r="665" spans="1:18" x14ac:dyDescent="0.25">
      <c r="A665" s="7">
        <v>9</v>
      </c>
      <c r="B665" s="7">
        <v>5</v>
      </c>
      <c r="C665" s="7"/>
      <c r="D665" s="8">
        <v>33</v>
      </c>
      <c r="E665" s="8">
        <v>33</v>
      </c>
      <c r="F665" s="9" t="s">
        <v>81</v>
      </c>
      <c r="G665" s="13" t="s">
        <v>120</v>
      </c>
      <c r="H665" s="14" t="s">
        <v>121</v>
      </c>
      <c r="I665" s="7"/>
      <c r="J665" s="7"/>
      <c r="K665" s="7"/>
      <c r="L665" s="7">
        <v>1.6</v>
      </c>
      <c r="M665" s="7" t="e">
        <v>#REF!</v>
      </c>
      <c r="N665" s="12"/>
      <c r="O665" s="12" t="s">
        <v>16</v>
      </c>
      <c r="P665" s="57" t="str">
        <f t="shared" si="30"/>
        <v>un fuste</v>
      </c>
      <c r="Q665">
        <f t="shared" si="31"/>
        <v>2.5</v>
      </c>
      <c r="R665">
        <f t="shared" si="32"/>
        <v>5</v>
      </c>
    </row>
    <row r="666" spans="1:18" x14ac:dyDescent="0.25">
      <c r="A666" s="7">
        <v>10</v>
      </c>
      <c r="B666" s="7">
        <v>100</v>
      </c>
      <c r="C666" s="7">
        <v>2</v>
      </c>
      <c r="D666" s="8">
        <v>17</v>
      </c>
      <c r="E666" s="7">
        <v>17</v>
      </c>
      <c r="F666" s="9" t="s">
        <v>48</v>
      </c>
      <c r="G666" s="10" t="s">
        <v>49</v>
      </c>
      <c r="H666" s="11" t="s">
        <v>50</v>
      </c>
      <c r="I666" s="7">
        <v>21</v>
      </c>
      <c r="J666" s="15">
        <v>6.6845076098596046</v>
      </c>
      <c r="K666" s="7">
        <v>6</v>
      </c>
      <c r="L666" s="7">
        <v>10</v>
      </c>
      <c r="M666" s="7"/>
      <c r="N666" s="12" t="s">
        <v>20</v>
      </c>
      <c r="O666" s="12" t="s">
        <v>16</v>
      </c>
      <c r="P666" s="57" t="str">
        <f t="shared" si="30"/>
        <v>un fuste</v>
      </c>
      <c r="Q666">
        <f t="shared" si="31"/>
        <v>10</v>
      </c>
      <c r="R666">
        <f t="shared" si="32"/>
        <v>5</v>
      </c>
    </row>
    <row r="667" spans="1:18" x14ac:dyDescent="0.25">
      <c r="A667" s="7">
        <v>9</v>
      </c>
      <c r="B667" s="7">
        <v>100</v>
      </c>
      <c r="C667" s="7">
        <v>2</v>
      </c>
      <c r="D667" s="8">
        <v>23</v>
      </c>
      <c r="E667" s="8">
        <v>23</v>
      </c>
      <c r="F667" s="9" t="s">
        <v>48</v>
      </c>
      <c r="G667" s="10" t="s">
        <v>49</v>
      </c>
      <c r="H667" s="11" t="s">
        <v>50</v>
      </c>
      <c r="I667" s="7">
        <v>17.5</v>
      </c>
      <c r="J667" s="15">
        <v>5.5704230082163368</v>
      </c>
      <c r="K667" s="7">
        <v>5</v>
      </c>
      <c r="L667" s="7">
        <v>9</v>
      </c>
      <c r="M667" s="7"/>
      <c r="N667" s="12" t="s">
        <v>20</v>
      </c>
      <c r="O667" s="12" t="s">
        <v>16</v>
      </c>
      <c r="P667" s="57" t="str">
        <f t="shared" si="30"/>
        <v>un fuste</v>
      </c>
      <c r="Q667">
        <f t="shared" si="31"/>
        <v>10</v>
      </c>
      <c r="R667">
        <f t="shared" si="32"/>
        <v>5</v>
      </c>
    </row>
    <row r="668" spans="1:18" x14ac:dyDescent="0.25">
      <c r="A668" s="7">
        <v>9</v>
      </c>
      <c r="B668" s="7">
        <v>5</v>
      </c>
      <c r="C668" s="8"/>
      <c r="D668" s="8">
        <v>34</v>
      </c>
      <c r="E668" s="8">
        <v>34</v>
      </c>
      <c r="F668" s="9" t="s">
        <v>81</v>
      </c>
      <c r="G668" s="10" t="s">
        <v>120</v>
      </c>
      <c r="H668" s="11" t="s">
        <v>121</v>
      </c>
      <c r="I668" s="7"/>
      <c r="J668" s="7"/>
      <c r="K668" s="7"/>
      <c r="L668" s="8">
        <v>1</v>
      </c>
      <c r="M668" s="7" t="e">
        <v>#REF!</v>
      </c>
      <c r="N668" s="12"/>
      <c r="O668" s="12" t="s">
        <v>16</v>
      </c>
      <c r="P668" s="57" t="str">
        <f t="shared" si="30"/>
        <v>un fuste</v>
      </c>
      <c r="Q668">
        <f t="shared" si="31"/>
        <v>2.5</v>
      </c>
      <c r="R668">
        <f t="shared" si="32"/>
        <v>5</v>
      </c>
    </row>
    <row r="669" spans="1:18" x14ac:dyDescent="0.25">
      <c r="A669" s="7">
        <v>9</v>
      </c>
      <c r="B669" s="7">
        <v>5</v>
      </c>
      <c r="C669" s="7"/>
      <c r="D669" s="8">
        <v>35</v>
      </c>
      <c r="E669" s="8">
        <v>35</v>
      </c>
      <c r="F669" s="17" t="s">
        <v>198</v>
      </c>
      <c r="G669" s="10" t="s">
        <v>287</v>
      </c>
      <c r="H669" s="11" t="s">
        <v>288</v>
      </c>
      <c r="I669" s="7"/>
      <c r="J669" s="7"/>
      <c r="K669" s="7"/>
      <c r="L669" s="7">
        <v>1</v>
      </c>
      <c r="M669" s="7" t="e">
        <v>#REF!</v>
      </c>
      <c r="N669" s="12"/>
      <c r="O669" s="12" t="s">
        <v>16</v>
      </c>
      <c r="P669" s="57" t="str">
        <f t="shared" si="30"/>
        <v>un fuste</v>
      </c>
      <c r="Q669">
        <f t="shared" si="31"/>
        <v>2.5</v>
      </c>
      <c r="R669">
        <f t="shared" si="32"/>
        <v>5</v>
      </c>
    </row>
    <row r="670" spans="1:18" x14ac:dyDescent="0.25">
      <c r="A670" s="7">
        <v>11</v>
      </c>
      <c r="B670" s="7">
        <v>100</v>
      </c>
      <c r="C670" s="8">
        <v>3</v>
      </c>
      <c r="D670" s="8">
        <v>29</v>
      </c>
      <c r="E670" s="8">
        <v>29</v>
      </c>
      <c r="F670" s="9" t="s">
        <v>48</v>
      </c>
      <c r="G670" s="13" t="s">
        <v>49</v>
      </c>
      <c r="H670" s="14" t="s">
        <v>50</v>
      </c>
      <c r="I670" s="7">
        <v>17.5</v>
      </c>
      <c r="J670" s="15">
        <v>5.5704230082163368</v>
      </c>
      <c r="K670" s="7">
        <v>6</v>
      </c>
      <c r="L670" s="8">
        <v>9</v>
      </c>
      <c r="M670" s="7"/>
      <c r="N670" s="12" t="s">
        <v>20</v>
      </c>
      <c r="O670" s="12" t="s">
        <v>16</v>
      </c>
      <c r="P670" s="57" t="str">
        <f t="shared" si="30"/>
        <v>un fuste</v>
      </c>
      <c r="Q670">
        <f t="shared" si="31"/>
        <v>10</v>
      </c>
      <c r="R670">
        <f t="shared" si="32"/>
        <v>5</v>
      </c>
    </row>
    <row r="671" spans="1:18" x14ac:dyDescent="0.25">
      <c r="A671" s="7">
        <v>9</v>
      </c>
      <c r="B671" s="7">
        <v>100</v>
      </c>
      <c r="C671" s="7">
        <v>3</v>
      </c>
      <c r="D671" s="8">
        <v>36</v>
      </c>
      <c r="E671" s="7">
        <v>36</v>
      </c>
      <c r="F671" s="9" t="s">
        <v>48</v>
      </c>
      <c r="G671" s="10" t="s">
        <v>49</v>
      </c>
      <c r="H671" s="11" t="s">
        <v>50</v>
      </c>
      <c r="I671" s="7">
        <v>16.5</v>
      </c>
      <c r="J671" s="15">
        <v>5.2521131220325463</v>
      </c>
      <c r="K671" s="7">
        <v>5</v>
      </c>
      <c r="L671" s="7">
        <v>9</v>
      </c>
      <c r="M671" s="7"/>
      <c r="N671" s="12" t="s">
        <v>20</v>
      </c>
      <c r="O671" s="12" t="s">
        <v>16</v>
      </c>
      <c r="P671" s="57" t="str">
        <f t="shared" si="30"/>
        <v>un fuste</v>
      </c>
      <c r="Q671">
        <f t="shared" si="31"/>
        <v>10</v>
      </c>
      <c r="R671">
        <f t="shared" si="32"/>
        <v>5</v>
      </c>
    </row>
    <row r="672" spans="1:18" x14ac:dyDescent="0.25">
      <c r="A672" s="7">
        <v>9</v>
      </c>
      <c r="B672" s="7">
        <v>100</v>
      </c>
      <c r="C672" s="8">
        <v>3</v>
      </c>
      <c r="D672" s="8">
        <v>38</v>
      </c>
      <c r="E672" s="8">
        <v>38</v>
      </c>
      <c r="F672" s="9" t="s">
        <v>48</v>
      </c>
      <c r="G672" s="10" t="s">
        <v>49</v>
      </c>
      <c r="H672" s="11" t="s">
        <v>50</v>
      </c>
      <c r="I672" s="7">
        <v>17</v>
      </c>
      <c r="J672" s="15">
        <v>5.4112680651244416</v>
      </c>
      <c r="K672" s="7">
        <v>5</v>
      </c>
      <c r="L672" s="8">
        <v>10</v>
      </c>
      <c r="M672" s="7"/>
      <c r="N672" s="12" t="s">
        <v>20</v>
      </c>
      <c r="O672" s="12" t="s">
        <v>16</v>
      </c>
      <c r="P672" s="57" t="str">
        <f t="shared" si="30"/>
        <v>un fuste</v>
      </c>
      <c r="Q672">
        <f t="shared" si="31"/>
        <v>10</v>
      </c>
      <c r="R672">
        <f t="shared" si="32"/>
        <v>5</v>
      </c>
    </row>
    <row r="673" spans="1:21" x14ac:dyDescent="0.25">
      <c r="A673" s="7">
        <v>10</v>
      </c>
      <c r="B673" s="7">
        <v>100</v>
      </c>
      <c r="C673" s="8">
        <v>4</v>
      </c>
      <c r="D673" s="8">
        <v>40</v>
      </c>
      <c r="E673" s="8">
        <v>40</v>
      </c>
      <c r="F673" s="9" t="s">
        <v>48</v>
      </c>
      <c r="G673" s="13" t="s">
        <v>49</v>
      </c>
      <c r="H673" s="11" t="s">
        <v>50</v>
      </c>
      <c r="I673" s="7">
        <v>17</v>
      </c>
      <c r="J673" s="15">
        <v>5.4112680651244416</v>
      </c>
      <c r="K673" s="7">
        <v>6</v>
      </c>
      <c r="L673" s="7">
        <v>11</v>
      </c>
      <c r="M673" s="7"/>
      <c r="N673" s="12" t="s">
        <v>20</v>
      </c>
      <c r="O673" s="12" t="s">
        <v>16</v>
      </c>
      <c r="P673" s="57" t="str">
        <f t="shared" si="30"/>
        <v>un fuste</v>
      </c>
      <c r="Q673">
        <f t="shared" si="31"/>
        <v>10</v>
      </c>
      <c r="R673">
        <f t="shared" si="32"/>
        <v>5</v>
      </c>
    </row>
    <row r="674" spans="1:21" x14ac:dyDescent="0.25">
      <c r="A674" s="7">
        <v>10</v>
      </c>
      <c r="B674" s="7">
        <v>100</v>
      </c>
      <c r="C674" s="8">
        <v>4</v>
      </c>
      <c r="D674" s="8">
        <v>41</v>
      </c>
      <c r="E674" s="8">
        <v>41</v>
      </c>
      <c r="F674" s="9" t="s">
        <v>48</v>
      </c>
      <c r="G674" s="13" t="s">
        <v>49</v>
      </c>
      <c r="H674" s="11" t="s">
        <v>50</v>
      </c>
      <c r="I674" s="7">
        <v>17.5</v>
      </c>
      <c r="J674" s="15">
        <v>5.5704230082163368</v>
      </c>
      <c r="K674" s="7">
        <v>4</v>
      </c>
      <c r="L674" s="7">
        <v>10</v>
      </c>
      <c r="M674" s="7"/>
      <c r="N674" s="12" t="s">
        <v>20</v>
      </c>
      <c r="O674" s="12" t="s">
        <v>16</v>
      </c>
      <c r="P674" s="57" t="str">
        <f t="shared" si="30"/>
        <v>un fuste</v>
      </c>
      <c r="Q674">
        <f t="shared" si="31"/>
        <v>10</v>
      </c>
      <c r="R674">
        <f t="shared" si="32"/>
        <v>5</v>
      </c>
    </row>
    <row r="675" spans="1:21" x14ac:dyDescent="0.25">
      <c r="A675" s="7">
        <v>10</v>
      </c>
      <c r="B675" s="7">
        <v>100</v>
      </c>
      <c r="C675" s="8">
        <v>4</v>
      </c>
      <c r="D675" s="8">
        <v>42</v>
      </c>
      <c r="E675" s="8">
        <v>42</v>
      </c>
      <c r="F675" s="9" t="s">
        <v>48</v>
      </c>
      <c r="G675" s="13" t="s">
        <v>49</v>
      </c>
      <c r="H675" s="11" t="s">
        <v>50</v>
      </c>
      <c r="I675" s="7">
        <v>18</v>
      </c>
      <c r="J675" s="15">
        <v>5.7295779513082321</v>
      </c>
      <c r="K675" s="7">
        <v>8</v>
      </c>
      <c r="L675" s="7">
        <v>10</v>
      </c>
      <c r="M675" s="7"/>
      <c r="N675" s="12" t="s">
        <v>20</v>
      </c>
      <c r="O675" s="12" t="s">
        <v>16</v>
      </c>
      <c r="P675" s="57" t="str">
        <f t="shared" si="30"/>
        <v>un fuste</v>
      </c>
      <c r="Q675">
        <f t="shared" si="31"/>
        <v>10</v>
      </c>
      <c r="R675">
        <f t="shared" si="32"/>
        <v>5</v>
      </c>
    </row>
    <row r="676" spans="1:21" x14ac:dyDescent="0.25">
      <c r="A676" s="7">
        <v>1</v>
      </c>
      <c r="B676" s="7">
        <v>500</v>
      </c>
      <c r="C676" s="8">
        <v>1</v>
      </c>
      <c r="D676" s="8">
        <v>1</v>
      </c>
      <c r="E676" s="8">
        <v>1</v>
      </c>
      <c r="F676" s="9" t="s">
        <v>17</v>
      </c>
      <c r="G676" s="13" t="s">
        <v>18</v>
      </c>
      <c r="H676" s="11" t="s">
        <v>19</v>
      </c>
      <c r="I676" s="7">
        <v>44</v>
      </c>
      <c r="J676" s="15">
        <v>14.00563499208679</v>
      </c>
      <c r="K676" s="7">
        <v>6</v>
      </c>
      <c r="L676" s="7">
        <v>12</v>
      </c>
      <c r="M676" s="7"/>
      <c r="N676" s="12" t="s">
        <v>20</v>
      </c>
      <c r="O676" s="12" t="s">
        <v>16</v>
      </c>
      <c r="P676" s="57" t="str">
        <f t="shared" si="30"/>
        <v>un fuste</v>
      </c>
      <c r="Q676">
        <f t="shared" si="31"/>
        <v>12.5</v>
      </c>
      <c r="R676">
        <f t="shared" si="32"/>
        <v>15</v>
      </c>
      <c r="S676">
        <v>5</v>
      </c>
      <c r="T676" t="s">
        <v>271</v>
      </c>
      <c r="U676">
        <v>0.10732866559467072</v>
      </c>
    </row>
    <row r="677" spans="1:21" x14ac:dyDescent="0.25">
      <c r="A677" s="7">
        <v>11</v>
      </c>
      <c r="B677" s="7">
        <v>500</v>
      </c>
      <c r="C677" s="8">
        <v>2</v>
      </c>
      <c r="D677" s="8">
        <v>8</v>
      </c>
      <c r="E677" s="8">
        <v>9</v>
      </c>
      <c r="F677" s="9" t="s">
        <v>17</v>
      </c>
      <c r="G677" s="13" t="s">
        <v>18</v>
      </c>
      <c r="H677" s="11" t="s">
        <v>19</v>
      </c>
      <c r="I677" s="8">
        <v>33.5</v>
      </c>
      <c r="J677" s="15">
        <v>10.663381187156988</v>
      </c>
      <c r="K677" s="8">
        <v>6</v>
      </c>
      <c r="L677" s="8">
        <v>11</v>
      </c>
      <c r="M677" s="7"/>
      <c r="N677" s="12" t="s">
        <v>20</v>
      </c>
      <c r="O677" s="12" t="s">
        <v>16</v>
      </c>
      <c r="P677" s="57" t="str">
        <f t="shared" si="30"/>
        <v>un fuste</v>
      </c>
      <c r="Q677">
        <f t="shared" si="31"/>
        <v>10</v>
      </c>
      <c r="R677">
        <f t="shared" si="32"/>
        <v>10</v>
      </c>
      <c r="S677">
        <v>5</v>
      </c>
      <c r="T677" t="s">
        <v>271</v>
      </c>
      <c r="U677">
        <v>5.9513804408211086E-2</v>
      </c>
    </row>
    <row r="678" spans="1:21" x14ac:dyDescent="0.25">
      <c r="A678" s="7">
        <v>1</v>
      </c>
      <c r="B678" s="7">
        <v>100</v>
      </c>
      <c r="C678" s="8">
        <v>3</v>
      </c>
      <c r="D678" s="8">
        <v>15</v>
      </c>
      <c r="E678" s="8">
        <v>15</v>
      </c>
      <c r="F678" s="9" t="s">
        <v>17</v>
      </c>
      <c r="G678" s="13" t="s">
        <v>18</v>
      </c>
      <c r="H678" s="11" t="s">
        <v>19</v>
      </c>
      <c r="I678" s="8">
        <v>28</v>
      </c>
      <c r="J678" s="15">
        <v>8.91267681314614</v>
      </c>
      <c r="K678" s="8">
        <v>2.5</v>
      </c>
      <c r="L678" s="8">
        <v>4</v>
      </c>
      <c r="M678" s="7"/>
      <c r="N678" s="12" t="s">
        <v>20</v>
      </c>
      <c r="O678" s="12" t="s">
        <v>16</v>
      </c>
      <c r="P678" s="57" t="str">
        <f t="shared" si="30"/>
        <v>un fuste</v>
      </c>
      <c r="Q678">
        <f t="shared" si="31"/>
        <v>5</v>
      </c>
      <c r="R678">
        <f t="shared" si="32"/>
        <v>10</v>
      </c>
    </row>
    <row r="679" spans="1:21" x14ac:dyDescent="0.25">
      <c r="A679" s="7">
        <v>10</v>
      </c>
      <c r="B679" s="7">
        <v>5</v>
      </c>
      <c r="C679" s="8"/>
      <c r="D679" s="8">
        <v>1</v>
      </c>
      <c r="E679" s="8">
        <v>1</v>
      </c>
      <c r="F679" s="9" t="s">
        <v>13</v>
      </c>
      <c r="G679" s="13" t="s">
        <v>14</v>
      </c>
      <c r="H679" s="11" t="s">
        <v>15</v>
      </c>
      <c r="I679" s="8"/>
      <c r="J679" s="7"/>
      <c r="K679" s="8"/>
      <c r="L679" s="8">
        <v>6</v>
      </c>
      <c r="M679" s="7" t="e">
        <v>#REF!</v>
      </c>
      <c r="N679" s="12"/>
      <c r="O679" s="12" t="s">
        <v>16</v>
      </c>
      <c r="P679" s="57" t="str">
        <f t="shared" si="30"/>
        <v>un fuste</v>
      </c>
      <c r="Q679">
        <f t="shared" si="31"/>
        <v>5</v>
      </c>
      <c r="R679">
        <f t="shared" si="32"/>
        <v>5</v>
      </c>
    </row>
    <row r="680" spans="1:21" x14ac:dyDescent="0.25">
      <c r="A680" s="7">
        <v>1</v>
      </c>
      <c r="B680" s="7">
        <v>500</v>
      </c>
      <c r="C680" s="7">
        <v>3</v>
      </c>
      <c r="D680" s="8">
        <v>17</v>
      </c>
      <c r="E680" s="7">
        <v>20</v>
      </c>
      <c r="F680" s="9" t="s">
        <v>17</v>
      </c>
      <c r="G680" s="13" t="s">
        <v>18</v>
      </c>
      <c r="H680" s="11" t="s">
        <v>19</v>
      </c>
      <c r="I680" s="7">
        <v>38.5</v>
      </c>
      <c r="J680" s="15">
        <v>12.254930618075941</v>
      </c>
      <c r="K680" s="7">
        <v>7</v>
      </c>
      <c r="L680" s="7">
        <v>13</v>
      </c>
      <c r="M680" s="7"/>
      <c r="N680" s="12" t="s">
        <v>20</v>
      </c>
      <c r="O680" s="12" t="s">
        <v>16</v>
      </c>
      <c r="P680" s="57" t="str">
        <f t="shared" si="30"/>
        <v>un fuste</v>
      </c>
      <c r="Q680">
        <f t="shared" si="31"/>
        <v>12.5</v>
      </c>
      <c r="R680">
        <f t="shared" si="32"/>
        <v>10</v>
      </c>
      <c r="S680">
        <v>5</v>
      </c>
      <c r="T680" t="s">
        <v>271</v>
      </c>
      <c r="U680">
        <v>9.0476886170866258E-2</v>
      </c>
    </row>
    <row r="681" spans="1:21" x14ac:dyDescent="0.25">
      <c r="A681" s="7">
        <v>1</v>
      </c>
      <c r="B681" s="7">
        <v>500</v>
      </c>
      <c r="C681" s="7">
        <v>4</v>
      </c>
      <c r="D681" s="8">
        <v>20</v>
      </c>
      <c r="E681" s="7">
        <v>23</v>
      </c>
      <c r="F681" s="9" t="s">
        <v>17</v>
      </c>
      <c r="G681" s="13" t="s">
        <v>18</v>
      </c>
      <c r="H681" s="11" t="s">
        <v>19</v>
      </c>
      <c r="I681" s="7">
        <v>43.5</v>
      </c>
      <c r="J681" s="15">
        <v>13.846480048994895</v>
      </c>
      <c r="K681" s="7">
        <v>8</v>
      </c>
      <c r="L681" s="7">
        <v>12</v>
      </c>
      <c r="M681" s="7"/>
      <c r="N681" s="12" t="s">
        <v>20</v>
      </c>
      <c r="O681" s="12" t="s">
        <v>16</v>
      </c>
      <c r="P681" s="57" t="str">
        <f t="shared" si="30"/>
        <v>un fuste</v>
      </c>
      <c r="Q681">
        <f t="shared" si="31"/>
        <v>12.5</v>
      </c>
      <c r="R681">
        <f t="shared" si="32"/>
        <v>15</v>
      </c>
      <c r="S681">
        <v>5</v>
      </c>
      <c r="T681" t="s">
        <v>271</v>
      </c>
      <c r="U681">
        <v>0.10507625117394749</v>
      </c>
    </row>
    <row r="682" spans="1:21" x14ac:dyDescent="0.25">
      <c r="A682" s="7">
        <v>1</v>
      </c>
      <c r="B682" s="7">
        <v>100</v>
      </c>
      <c r="C682" s="7">
        <v>4</v>
      </c>
      <c r="D682" s="8">
        <v>23</v>
      </c>
      <c r="E682" s="7">
        <v>23</v>
      </c>
      <c r="F682" s="9" t="s">
        <v>17</v>
      </c>
      <c r="G682" s="13" t="s">
        <v>18</v>
      </c>
      <c r="H682" s="11" t="s">
        <v>19</v>
      </c>
      <c r="I682" s="7">
        <v>18</v>
      </c>
      <c r="J682" s="15">
        <v>5.7295779513082321</v>
      </c>
      <c r="K682" s="7">
        <v>6</v>
      </c>
      <c r="L682" s="7">
        <v>9</v>
      </c>
      <c r="M682" s="7"/>
      <c r="N682" s="12" t="s">
        <v>20</v>
      </c>
      <c r="O682" s="12" t="s">
        <v>16</v>
      </c>
      <c r="P682" s="57" t="str">
        <f t="shared" si="30"/>
        <v>un fuste</v>
      </c>
      <c r="Q682">
        <f t="shared" si="31"/>
        <v>10</v>
      </c>
      <c r="R682">
        <f t="shared" si="32"/>
        <v>5</v>
      </c>
    </row>
    <row r="683" spans="1:21" x14ac:dyDescent="0.25">
      <c r="A683" s="7">
        <v>1</v>
      </c>
      <c r="B683" s="7">
        <v>100</v>
      </c>
      <c r="C683" s="8">
        <v>4</v>
      </c>
      <c r="D683" s="7">
        <v>24</v>
      </c>
      <c r="E683" s="7">
        <v>24</v>
      </c>
      <c r="F683" s="9" t="s">
        <v>17</v>
      </c>
      <c r="G683" s="13" t="s">
        <v>18</v>
      </c>
      <c r="H683" s="11" t="s">
        <v>19</v>
      </c>
      <c r="I683" s="7">
        <v>17</v>
      </c>
      <c r="J683" s="15">
        <v>5.4112680651244416</v>
      </c>
      <c r="K683" s="7">
        <v>6</v>
      </c>
      <c r="L683" s="7">
        <v>9</v>
      </c>
      <c r="M683" s="7"/>
      <c r="N683" s="12" t="s">
        <v>20</v>
      </c>
      <c r="O683" s="12" t="s">
        <v>16</v>
      </c>
      <c r="P683" s="57" t="str">
        <f t="shared" si="30"/>
        <v>un fuste</v>
      </c>
      <c r="Q683">
        <f t="shared" si="31"/>
        <v>10</v>
      </c>
      <c r="R683">
        <f t="shared" si="32"/>
        <v>5</v>
      </c>
    </row>
    <row r="684" spans="1:21" x14ac:dyDescent="0.25">
      <c r="A684" s="7">
        <v>1</v>
      </c>
      <c r="B684" s="7">
        <v>500</v>
      </c>
      <c r="C684" s="8">
        <v>4</v>
      </c>
      <c r="D684" s="8">
        <v>23</v>
      </c>
      <c r="E684" s="8">
        <v>26</v>
      </c>
      <c r="F684" s="9" t="s">
        <v>17</v>
      </c>
      <c r="G684" s="10" t="s">
        <v>18</v>
      </c>
      <c r="H684" s="11" t="s">
        <v>19</v>
      </c>
      <c r="I684" s="7">
        <v>53.5</v>
      </c>
      <c r="J684" s="15">
        <v>17.0295789108328</v>
      </c>
      <c r="K684" s="7">
        <v>5</v>
      </c>
      <c r="L684" s="7">
        <v>13</v>
      </c>
      <c r="M684" s="7"/>
      <c r="N684" s="12" t="s">
        <v>20</v>
      </c>
      <c r="O684" s="12" t="s">
        <v>16</v>
      </c>
      <c r="P684" s="57" t="str">
        <f t="shared" si="30"/>
        <v>un fuste</v>
      </c>
      <c r="Q684">
        <f t="shared" si="31"/>
        <v>12.5</v>
      </c>
      <c r="R684">
        <f t="shared" si="32"/>
        <v>15</v>
      </c>
      <c r="S684">
        <v>5</v>
      </c>
      <c r="T684" t="s">
        <v>271</v>
      </c>
      <c r="U684">
        <v>0.16661722391675937</v>
      </c>
    </row>
    <row r="685" spans="1:21" x14ac:dyDescent="0.25">
      <c r="A685" s="7">
        <v>1</v>
      </c>
      <c r="B685" s="7">
        <v>100</v>
      </c>
      <c r="C685" s="7">
        <v>4</v>
      </c>
      <c r="D685" s="8">
        <v>28</v>
      </c>
      <c r="E685" s="7">
        <v>28</v>
      </c>
      <c r="F685" s="17" t="s">
        <v>17</v>
      </c>
      <c r="G685" s="13" t="s">
        <v>18</v>
      </c>
      <c r="H685" s="11" t="s">
        <v>19</v>
      </c>
      <c r="I685" s="7">
        <v>30</v>
      </c>
      <c r="J685" s="15">
        <v>9.5492965855137211</v>
      </c>
      <c r="K685" s="7">
        <v>9</v>
      </c>
      <c r="L685" s="7">
        <v>14</v>
      </c>
      <c r="M685" s="7"/>
      <c r="N685" s="12" t="s">
        <v>20</v>
      </c>
      <c r="O685" s="12" t="s">
        <v>16</v>
      </c>
      <c r="P685" s="57" t="str">
        <f t="shared" si="30"/>
        <v>un fuste</v>
      </c>
      <c r="Q685">
        <f t="shared" si="31"/>
        <v>15</v>
      </c>
      <c r="R685">
        <f t="shared" si="32"/>
        <v>10</v>
      </c>
    </row>
    <row r="686" spans="1:21" x14ac:dyDescent="0.25">
      <c r="A686" s="7">
        <v>1</v>
      </c>
      <c r="B686" s="7">
        <v>500</v>
      </c>
      <c r="C686" s="8">
        <v>4</v>
      </c>
      <c r="D686" s="8">
        <v>26</v>
      </c>
      <c r="E686" s="8">
        <v>29</v>
      </c>
      <c r="F686" s="9" t="s">
        <v>17</v>
      </c>
      <c r="G686" s="13" t="s">
        <v>18</v>
      </c>
      <c r="H686" s="11" t="s">
        <v>19</v>
      </c>
      <c r="I686" s="7">
        <v>50.5</v>
      </c>
      <c r="J686" s="15">
        <v>16.074649252281429</v>
      </c>
      <c r="K686" s="7">
        <v>9</v>
      </c>
      <c r="L686" s="8">
        <v>14</v>
      </c>
      <c r="M686" s="7"/>
      <c r="N686" s="12" t="s">
        <v>20</v>
      </c>
      <c r="O686" s="12" t="s">
        <v>16</v>
      </c>
      <c r="P686" s="57" t="str">
        <f t="shared" si="30"/>
        <v>un fuste</v>
      </c>
      <c r="Q686">
        <f t="shared" si="31"/>
        <v>15</v>
      </c>
      <c r="R686">
        <f t="shared" si="32"/>
        <v>15</v>
      </c>
      <c r="S686">
        <v>5</v>
      </c>
      <c r="T686" t="s">
        <v>271</v>
      </c>
      <c r="U686">
        <v>0.16075817789671062</v>
      </c>
    </row>
    <row r="687" spans="1:21" x14ac:dyDescent="0.25">
      <c r="A687" s="7">
        <v>1</v>
      </c>
      <c r="B687" s="7">
        <v>500</v>
      </c>
      <c r="C687" s="8">
        <v>4</v>
      </c>
      <c r="D687" s="8">
        <v>29</v>
      </c>
      <c r="E687" s="8">
        <v>32</v>
      </c>
      <c r="F687" s="9" t="s">
        <v>17</v>
      </c>
      <c r="G687" s="10" t="s">
        <v>18</v>
      </c>
      <c r="H687" s="11" t="s">
        <v>19</v>
      </c>
      <c r="I687" s="7">
        <v>41</v>
      </c>
      <c r="J687" s="15">
        <v>13.050705333535419</v>
      </c>
      <c r="K687" s="7">
        <v>6</v>
      </c>
      <c r="L687" s="7">
        <v>12</v>
      </c>
      <c r="M687" s="7"/>
      <c r="N687" s="12" t="s">
        <v>20</v>
      </c>
      <c r="O687" s="12" t="s">
        <v>16</v>
      </c>
      <c r="P687" s="57" t="str">
        <f t="shared" si="30"/>
        <v>un fuste</v>
      </c>
      <c r="Q687">
        <f t="shared" si="31"/>
        <v>12.5</v>
      </c>
      <c r="R687">
        <f t="shared" si="32"/>
        <v>15</v>
      </c>
      <c r="S687">
        <v>5</v>
      </c>
      <c r="T687" t="s">
        <v>271</v>
      </c>
      <c r="U687">
        <v>9.4145648311599883E-2</v>
      </c>
    </row>
    <row r="688" spans="1:21" x14ac:dyDescent="0.25">
      <c r="A688" s="7">
        <v>11</v>
      </c>
      <c r="B688" s="7">
        <v>100</v>
      </c>
      <c r="C688" s="7">
        <v>4</v>
      </c>
      <c r="D688" s="8">
        <v>40</v>
      </c>
      <c r="E688" s="7">
        <v>40</v>
      </c>
      <c r="F688" s="9" t="s">
        <v>17</v>
      </c>
      <c r="G688" s="10" t="s">
        <v>18</v>
      </c>
      <c r="H688" s="11" t="s">
        <v>19</v>
      </c>
      <c r="I688" s="7">
        <v>20</v>
      </c>
      <c r="J688" s="15">
        <v>6.366197723675814</v>
      </c>
      <c r="K688" s="7">
        <v>5.5</v>
      </c>
      <c r="L688" s="7">
        <v>8</v>
      </c>
      <c r="M688" s="7"/>
      <c r="N688" s="12" t="s">
        <v>20</v>
      </c>
      <c r="O688" s="12" t="s">
        <v>16</v>
      </c>
      <c r="P688" s="57" t="str">
        <f t="shared" si="30"/>
        <v>un fuste</v>
      </c>
      <c r="Q688">
        <f t="shared" si="31"/>
        <v>7.5</v>
      </c>
      <c r="R688">
        <f t="shared" si="32"/>
        <v>5</v>
      </c>
    </row>
    <row r="689" spans="1:21" x14ac:dyDescent="0.25">
      <c r="A689" s="7">
        <v>3</v>
      </c>
      <c r="B689" s="7">
        <v>500</v>
      </c>
      <c r="C689" s="8">
        <v>1</v>
      </c>
      <c r="D689" s="8">
        <v>15</v>
      </c>
      <c r="E689" s="8">
        <v>15</v>
      </c>
      <c r="F689" s="9" t="s">
        <v>23</v>
      </c>
      <c r="G689" s="10" t="s">
        <v>71</v>
      </c>
      <c r="H689" s="11" t="s">
        <v>72</v>
      </c>
      <c r="I689" s="7">
        <v>46</v>
      </c>
      <c r="J689" s="15">
        <v>14.642254764454371</v>
      </c>
      <c r="K689" s="7">
        <v>6</v>
      </c>
      <c r="L689" s="7">
        <v>11</v>
      </c>
      <c r="M689" s="7"/>
      <c r="N689" s="12" t="s">
        <v>20</v>
      </c>
      <c r="O689" s="12" t="s">
        <v>16</v>
      </c>
      <c r="P689" s="57" t="str">
        <f t="shared" si="30"/>
        <v>un fuste</v>
      </c>
      <c r="Q689">
        <f t="shared" si="31"/>
        <v>10</v>
      </c>
      <c r="R689">
        <f t="shared" si="32"/>
        <v>15</v>
      </c>
      <c r="S689">
        <v>14</v>
      </c>
      <c r="T689" t="s">
        <v>273</v>
      </c>
      <c r="U689">
        <v>0.11300883133652777</v>
      </c>
    </row>
    <row r="690" spans="1:21" x14ac:dyDescent="0.25">
      <c r="A690" s="7">
        <v>1</v>
      </c>
      <c r="B690" s="7">
        <v>500</v>
      </c>
      <c r="C690" s="7">
        <v>3</v>
      </c>
      <c r="D690" s="8">
        <v>15</v>
      </c>
      <c r="E690" s="7">
        <v>18</v>
      </c>
      <c r="F690" s="9" t="s">
        <v>23</v>
      </c>
      <c r="G690" s="13" t="s">
        <v>71</v>
      </c>
      <c r="H690" s="11" t="s">
        <v>72</v>
      </c>
      <c r="I690" s="7">
        <v>35</v>
      </c>
      <c r="J690" s="15">
        <v>11.140846016432674</v>
      </c>
      <c r="K690" s="7">
        <v>5</v>
      </c>
      <c r="L690" s="7">
        <v>11</v>
      </c>
      <c r="M690" s="7"/>
      <c r="N690" s="12" t="s">
        <v>20</v>
      </c>
      <c r="O690" s="12" t="s">
        <v>16</v>
      </c>
      <c r="P690" s="57" t="str">
        <f t="shared" si="30"/>
        <v>un fuste</v>
      </c>
      <c r="Q690">
        <f t="shared" si="31"/>
        <v>10</v>
      </c>
      <c r="R690">
        <f t="shared" si="32"/>
        <v>10</v>
      </c>
      <c r="S690">
        <v>14</v>
      </c>
      <c r="T690" t="s">
        <v>273</v>
      </c>
      <c r="U690">
        <v>6.8806387484092887E-2</v>
      </c>
    </row>
    <row r="691" spans="1:21" x14ac:dyDescent="0.25">
      <c r="A691" s="7">
        <v>8</v>
      </c>
      <c r="B691" s="7">
        <v>500</v>
      </c>
      <c r="C691" s="7">
        <v>2</v>
      </c>
      <c r="D691" s="8">
        <v>24</v>
      </c>
      <c r="E691" s="7">
        <v>26</v>
      </c>
      <c r="F691" s="9" t="s">
        <v>23</v>
      </c>
      <c r="G691" s="10" t="s">
        <v>71</v>
      </c>
      <c r="H691" s="11" t="s">
        <v>72</v>
      </c>
      <c r="I691" s="7">
        <v>37</v>
      </c>
      <c r="J691" s="15">
        <v>11.777465788800255</v>
      </c>
      <c r="K691" s="7">
        <v>5</v>
      </c>
      <c r="L691" s="7">
        <v>10</v>
      </c>
      <c r="M691" s="7"/>
      <c r="N691" s="12" t="s">
        <v>20</v>
      </c>
      <c r="O691" s="12" t="s">
        <v>16</v>
      </c>
      <c r="P691" s="57" t="str">
        <f t="shared" si="30"/>
        <v>un fuste</v>
      </c>
      <c r="Q691">
        <f t="shared" si="31"/>
        <v>10</v>
      </c>
      <c r="R691">
        <f t="shared" si="32"/>
        <v>10</v>
      </c>
      <c r="S691">
        <v>14</v>
      </c>
      <c r="T691" t="s">
        <v>273</v>
      </c>
      <c r="U691">
        <v>6.8991137736137118E-2</v>
      </c>
    </row>
    <row r="692" spans="1:21" x14ac:dyDescent="0.25">
      <c r="A692" s="7">
        <v>3</v>
      </c>
      <c r="B692" s="7">
        <v>500</v>
      </c>
      <c r="C692" s="7">
        <v>2</v>
      </c>
      <c r="D692" s="8">
        <v>27</v>
      </c>
      <c r="E692" s="8">
        <v>27</v>
      </c>
      <c r="F692" s="9" t="s">
        <v>23</v>
      </c>
      <c r="G692" s="13" t="s">
        <v>71</v>
      </c>
      <c r="H692" s="14" t="s">
        <v>72</v>
      </c>
      <c r="I692" s="7">
        <v>32</v>
      </c>
      <c r="J692" s="15">
        <v>10.185916357881302</v>
      </c>
      <c r="K692" s="7">
        <v>7</v>
      </c>
      <c r="L692" s="7">
        <v>9</v>
      </c>
      <c r="M692" s="7"/>
      <c r="N692" s="12" t="s">
        <v>20</v>
      </c>
      <c r="O692" s="12" t="s">
        <v>16</v>
      </c>
      <c r="P692" s="57" t="str">
        <f t="shared" si="30"/>
        <v>un fuste</v>
      </c>
      <c r="Q692">
        <f t="shared" si="31"/>
        <v>10</v>
      </c>
      <c r="R692">
        <f t="shared" si="32"/>
        <v>10</v>
      </c>
      <c r="S692">
        <v>14</v>
      </c>
      <c r="T692" t="s">
        <v>273</v>
      </c>
      <c r="U692">
        <v>4.7552522724025326E-2</v>
      </c>
    </row>
    <row r="693" spans="1:21" x14ac:dyDescent="0.25">
      <c r="A693" s="7">
        <v>3</v>
      </c>
      <c r="B693" s="7">
        <v>500</v>
      </c>
      <c r="C693" s="7">
        <v>2</v>
      </c>
      <c r="D693" s="8">
        <v>28</v>
      </c>
      <c r="E693" s="7">
        <v>28</v>
      </c>
      <c r="F693" s="9" t="s">
        <v>23</v>
      </c>
      <c r="G693" s="10" t="s">
        <v>71</v>
      </c>
      <c r="H693" s="11" t="s">
        <v>72</v>
      </c>
      <c r="I693" s="7">
        <v>34</v>
      </c>
      <c r="J693" s="15">
        <v>10.822536130248883</v>
      </c>
      <c r="K693" s="7">
        <v>7</v>
      </c>
      <c r="L693" s="7">
        <v>9</v>
      </c>
      <c r="M693" s="7"/>
      <c r="N693" s="12" t="s">
        <v>20</v>
      </c>
      <c r="O693" s="12" t="s">
        <v>16</v>
      </c>
      <c r="P693" s="57" t="str">
        <f t="shared" si="30"/>
        <v>un fuste</v>
      </c>
      <c r="Q693">
        <f t="shared" si="31"/>
        <v>10</v>
      </c>
      <c r="R693">
        <f t="shared" si="32"/>
        <v>10</v>
      </c>
      <c r="S693">
        <v>14</v>
      </c>
      <c r="T693" t="s">
        <v>273</v>
      </c>
      <c r="U693">
        <v>5.3085298559275906E-2</v>
      </c>
    </row>
    <row r="694" spans="1:21" x14ac:dyDescent="0.25">
      <c r="A694" s="7">
        <v>10</v>
      </c>
      <c r="B694" s="7">
        <v>5</v>
      </c>
      <c r="C694" s="7"/>
      <c r="D694" s="8">
        <v>2</v>
      </c>
      <c r="E694" s="8">
        <v>2</v>
      </c>
      <c r="F694" s="9" t="s">
        <v>17</v>
      </c>
      <c r="G694" s="10" t="s">
        <v>65</v>
      </c>
      <c r="H694" s="11" t="s">
        <v>66</v>
      </c>
      <c r="I694" s="7"/>
      <c r="J694" s="7"/>
      <c r="K694" s="7"/>
      <c r="L694" s="7">
        <v>3</v>
      </c>
      <c r="M694" s="7" t="e">
        <v>#REF!</v>
      </c>
      <c r="N694" s="12"/>
      <c r="O694" s="12" t="s">
        <v>16</v>
      </c>
      <c r="P694" s="57" t="str">
        <f t="shared" si="30"/>
        <v>un fuste</v>
      </c>
      <c r="Q694">
        <f t="shared" si="31"/>
        <v>2.5</v>
      </c>
      <c r="R694">
        <f t="shared" si="32"/>
        <v>5</v>
      </c>
    </row>
    <row r="695" spans="1:21" x14ac:dyDescent="0.25">
      <c r="A695" s="7">
        <v>10</v>
      </c>
      <c r="B695" s="7">
        <v>5</v>
      </c>
      <c r="C695" s="8"/>
      <c r="D695" s="8">
        <v>3</v>
      </c>
      <c r="E695" s="8">
        <v>3</v>
      </c>
      <c r="F695" s="9" t="s">
        <v>87</v>
      </c>
      <c r="G695" s="10" t="s">
        <v>88</v>
      </c>
      <c r="H695" s="11" t="s">
        <v>89</v>
      </c>
      <c r="I695" s="7"/>
      <c r="J695" s="7"/>
      <c r="K695" s="7"/>
      <c r="L695" s="8">
        <v>3</v>
      </c>
      <c r="M695" s="7" t="e">
        <v>#REF!</v>
      </c>
      <c r="N695" s="12"/>
      <c r="O695" s="12" t="s">
        <v>16</v>
      </c>
      <c r="P695" s="57" t="str">
        <f t="shared" si="30"/>
        <v>un fuste</v>
      </c>
      <c r="Q695">
        <f t="shared" si="31"/>
        <v>2.5</v>
      </c>
      <c r="R695">
        <f t="shared" si="32"/>
        <v>5</v>
      </c>
    </row>
    <row r="696" spans="1:21" x14ac:dyDescent="0.25">
      <c r="A696" s="7">
        <v>10</v>
      </c>
      <c r="B696" s="7">
        <v>5</v>
      </c>
      <c r="C696" s="7"/>
      <c r="D696" s="8">
        <v>4</v>
      </c>
      <c r="E696" s="8">
        <v>4</v>
      </c>
      <c r="F696" s="17" t="s">
        <v>21</v>
      </c>
      <c r="G696" s="10" t="s">
        <v>22</v>
      </c>
      <c r="H696" s="11" t="s">
        <v>283</v>
      </c>
      <c r="I696" s="7"/>
      <c r="J696" s="7"/>
      <c r="K696" s="7"/>
      <c r="L696" s="7">
        <v>1.8</v>
      </c>
      <c r="M696" s="7" t="e">
        <v>#REF!</v>
      </c>
      <c r="N696" s="12"/>
      <c r="O696" s="12" t="s">
        <v>16</v>
      </c>
      <c r="P696" s="57" t="str">
        <f t="shared" si="30"/>
        <v>un fuste</v>
      </c>
      <c r="Q696">
        <f t="shared" si="31"/>
        <v>2.5</v>
      </c>
      <c r="R696">
        <f t="shared" si="32"/>
        <v>5</v>
      </c>
    </row>
    <row r="697" spans="1:21" x14ac:dyDescent="0.25">
      <c r="A697" s="7">
        <v>10</v>
      </c>
      <c r="B697" s="7">
        <v>5</v>
      </c>
      <c r="C697" s="8"/>
      <c r="D697" s="8">
        <v>5</v>
      </c>
      <c r="E697" s="8">
        <v>5</v>
      </c>
      <c r="F697" s="9" t="s">
        <v>30</v>
      </c>
      <c r="G697" s="13" t="s">
        <v>286</v>
      </c>
      <c r="H697" s="14" t="s">
        <v>113</v>
      </c>
      <c r="I697" s="7"/>
      <c r="J697" s="7"/>
      <c r="K697" s="7"/>
      <c r="L697" s="8">
        <v>2</v>
      </c>
      <c r="M697" s="7" t="e">
        <v>#REF!</v>
      </c>
      <c r="N697" s="12"/>
      <c r="O697" s="12" t="s">
        <v>16</v>
      </c>
      <c r="P697" s="57" t="str">
        <f t="shared" si="30"/>
        <v>un fuste</v>
      </c>
      <c r="Q697">
        <f t="shared" si="31"/>
        <v>2.5</v>
      </c>
      <c r="R697">
        <f t="shared" si="32"/>
        <v>5</v>
      </c>
    </row>
    <row r="698" spans="1:21" x14ac:dyDescent="0.25">
      <c r="A698" s="7">
        <v>10</v>
      </c>
      <c r="B698" s="7">
        <v>5</v>
      </c>
      <c r="C698" s="7"/>
      <c r="D698" s="8">
        <v>6</v>
      </c>
      <c r="E698" s="7">
        <v>6</v>
      </c>
      <c r="F698" s="9" t="s">
        <v>21</v>
      </c>
      <c r="G698" s="10" t="s">
        <v>22</v>
      </c>
      <c r="H698" s="11" t="s">
        <v>283</v>
      </c>
      <c r="I698" s="7"/>
      <c r="J698" s="7"/>
      <c r="K698" s="7"/>
      <c r="L698" s="7">
        <v>3</v>
      </c>
      <c r="M698" s="7" t="e">
        <v>#REF!</v>
      </c>
      <c r="N698" s="12"/>
      <c r="O698" s="12" t="s">
        <v>16</v>
      </c>
      <c r="P698" s="57" t="str">
        <f t="shared" si="30"/>
        <v>un fuste</v>
      </c>
      <c r="Q698">
        <f t="shared" si="31"/>
        <v>2.5</v>
      </c>
      <c r="R698">
        <f t="shared" si="32"/>
        <v>5</v>
      </c>
    </row>
    <row r="699" spans="1:21" x14ac:dyDescent="0.25">
      <c r="A699" s="7">
        <v>10</v>
      </c>
      <c r="B699" s="7">
        <v>5</v>
      </c>
      <c r="C699" s="8"/>
      <c r="D699" s="8">
        <v>7</v>
      </c>
      <c r="E699" s="8">
        <v>7</v>
      </c>
      <c r="F699" s="9" t="s">
        <v>17</v>
      </c>
      <c r="G699" s="13" t="s">
        <v>148</v>
      </c>
      <c r="H699" s="11" t="s">
        <v>149</v>
      </c>
      <c r="I699" s="7"/>
      <c r="J699" s="7"/>
      <c r="K699" s="7"/>
      <c r="L699" s="8">
        <v>10</v>
      </c>
      <c r="M699" s="7" t="e">
        <v>#REF!</v>
      </c>
      <c r="N699" s="12"/>
      <c r="O699" s="12" t="s">
        <v>16</v>
      </c>
      <c r="P699" s="57" t="str">
        <f t="shared" si="30"/>
        <v>un fuste</v>
      </c>
      <c r="Q699">
        <f t="shared" si="31"/>
        <v>10</v>
      </c>
      <c r="R699">
        <f t="shared" si="32"/>
        <v>5</v>
      </c>
    </row>
    <row r="700" spans="1:21" x14ac:dyDescent="0.25">
      <c r="A700" s="7">
        <v>10</v>
      </c>
      <c r="B700" s="7">
        <v>5</v>
      </c>
      <c r="C700" s="8"/>
      <c r="D700" s="8">
        <v>8</v>
      </c>
      <c r="E700" s="8">
        <v>8</v>
      </c>
      <c r="F700" s="9" t="s">
        <v>17</v>
      </c>
      <c r="G700" s="13" t="s">
        <v>148</v>
      </c>
      <c r="H700" s="11" t="s">
        <v>149</v>
      </c>
      <c r="I700" s="7"/>
      <c r="J700" s="7"/>
      <c r="K700" s="7"/>
      <c r="L700" s="7">
        <v>10</v>
      </c>
      <c r="M700" s="7" t="e">
        <v>#REF!</v>
      </c>
      <c r="N700" s="12"/>
      <c r="O700" s="12" t="s">
        <v>16</v>
      </c>
      <c r="P700" s="57" t="str">
        <f t="shared" si="30"/>
        <v>un fuste</v>
      </c>
      <c r="Q700">
        <f t="shared" si="31"/>
        <v>10</v>
      </c>
      <c r="R700">
        <f t="shared" si="32"/>
        <v>5</v>
      </c>
    </row>
    <row r="701" spans="1:21" x14ac:dyDescent="0.25">
      <c r="A701" s="7">
        <v>2</v>
      </c>
      <c r="B701" s="7">
        <v>100</v>
      </c>
      <c r="C701" s="8">
        <v>1</v>
      </c>
      <c r="D701" s="8">
        <v>5</v>
      </c>
      <c r="E701" s="8">
        <v>5</v>
      </c>
      <c r="F701" s="9" t="s">
        <v>17</v>
      </c>
      <c r="G701" s="13" t="s">
        <v>65</v>
      </c>
      <c r="H701" s="11" t="s">
        <v>66</v>
      </c>
      <c r="I701" s="7">
        <v>25</v>
      </c>
      <c r="J701" s="15">
        <v>7.9577471545947667</v>
      </c>
      <c r="K701" s="7">
        <v>5</v>
      </c>
      <c r="L701" s="7">
        <v>11</v>
      </c>
      <c r="M701" s="7"/>
      <c r="N701" s="12" t="s">
        <v>20</v>
      </c>
      <c r="O701" s="12" t="s">
        <v>16</v>
      </c>
      <c r="P701" s="57" t="str">
        <f t="shared" si="30"/>
        <v>un fuste</v>
      </c>
      <c r="Q701">
        <f t="shared" si="31"/>
        <v>10</v>
      </c>
      <c r="R701">
        <f t="shared" si="32"/>
        <v>10</v>
      </c>
    </row>
    <row r="702" spans="1:21" x14ac:dyDescent="0.25">
      <c r="A702" s="7">
        <v>2</v>
      </c>
      <c r="B702" s="7">
        <v>100</v>
      </c>
      <c r="C702" s="8">
        <v>1</v>
      </c>
      <c r="D702" s="7">
        <v>6</v>
      </c>
      <c r="E702" s="7">
        <v>6</v>
      </c>
      <c r="F702" s="9" t="s">
        <v>17</v>
      </c>
      <c r="G702" s="13" t="s">
        <v>65</v>
      </c>
      <c r="H702" s="11" t="s">
        <v>66</v>
      </c>
      <c r="I702" s="7">
        <v>26</v>
      </c>
      <c r="J702" s="15">
        <v>8.2760570407785572</v>
      </c>
      <c r="K702" s="7">
        <v>5</v>
      </c>
      <c r="L702" s="7">
        <v>11</v>
      </c>
      <c r="M702" s="7"/>
      <c r="N702" s="12" t="s">
        <v>20</v>
      </c>
      <c r="O702" s="12" t="s">
        <v>16</v>
      </c>
      <c r="P702" s="57" t="str">
        <f t="shared" si="30"/>
        <v>un fuste</v>
      </c>
      <c r="Q702">
        <f t="shared" si="31"/>
        <v>10</v>
      </c>
      <c r="R702">
        <f t="shared" si="32"/>
        <v>10</v>
      </c>
    </row>
    <row r="703" spans="1:21" x14ac:dyDescent="0.25">
      <c r="A703" s="7">
        <v>5</v>
      </c>
      <c r="B703" s="7">
        <v>100</v>
      </c>
      <c r="C703" s="8">
        <v>1</v>
      </c>
      <c r="D703" s="8">
        <v>6</v>
      </c>
      <c r="E703" s="8">
        <v>7</v>
      </c>
      <c r="F703" s="9" t="s">
        <v>17</v>
      </c>
      <c r="G703" s="10" t="s">
        <v>65</v>
      </c>
      <c r="H703" s="11" t="s">
        <v>66</v>
      </c>
      <c r="I703" s="8">
        <v>30</v>
      </c>
      <c r="J703" s="15">
        <v>9.5492965855137211</v>
      </c>
      <c r="K703" s="8">
        <v>6</v>
      </c>
      <c r="L703" s="8">
        <v>12</v>
      </c>
      <c r="M703" s="7"/>
      <c r="N703" s="12" t="s">
        <v>20</v>
      </c>
      <c r="O703" s="12" t="s">
        <v>16</v>
      </c>
      <c r="P703" s="57" t="str">
        <f t="shared" si="30"/>
        <v>un fuste</v>
      </c>
      <c r="Q703">
        <f t="shared" si="31"/>
        <v>12.5</v>
      </c>
      <c r="R703">
        <f t="shared" si="32"/>
        <v>10</v>
      </c>
    </row>
    <row r="704" spans="1:21" x14ac:dyDescent="0.25">
      <c r="A704" s="7">
        <v>10</v>
      </c>
      <c r="B704" s="7">
        <v>5</v>
      </c>
      <c r="C704" s="7"/>
      <c r="D704" s="8">
        <v>9</v>
      </c>
      <c r="E704" s="7">
        <v>9</v>
      </c>
      <c r="F704" s="9" t="s">
        <v>13</v>
      </c>
      <c r="G704" s="10" t="s">
        <v>14</v>
      </c>
      <c r="H704" s="11" t="s">
        <v>15</v>
      </c>
      <c r="I704" s="7"/>
      <c r="J704" s="7"/>
      <c r="K704" s="7"/>
      <c r="L704" s="7">
        <v>0.8</v>
      </c>
      <c r="M704" s="7" t="e">
        <v>#REF!</v>
      </c>
      <c r="N704" s="12"/>
      <c r="O704" s="12" t="s">
        <v>16</v>
      </c>
      <c r="P704" s="57" t="str">
        <f t="shared" si="30"/>
        <v>un fuste</v>
      </c>
      <c r="Q704">
        <f t="shared" si="31"/>
        <v>2.5</v>
      </c>
      <c r="R704">
        <f t="shared" si="32"/>
        <v>5</v>
      </c>
    </row>
    <row r="705" spans="1:21" x14ac:dyDescent="0.25">
      <c r="A705" s="7">
        <v>5</v>
      </c>
      <c r="B705" s="7">
        <v>500</v>
      </c>
      <c r="C705" s="8">
        <v>1</v>
      </c>
      <c r="D705" s="8">
        <v>8</v>
      </c>
      <c r="E705" s="8">
        <v>8</v>
      </c>
      <c r="F705" s="9" t="s">
        <v>17</v>
      </c>
      <c r="G705" s="13" t="s">
        <v>65</v>
      </c>
      <c r="H705" s="14" t="s">
        <v>66</v>
      </c>
      <c r="I705" s="8">
        <v>34.5</v>
      </c>
      <c r="J705" s="15">
        <v>10.981691073340778</v>
      </c>
      <c r="K705" s="8">
        <v>3.5</v>
      </c>
      <c r="L705" s="8">
        <v>9</v>
      </c>
      <c r="M705" s="7"/>
      <c r="N705" s="12" t="s">
        <v>20</v>
      </c>
      <c r="O705" s="12" t="s">
        <v>16</v>
      </c>
      <c r="P705" s="57" t="str">
        <f t="shared" si="30"/>
        <v>un fuste</v>
      </c>
      <c r="Q705">
        <f t="shared" si="31"/>
        <v>10</v>
      </c>
      <c r="R705">
        <f t="shared" si="32"/>
        <v>10</v>
      </c>
      <c r="S705">
        <v>5</v>
      </c>
      <c r="T705" t="s">
        <v>271</v>
      </c>
      <c r="U705">
        <v>5.1817799215331653E-2</v>
      </c>
    </row>
    <row r="706" spans="1:21" x14ac:dyDescent="0.25">
      <c r="A706" s="7">
        <v>3</v>
      </c>
      <c r="B706" s="7">
        <v>100</v>
      </c>
      <c r="C706" s="8">
        <v>2</v>
      </c>
      <c r="D706" s="8">
        <v>8</v>
      </c>
      <c r="E706" s="8">
        <v>8</v>
      </c>
      <c r="F706" s="9" t="s">
        <v>17</v>
      </c>
      <c r="G706" s="10" t="s">
        <v>65</v>
      </c>
      <c r="H706" s="11" t="s">
        <v>66</v>
      </c>
      <c r="I706" s="7">
        <v>27</v>
      </c>
      <c r="J706" s="15">
        <v>8.5943669269623477</v>
      </c>
      <c r="K706" s="7">
        <v>5</v>
      </c>
      <c r="L706" s="7">
        <v>13</v>
      </c>
      <c r="M706" s="7"/>
      <c r="N706" s="12" t="s">
        <v>20</v>
      </c>
      <c r="O706" s="12" t="s">
        <v>16</v>
      </c>
      <c r="P706" s="57" t="str">
        <f t="shared" si="30"/>
        <v>un fuste</v>
      </c>
      <c r="Q706">
        <f t="shared" si="31"/>
        <v>12.5</v>
      </c>
      <c r="R706">
        <f t="shared" si="32"/>
        <v>10</v>
      </c>
    </row>
    <row r="707" spans="1:21" x14ac:dyDescent="0.25">
      <c r="A707" s="7">
        <v>10</v>
      </c>
      <c r="B707" s="7">
        <v>5</v>
      </c>
      <c r="C707" s="8"/>
      <c r="D707" s="8">
        <v>10</v>
      </c>
      <c r="E707" s="8">
        <v>10</v>
      </c>
      <c r="F707" s="9" t="s">
        <v>13</v>
      </c>
      <c r="G707" s="10" t="s">
        <v>14</v>
      </c>
      <c r="H707" s="11" t="s">
        <v>15</v>
      </c>
      <c r="I707" s="8"/>
      <c r="J707" s="7"/>
      <c r="K707" s="8"/>
      <c r="L707" s="8">
        <v>0.3</v>
      </c>
      <c r="M707" s="7" t="e">
        <v>#REF!</v>
      </c>
      <c r="N707" s="12"/>
      <c r="O707" s="12" t="s">
        <v>16</v>
      </c>
      <c r="P707" s="57" t="str">
        <f t="shared" ref="P707:P770" si="33">IF((D707/D707)=1,"un fuste","bifurcado")</f>
        <v>un fuste</v>
      </c>
      <c r="Q707">
        <f t="shared" ref="Q707:Q770" si="34">IF(L707&lt;3.75,2.5,IF(L707&lt;6.25,5,IF(L707&lt;8.74,7.5,IF(L707&lt;11.24,10,IF(L707&lt;13.75,12.5,IF(L707&lt;16.25,15,IF(L707&lt;18.75,17.5,IF(L707&lt;21.25,20,IF(L707&lt;23.75,22.5,IF(L707&lt;26.25,25,IF(L707&lt;28.75,27.5,IF(L707&lt;31.25,30,IF(L707&lt;33.75,32.5,IF(L707&lt;36.25,35,IF(L707&lt;38.75,37.5,IF(L707&lt;41.24,40,IF(L707&lt;43.75,42.5,IF(L707&lt;46.25,45," "))))))))))))))))))</f>
        <v>2.5</v>
      </c>
      <c r="R707">
        <f t="shared" ref="R707:R770" si="35">IF(J707&lt;7.5,5,IF(J707&lt;12.5,10,IF(J707&lt;17.5,15,IF(J707&lt;22.5,20,IF(J707&lt;27.5,25,IF(J707&lt;32.5,30,IF(J707&lt;37.5,35,IF(J707&lt;42.5,40,IF(J707&lt;47.5,45,IF(J707&lt;52.5,50,IF(J707&lt;57.5,55,0)))))))))))</f>
        <v>5</v>
      </c>
    </row>
    <row r="708" spans="1:21" x14ac:dyDescent="0.25">
      <c r="A708" s="7">
        <v>5</v>
      </c>
      <c r="B708" s="7">
        <v>500</v>
      </c>
      <c r="C708" s="7">
        <v>1</v>
      </c>
      <c r="D708" s="8">
        <v>9</v>
      </c>
      <c r="E708" s="7">
        <v>9</v>
      </c>
      <c r="F708" s="9" t="s">
        <v>17</v>
      </c>
      <c r="G708" s="21" t="s">
        <v>65</v>
      </c>
      <c r="H708" s="14" t="s">
        <v>66</v>
      </c>
      <c r="I708" s="7">
        <v>34.5</v>
      </c>
      <c r="J708" s="15">
        <v>10.981691073340778</v>
      </c>
      <c r="K708" s="7">
        <v>7</v>
      </c>
      <c r="L708" s="7">
        <v>10</v>
      </c>
      <c r="M708" s="7"/>
      <c r="N708" s="12" t="s">
        <v>20</v>
      </c>
      <c r="O708" s="12" t="s">
        <v>16</v>
      </c>
      <c r="P708" s="57" t="str">
        <f t="shared" si="33"/>
        <v>un fuste</v>
      </c>
      <c r="Q708">
        <f t="shared" si="34"/>
        <v>10</v>
      </c>
      <c r="R708">
        <f t="shared" si="35"/>
        <v>10</v>
      </c>
      <c r="S708">
        <v>5</v>
      </c>
      <c r="T708" t="s">
        <v>271</v>
      </c>
      <c r="U708">
        <v>5.7345758878432622E-2</v>
      </c>
    </row>
    <row r="709" spans="1:21" x14ac:dyDescent="0.25">
      <c r="A709" s="7">
        <v>6</v>
      </c>
      <c r="B709" s="7">
        <v>100</v>
      </c>
      <c r="C709" s="7">
        <v>2</v>
      </c>
      <c r="D709" s="8">
        <v>9</v>
      </c>
      <c r="E709" s="7">
        <v>9</v>
      </c>
      <c r="F709" s="9" t="s">
        <v>17</v>
      </c>
      <c r="G709" s="13" t="s">
        <v>65</v>
      </c>
      <c r="H709" s="11" t="s">
        <v>66</v>
      </c>
      <c r="I709" s="7">
        <v>23</v>
      </c>
      <c r="J709" s="15">
        <v>7.3211273822271856</v>
      </c>
      <c r="K709" s="7">
        <v>7</v>
      </c>
      <c r="L709" s="7">
        <v>9</v>
      </c>
      <c r="M709" s="7"/>
      <c r="N709" s="12" t="s">
        <v>20</v>
      </c>
      <c r="O709" s="12" t="s">
        <v>16</v>
      </c>
      <c r="P709" s="57" t="str">
        <f t="shared" si="33"/>
        <v>un fuste</v>
      </c>
      <c r="Q709">
        <f t="shared" si="34"/>
        <v>10</v>
      </c>
      <c r="R709">
        <f t="shared" si="35"/>
        <v>5</v>
      </c>
    </row>
    <row r="710" spans="1:21" x14ac:dyDescent="0.25">
      <c r="A710" s="7">
        <v>6</v>
      </c>
      <c r="B710" s="7">
        <v>100</v>
      </c>
      <c r="C710" s="8">
        <v>2</v>
      </c>
      <c r="D710" s="8">
        <v>11</v>
      </c>
      <c r="E710" s="8">
        <v>11</v>
      </c>
      <c r="F710" s="9" t="s">
        <v>17</v>
      </c>
      <c r="G710" s="13" t="s">
        <v>65</v>
      </c>
      <c r="H710" s="11" t="s">
        <v>66</v>
      </c>
      <c r="I710" s="7">
        <v>17</v>
      </c>
      <c r="J710" s="15">
        <v>5.4112680651244416</v>
      </c>
      <c r="K710" s="7">
        <v>7</v>
      </c>
      <c r="L710" s="7">
        <v>9</v>
      </c>
      <c r="M710" s="7"/>
      <c r="N710" s="12" t="s">
        <v>20</v>
      </c>
      <c r="O710" s="12" t="s">
        <v>16</v>
      </c>
      <c r="P710" s="57" t="str">
        <f t="shared" si="33"/>
        <v>un fuste</v>
      </c>
      <c r="Q710">
        <f t="shared" si="34"/>
        <v>10</v>
      </c>
      <c r="R710">
        <f t="shared" si="35"/>
        <v>5</v>
      </c>
    </row>
    <row r="711" spans="1:21" x14ac:dyDescent="0.25">
      <c r="A711" s="7">
        <v>10</v>
      </c>
      <c r="B711" s="7">
        <v>5</v>
      </c>
      <c r="C711" s="7"/>
      <c r="D711" s="8">
        <v>11</v>
      </c>
      <c r="E711" s="7">
        <v>11</v>
      </c>
      <c r="F711" s="9" t="s">
        <v>13</v>
      </c>
      <c r="G711" s="13" t="s">
        <v>14</v>
      </c>
      <c r="H711" s="11" t="s">
        <v>15</v>
      </c>
      <c r="I711" s="7"/>
      <c r="J711" s="7"/>
      <c r="K711" s="7"/>
      <c r="L711" s="7">
        <v>0.1</v>
      </c>
      <c r="M711" s="7" t="e">
        <v>#REF!</v>
      </c>
      <c r="N711" s="12"/>
      <c r="O711" s="12" t="s">
        <v>16</v>
      </c>
      <c r="P711" s="57" t="str">
        <f t="shared" si="33"/>
        <v>un fuste</v>
      </c>
      <c r="Q711">
        <f t="shared" si="34"/>
        <v>2.5</v>
      </c>
      <c r="R711">
        <f t="shared" si="35"/>
        <v>5</v>
      </c>
    </row>
    <row r="712" spans="1:21" x14ac:dyDescent="0.25">
      <c r="A712" s="7">
        <v>1</v>
      </c>
      <c r="B712" s="7">
        <v>100</v>
      </c>
      <c r="C712" s="7">
        <v>3</v>
      </c>
      <c r="D712" s="8">
        <v>13</v>
      </c>
      <c r="E712" s="7">
        <v>13</v>
      </c>
      <c r="F712" s="9" t="s">
        <v>17</v>
      </c>
      <c r="G712" s="13" t="s">
        <v>65</v>
      </c>
      <c r="H712" s="11" t="s">
        <v>66</v>
      </c>
      <c r="I712" s="7">
        <v>22</v>
      </c>
      <c r="J712" s="15">
        <v>7.0028174960433951</v>
      </c>
      <c r="K712" s="7">
        <v>9</v>
      </c>
      <c r="L712" s="7">
        <v>12</v>
      </c>
      <c r="M712" s="7"/>
      <c r="N712" s="12" t="s">
        <v>20</v>
      </c>
      <c r="O712" s="12" t="s">
        <v>16</v>
      </c>
      <c r="P712" s="57" t="str">
        <f t="shared" si="33"/>
        <v>un fuste</v>
      </c>
      <c r="Q712">
        <f t="shared" si="34"/>
        <v>12.5</v>
      </c>
      <c r="R712">
        <f t="shared" si="35"/>
        <v>5</v>
      </c>
    </row>
    <row r="713" spans="1:21" x14ac:dyDescent="0.25">
      <c r="A713" s="7">
        <v>6</v>
      </c>
      <c r="B713" s="7">
        <v>100</v>
      </c>
      <c r="C713" s="8">
        <v>2</v>
      </c>
      <c r="D713" s="8">
        <v>13</v>
      </c>
      <c r="E713" s="8">
        <v>13</v>
      </c>
      <c r="F713" s="9" t="s">
        <v>17</v>
      </c>
      <c r="G713" s="13" t="s">
        <v>65</v>
      </c>
      <c r="H713" s="11" t="s">
        <v>66</v>
      </c>
      <c r="I713" s="7">
        <v>21</v>
      </c>
      <c r="J713" s="15">
        <v>6.6845076098596046</v>
      </c>
      <c r="K713" s="7">
        <v>7</v>
      </c>
      <c r="L713" s="7">
        <v>10</v>
      </c>
      <c r="M713" s="7"/>
      <c r="N713" s="12" t="s">
        <v>20</v>
      </c>
      <c r="O713" s="12" t="s">
        <v>16</v>
      </c>
      <c r="P713" s="57" t="str">
        <f t="shared" si="33"/>
        <v>un fuste</v>
      </c>
      <c r="Q713">
        <f t="shared" si="34"/>
        <v>10</v>
      </c>
      <c r="R713">
        <f t="shared" si="35"/>
        <v>5</v>
      </c>
    </row>
    <row r="714" spans="1:21" x14ac:dyDescent="0.25">
      <c r="A714" s="7">
        <v>5</v>
      </c>
      <c r="B714" s="7">
        <v>500</v>
      </c>
      <c r="C714" s="8">
        <v>1</v>
      </c>
      <c r="D714" s="8">
        <v>14</v>
      </c>
      <c r="E714" s="8">
        <v>15</v>
      </c>
      <c r="F714" s="9" t="s">
        <v>17</v>
      </c>
      <c r="G714" s="10" t="s">
        <v>65</v>
      </c>
      <c r="H714" s="11" t="s">
        <v>66</v>
      </c>
      <c r="I714" s="7">
        <v>33.5</v>
      </c>
      <c r="J714" s="15">
        <v>10.663381187156988</v>
      </c>
      <c r="K714" s="7">
        <v>7</v>
      </c>
      <c r="L714" s="7">
        <v>11</v>
      </c>
      <c r="M714" s="7"/>
      <c r="N714" s="12" t="s">
        <v>20</v>
      </c>
      <c r="O714" s="12" t="s">
        <v>16</v>
      </c>
      <c r="P714" s="57" t="str">
        <f t="shared" si="33"/>
        <v>un fuste</v>
      </c>
      <c r="Q714">
        <f t="shared" si="34"/>
        <v>10</v>
      </c>
      <c r="R714">
        <f t="shared" si="35"/>
        <v>10</v>
      </c>
      <c r="S714">
        <v>5</v>
      </c>
      <c r="T714" t="s">
        <v>271</v>
      </c>
      <c r="U714">
        <v>5.9513804408211086E-2</v>
      </c>
    </row>
    <row r="715" spans="1:21" x14ac:dyDescent="0.25">
      <c r="A715" s="7">
        <v>10</v>
      </c>
      <c r="B715" s="7">
        <v>5</v>
      </c>
      <c r="C715" s="7"/>
      <c r="D715" s="8">
        <v>12</v>
      </c>
      <c r="E715" s="7">
        <v>12</v>
      </c>
      <c r="F715" s="9" t="s">
        <v>13</v>
      </c>
      <c r="G715" s="13" t="s">
        <v>14</v>
      </c>
      <c r="H715" s="11" t="s">
        <v>15</v>
      </c>
      <c r="I715" s="7"/>
      <c r="J715" s="7"/>
      <c r="K715" s="7"/>
      <c r="L715" s="7">
        <v>0.1</v>
      </c>
      <c r="M715" s="7" t="e">
        <v>#REF!</v>
      </c>
      <c r="N715" s="12"/>
      <c r="O715" s="12" t="s">
        <v>16</v>
      </c>
      <c r="P715" s="57" t="str">
        <f t="shared" si="33"/>
        <v>un fuste</v>
      </c>
      <c r="Q715">
        <f t="shared" si="34"/>
        <v>2.5</v>
      </c>
      <c r="R715">
        <f t="shared" si="35"/>
        <v>5</v>
      </c>
    </row>
    <row r="716" spans="1:21" x14ac:dyDescent="0.25">
      <c r="A716" s="7">
        <v>3</v>
      </c>
      <c r="B716" s="7">
        <v>500</v>
      </c>
      <c r="C716" s="8">
        <v>2</v>
      </c>
      <c r="D716" s="8">
        <v>17</v>
      </c>
      <c r="E716" s="8">
        <v>17</v>
      </c>
      <c r="F716" s="9" t="s">
        <v>17</v>
      </c>
      <c r="G716" s="10" t="s">
        <v>65</v>
      </c>
      <c r="H716" s="11" t="s">
        <v>66</v>
      </c>
      <c r="I716" s="7">
        <v>55.5</v>
      </c>
      <c r="J716" s="15">
        <v>17.666198683200381</v>
      </c>
      <c r="K716" s="7">
        <v>8</v>
      </c>
      <c r="L716" s="8">
        <v>14</v>
      </c>
      <c r="M716" s="7"/>
      <c r="N716" s="12" t="s">
        <v>20</v>
      </c>
      <c r="O716" s="12" t="s">
        <v>16</v>
      </c>
      <c r="P716" s="57" t="str">
        <f t="shared" si="33"/>
        <v>un fuste</v>
      </c>
      <c r="Q716">
        <f t="shared" si="34"/>
        <v>15</v>
      </c>
      <c r="R716">
        <f t="shared" si="35"/>
        <v>20</v>
      </c>
      <c r="S716">
        <v>5</v>
      </c>
      <c r="T716" t="s">
        <v>271</v>
      </c>
      <c r="U716">
        <v>0.19154209485507201</v>
      </c>
    </row>
    <row r="717" spans="1:21" x14ac:dyDescent="0.25">
      <c r="A717" s="7">
        <v>10</v>
      </c>
      <c r="B717" s="7">
        <v>5</v>
      </c>
      <c r="C717" s="7"/>
      <c r="D717" s="8">
        <v>13</v>
      </c>
      <c r="E717" s="7">
        <v>13</v>
      </c>
      <c r="F717" s="9" t="s">
        <v>13</v>
      </c>
      <c r="G717" s="10" t="s">
        <v>14</v>
      </c>
      <c r="H717" s="11" t="s">
        <v>15</v>
      </c>
      <c r="I717" s="7"/>
      <c r="J717" s="7"/>
      <c r="K717" s="7"/>
      <c r="L717" s="7">
        <v>0.2</v>
      </c>
      <c r="M717" s="7" t="e">
        <v>#REF!</v>
      </c>
      <c r="N717" s="12"/>
      <c r="O717" s="12" t="s">
        <v>16</v>
      </c>
      <c r="P717" s="57" t="str">
        <f t="shared" si="33"/>
        <v>un fuste</v>
      </c>
      <c r="Q717">
        <f t="shared" si="34"/>
        <v>2.5</v>
      </c>
      <c r="R717">
        <f t="shared" si="35"/>
        <v>5</v>
      </c>
    </row>
    <row r="718" spans="1:21" x14ac:dyDescent="0.25">
      <c r="A718" s="7">
        <v>4</v>
      </c>
      <c r="B718" s="7">
        <v>100</v>
      </c>
      <c r="C718" s="7">
        <v>3</v>
      </c>
      <c r="D718" s="8">
        <v>17</v>
      </c>
      <c r="E718" s="8">
        <v>18</v>
      </c>
      <c r="F718" s="9" t="s">
        <v>17</v>
      </c>
      <c r="G718" s="10" t="s">
        <v>65</v>
      </c>
      <c r="H718" s="11" t="s">
        <v>66</v>
      </c>
      <c r="I718" s="7">
        <v>19</v>
      </c>
      <c r="J718" s="15">
        <v>6.0478878374920226</v>
      </c>
      <c r="K718" s="7">
        <v>10</v>
      </c>
      <c r="L718" s="7">
        <v>12</v>
      </c>
      <c r="M718" s="7"/>
      <c r="N718" s="12" t="s">
        <v>20</v>
      </c>
      <c r="O718" s="12" t="s">
        <v>16</v>
      </c>
      <c r="P718" s="57" t="str">
        <f t="shared" si="33"/>
        <v>un fuste</v>
      </c>
      <c r="Q718">
        <f t="shared" si="34"/>
        <v>12.5</v>
      </c>
      <c r="R718">
        <f t="shared" si="35"/>
        <v>5</v>
      </c>
    </row>
    <row r="719" spans="1:21" x14ac:dyDescent="0.25">
      <c r="A719" s="7">
        <v>11</v>
      </c>
      <c r="B719" s="7">
        <v>100</v>
      </c>
      <c r="C719" s="7">
        <v>2</v>
      </c>
      <c r="D719" s="8">
        <v>19</v>
      </c>
      <c r="E719" s="8">
        <v>19</v>
      </c>
      <c r="F719" s="17" t="s">
        <v>17</v>
      </c>
      <c r="G719" s="18" t="s">
        <v>65</v>
      </c>
      <c r="H719" s="11" t="s">
        <v>66</v>
      </c>
      <c r="I719" s="7">
        <v>21</v>
      </c>
      <c r="J719" s="15">
        <v>6.6845076098596046</v>
      </c>
      <c r="K719" s="7">
        <v>7</v>
      </c>
      <c r="L719" s="7">
        <v>9</v>
      </c>
      <c r="M719" s="7"/>
      <c r="N719" s="12" t="s">
        <v>20</v>
      </c>
      <c r="O719" s="12" t="s">
        <v>16</v>
      </c>
      <c r="P719" s="57" t="str">
        <f t="shared" si="33"/>
        <v>un fuste</v>
      </c>
      <c r="Q719">
        <f t="shared" si="34"/>
        <v>10</v>
      </c>
      <c r="R719">
        <f t="shared" si="35"/>
        <v>5</v>
      </c>
    </row>
    <row r="720" spans="1:21" x14ac:dyDescent="0.25">
      <c r="A720" s="7">
        <v>4</v>
      </c>
      <c r="B720" s="7">
        <v>100</v>
      </c>
      <c r="C720" s="8">
        <v>3</v>
      </c>
      <c r="D720" s="8">
        <v>19</v>
      </c>
      <c r="E720" s="8">
        <v>20</v>
      </c>
      <c r="F720" s="9" t="s">
        <v>17</v>
      </c>
      <c r="G720" s="10" t="s">
        <v>65</v>
      </c>
      <c r="H720" s="11" t="s">
        <v>66</v>
      </c>
      <c r="I720" s="7">
        <v>19.5</v>
      </c>
      <c r="J720" s="15">
        <v>6.2070427805839179</v>
      </c>
      <c r="K720" s="7">
        <v>6</v>
      </c>
      <c r="L720" s="8">
        <v>10</v>
      </c>
      <c r="M720" s="7"/>
      <c r="N720" s="12" t="s">
        <v>20</v>
      </c>
      <c r="O720" s="12" t="s">
        <v>16</v>
      </c>
      <c r="P720" s="57" t="str">
        <f t="shared" si="33"/>
        <v>un fuste</v>
      </c>
      <c r="Q720">
        <f t="shared" si="34"/>
        <v>10</v>
      </c>
      <c r="R720">
        <f t="shared" si="35"/>
        <v>5</v>
      </c>
    </row>
    <row r="721" spans="1:21" x14ac:dyDescent="0.25">
      <c r="A721" s="7">
        <v>4</v>
      </c>
      <c r="B721" s="7">
        <v>100</v>
      </c>
      <c r="C721" s="8">
        <v>3</v>
      </c>
      <c r="D721" s="8">
        <v>20</v>
      </c>
      <c r="E721" s="8">
        <v>21</v>
      </c>
      <c r="F721" s="9" t="s">
        <v>17</v>
      </c>
      <c r="G721" s="13" t="s">
        <v>65</v>
      </c>
      <c r="H721" s="14" t="s">
        <v>66</v>
      </c>
      <c r="I721" s="7">
        <v>19</v>
      </c>
      <c r="J721" s="15">
        <v>6.0478878374920226</v>
      </c>
      <c r="K721" s="7">
        <v>7</v>
      </c>
      <c r="L721" s="8">
        <v>9</v>
      </c>
      <c r="M721" s="7"/>
      <c r="N721" s="12" t="s">
        <v>20</v>
      </c>
      <c r="O721" s="12" t="s">
        <v>16</v>
      </c>
      <c r="P721" s="57" t="str">
        <f t="shared" si="33"/>
        <v>un fuste</v>
      </c>
      <c r="Q721">
        <f t="shared" si="34"/>
        <v>10</v>
      </c>
      <c r="R721">
        <f t="shared" si="35"/>
        <v>5</v>
      </c>
    </row>
    <row r="722" spans="1:21" x14ac:dyDescent="0.25">
      <c r="A722" s="7">
        <v>5</v>
      </c>
      <c r="B722" s="7">
        <v>100</v>
      </c>
      <c r="C722" s="7">
        <v>3</v>
      </c>
      <c r="D722" s="8">
        <v>20</v>
      </c>
      <c r="E722" s="7">
        <v>21</v>
      </c>
      <c r="F722" s="17" t="s">
        <v>17</v>
      </c>
      <c r="G722" s="18" t="s">
        <v>65</v>
      </c>
      <c r="H722" s="11" t="s">
        <v>66</v>
      </c>
      <c r="I722" s="7">
        <v>16.5</v>
      </c>
      <c r="J722" s="15">
        <v>5.2521131220325463</v>
      </c>
      <c r="K722" s="7">
        <v>6</v>
      </c>
      <c r="L722" s="7">
        <v>8</v>
      </c>
      <c r="M722" s="7"/>
      <c r="N722" s="12" t="s">
        <v>20</v>
      </c>
      <c r="O722" s="12" t="s">
        <v>16</v>
      </c>
      <c r="P722" s="57" t="str">
        <f t="shared" si="33"/>
        <v>un fuste</v>
      </c>
      <c r="Q722">
        <f t="shared" si="34"/>
        <v>7.5</v>
      </c>
      <c r="R722">
        <f t="shared" si="35"/>
        <v>5</v>
      </c>
    </row>
    <row r="723" spans="1:21" x14ac:dyDescent="0.25">
      <c r="A723" s="7">
        <v>10</v>
      </c>
      <c r="B723" s="7">
        <v>5</v>
      </c>
      <c r="C723" s="8"/>
      <c r="D723" s="8">
        <v>14</v>
      </c>
      <c r="E723" s="8">
        <v>14</v>
      </c>
      <c r="F723" s="9" t="s">
        <v>13</v>
      </c>
      <c r="G723" s="10" t="s">
        <v>14</v>
      </c>
      <c r="H723" s="11" t="s">
        <v>15</v>
      </c>
      <c r="I723" s="7"/>
      <c r="J723" s="7"/>
      <c r="K723" s="7"/>
      <c r="L723" s="8">
        <v>0.12</v>
      </c>
      <c r="M723" s="7" t="e">
        <v>#REF!</v>
      </c>
      <c r="N723" s="12"/>
      <c r="O723" s="12" t="s">
        <v>16</v>
      </c>
      <c r="P723" s="57" t="str">
        <f t="shared" si="33"/>
        <v>un fuste</v>
      </c>
      <c r="Q723">
        <f t="shared" si="34"/>
        <v>2.5</v>
      </c>
      <c r="R723">
        <f t="shared" si="35"/>
        <v>5</v>
      </c>
    </row>
    <row r="724" spans="1:21" x14ac:dyDescent="0.25">
      <c r="A724" s="7">
        <v>10</v>
      </c>
      <c r="B724" s="7">
        <v>5</v>
      </c>
      <c r="C724" s="8"/>
      <c r="D724" s="8">
        <v>15</v>
      </c>
      <c r="E724" s="8">
        <v>15</v>
      </c>
      <c r="F724" s="9" t="s">
        <v>62</v>
      </c>
      <c r="G724" s="13" t="s">
        <v>63</v>
      </c>
      <c r="H724" s="11" t="s">
        <v>64</v>
      </c>
      <c r="I724" s="7"/>
      <c r="J724" s="7"/>
      <c r="K724" s="7"/>
      <c r="L724" s="7">
        <v>0.6</v>
      </c>
      <c r="M724" s="7" t="e">
        <v>#REF!</v>
      </c>
      <c r="N724" s="12"/>
      <c r="O724" s="12" t="s">
        <v>16</v>
      </c>
      <c r="P724" s="57" t="str">
        <f t="shared" si="33"/>
        <v>un fuste</v>
      </c>
      <c r="Q724">
        <f t="shared" si="34"/>
        <v>2.5</v>
      </c>
      <c r="R724">
        <f t="shared" si="35"/>
        <v>5</v>
      </c>
    </row>
    <row r="725" spans="1:21" x14ac:dyDescent="0.25">
      <c r="A725" s="7">
        <v>8</v>
      </c>
      <c r="B725" s="7">
        <v>500</v>
      </c>
      <c r="C725" s="8">
        <v>2</v>
      </c>
      <c r="D725" s="8">
        <v>22</v>
      </c>
      <c r="E725" s="8">
        <v>24</v>
      </c>
      <c r="F725" s="9" t="s">
        <v>17</v>
      </c>
      <c r="G725" s="13" t="s">
        <v>65</v>
      </c>
      <c r="H725" s="11" t="s">
        <v>66</v>
      </c>
      <c r="I725" s="7">
        <v>39</v>
      </c>
      <c r="J725" s="15">
        <v>12.414085561167836</v>
      </c>
      <c r="K725" s="7">
        <v>10</v>
      </c>
      <c r="L725" s="7">
        <v>14</v>
      </c>
      <c r="M725" s="7"/>
      <c r="N725" s="12" t="s">
        <v>20</v>
      </c>
      <c r="O725" s="12" t="s">
        <v>16</v>
      </c>
      <c r="P725" s="57" t="str">
        <f t="shared" si="33"/>
        <v>un fuste</v>
      </c>
      <c r="Q725">
        <f t="shared" si="34"/>
        <v>15</v>
      </c>
      <c r="R725">
        <f t="shared" si="35"/>
        <v>10</v>
      </c>
      <c r="S725">
        <v>5</v>
      </c>
      <c r="T725" t="s">
        <v>271</v>
      </c>
      <c r="U725">
        <v>9.951798984833457E-2</v>
      </c>
    </row>
    <row r="726" spans="1:21" x14ac:dyDescent="0.25">
      <c r="A726" s="7">
        <v>10</v>
      </c>
      <c r="B726" s="7">
        <v>100</v>
      </c>
      <c r="C726" s="8">
        <v>2</v>
      </c>
      <c r="D726" s="8">
        <v>24</v>
      </c>
      <c r="E726" s="8">
        <v>24</v>
      </c>
      <c r="F726" s="9" t="s">
        <v>17</v>
      </c>
      <c r="G726" s="13" t="s">
        <v>65</v>
      </c>
      <c r="H726" s="11" t="s">
        <v>66</v>
      </c>
      <c r="I726" s="8">
        <v>17</v>
      </c>
      <c r="J726" s="15">
        <v>5.4112680651244416</v>
      </c>
      <c r="K726" s="8">
        <v>6</v>
      </c>
      <c r="L726" s="8">
        <v>8</v>
      </c>
      <c r="M726" s="7"/>
      <c r="N726" s="12" t="s">
        <v>20</v>
      </c>
      <c r="O726" s="12" t="s">
        <v>16</v>
      </c>
      <c r="P726" s="57" t="str">
        <f t="shared" si="33"/>
        <v>un fuste</v>
      </c>
      <c r="Q726">
        <f t="shared" si="34"/>
        <v>7.5</v>
      </c>
      <c r="R726">
        <f t="shared" si="35"/>
        <v>5</v>
      </c>
    </row>
    <row r="727" spans="1:21" x14ac:dyDescent="0.25">
      <c r="A727" s="7">
        <v>10</v>
      </c>
      <c r="B727" s="7">
        <v>100</v>
      </c>
      <c r="C727" s="7">
        <v>3</v>
      </c>
      <c r="D727" s="8">
        <v>28</v>
      </c>
      <c r="E727" s="7">
        <v>28</v>
      </c>
      <c r="F727" s="9" t="s">
        <v>17</v>
      </c>
      <c r="G727" s="13" t="s">
        <v>65</v>
      </c>
      <c r="H727" s="14" t="s">
        <v>66</v>
      </c>
      <c r="I727" s="7">
        <v>20.5</v>
      </c>
      <c r="J727" s="15">
        <v>6.5253526667677093</v>
      </c>
      <c r="K727" s="7">
        <v>7</v>
      </c>
      <c r="L727" s="7">
        <v>9</v>
      </c>
      <c r="M727" s="7"/>
      <c r="N727" s="12" t="s">
        <v>20</v>
      </c>
      <c r="O727" s="12" t="s">
        <v>16</v>
      </c>
      <c r="P727" s="57" t="str">
        <f t="shared" si="33"/>
        <v>un fuste</v>
      </c>
      <c r="Q727">
        <f t="shared" si="34"/>
        <v>10</v>
      </c>
      <c r="R727">
        <f t="shared" si="35"/>
        <v>5</v>
      </c>
    </row>
    <row r="728" spans="1:21" x14ac:dyDescent="0.25">
      <c r="A728" s="7">
        <v>10</v>
      </c>
      <c r="B728" s="7">
        <v>100</v>
      </c>
      <c r="C728" s="7">
        <v>3</v>
      </c>
      <c r="D728" s="8">
        <v>30</v>
      </c>
      <c r="E728" s="7">
        <v>30</v>
      </c>
      <c r="F728" s="9" t="s">
        <v>17</v>
      </c>
      <c r="G728" s="13" t="s">
        <v>65</v>
      </c>
      <c r="H728" s="11" t="s">
        <v>66</v>
      </c>
      <c r="I728" s="7">
        <v>27.5</v>
      </c>
      <c r="J728" s="15">
        <v>8.753521870054243</v>
      </c>
      <c r="K728" s="7">
        <v>5</v>
      </c>
      <c r="L728" s="7">
        <v>10</v>
      </c>
      <c r="M728" s="7"/>
      <c r="N728" s="12" t="s">
        <v>20</v>
      </c>
      <c r="O728" s="12" t="s">
        <v>16</v>
      </c>
      <c r="P728" s="57" t="str">
        <f t="shared" si="33"/>
        <v>un fuste</v>
      </c>
      <c r="Q728">
        <f t="shared" si="34"/>
        <v>10</v>
      </c>
      <c r="R728">
        <f t="shared" si="35"/>
        <v>10</v>
      </c>
    </row>
    <row r="729" spans="1:21" x14ac:dyDescent="0.25">
      <c r="A729" s="7">
        <v>10</v>
      </c>
      <c r="B729" s="7">
        <v>100</v>
      </c>
      <c r="C729" s="8">
        <v>3</v>
      </c>
      <c r="D729" s="8">
        <v>31</v>
      </c>
      <c r="E729" s="8">
        <v>31</v>
      </c>
      <c r="F729" s="9" t="s">
        <v>17</v>
      </c>
      <c r="G729" s="10" t="s">
        <v>65</v>
      </c>
      <c r="H729" s="11" t="s">
        <v>66</v>
      </c>
      <c r="I729" s="8">
        <v>20</v>
      </c>
      <c r="J729" s="15">
        <v>6.366197723675814</v>
      </c>
      <c r="K729" s="8">
        <v>6</v>
      </c>
      <c r="L729" s="8">
        <v>10</v>
      </c>
      <c r="M729" s="7"/>
      <c r="N729" s="12" t="s">
        <v>20</v>
      </c>
      <c r="O729" s="12" t="s">
        <v>16</v>
      </c>
      <c r="P729" s="57" t="str">
        <f t="shared" si="33"/>
        <v>un fuste</v>
      </c>
      <c r="Q729">
        <f t="shared" si="34"/>
        <v>10</v>
      </c>
      <c r="R729">
        <f t="shared" si="35"/>
        <v>5</v>
      </c>
    </row>
    <row r="730" spans="1:21" x14ac:dyDescent="0.25">
      <c r="A730" s="7">
        <v>10</v>
      </c>
      <c r="B730" s="7">
        <v>100</v>
      </c>
      <c r="C730" s="7">
        <v>3</v>
      </c>
      <c r="D730" s="8">
        <v>34</v>
      </c>
      <c r="E730" s="7">
        <v>34</v>
      </c>
      <c r="F730" s="9" t="s">
        <v>17</v>
      </c>
      <c r="G730" s="13" t="s">
        <v>65</v>
      </c>
      <c r="H730" s="11" t="s">
        <v>66</v>
      </c>
      <c r="I730" s="7">
        <v>22.5</v>
      </c>
      <c r="J730" s="15">
        <v>7.1619724391352904</v>
      </c>
      <c r="K730" s="7">
        <v>7</v>
      </c>
      <c r="L730" s="7">
        <v>11</v>
      </c>
      <c r="M730" s="7"/>
      <c r="N730" s="12" t="s">
        <v>20</v>
      </c>
      <c r="O730" s="12" t="s">
        <v>16</v>
      </c>
      <c r="P730" s="57" t="str">
        <f t="shared" si="33"/>
        <v>un fuste</v>
      </c>
      <c r="Q730">
        <f t="shared" si="34"/>
        <v>10</v>
      </c>
      <c r="R730">
        <f t="shared" si="35"/>
        <v>5</v>
      </c>
    </row>
    <row r="731" spans="1:21" x14ac:dyDescent="0.25">
      <c r="A731" s="7">
        <v>3</v>
      </c>
      <c r="B731" s="7">
        <v>500</v>
      </c>
      <c r="C731" s="8">
        <v>3</v>
      </c>
      <c r="D731" s="8">
        <v>33</v>
      </c>
      <c r="E731" s="8">
        <v>35</v>
      </c>
      <c r="F731" s="9" t="s">
        <v>17</v>
      </c>
      <c r="G731" s="10" t="s">
        <v>65</v>
      </c>
      <c r="H731" s="11" t="s">
        <v>66</v>
      </c>
      <c r="I731" s="7">
        <v>40.5</v>
      </c>
      <c r="J731" s="15">
        <v>12.891550390443523</v>
      </c>
      <c r="K731" s="7">
        <v>8</v>
      </c>
      <c r="L731" s="7">
        <v>13</v>
      </c>
      <c r="M731" s="7"/>
      <c r="N731" s="12" t="s">
        <v>20</v>
      </c>
      <c r="O731" s="12" t="s">
        <v>16</v>
      </c>
      <c r="P731" s="57" t="str">
        <f t="shared" si="33"/>
        <v>un fuste</v>
      </c>
      <c r="Q731">
        <f t="shared" si="34"/>
        <v>12.5</v>
      </c>
      <c r="R731">
        <f t="shared" si="35"/>
        <v>15</v>
      </c>
      <c r="S731">
        <v>5</v>
      </c>
      <c r="T731" t="s">
        <v>271</v>
      </c>
      <c r="U731">
        <v>9.9392784896936592E-2</v>
      </c>
    </row>
    <row r="732" spans="1:21" x14ac:dyDescent="0.25">
      <c r="A732" s="7">
        <v>10</v>
      </c>
      <c r="B732" s="7">
        <v>100</v>
      </c>
      <c r="C732" s="8">
        <v>3</v>
      </c>
      <c r="D732" s="7">
        <v>35</v>
      </c>
      <c r="E732" s="7">
        <v>35</v>
      </c>
      <c r="F732" s="17" t="s">
        <v>17</v>
      </c>
      <c r="G732" s="10" t="s">
        <v>65</v>
      </c>
      <c r="H732" s="11" t="s">
        <v>66</v>
      </c>
      <c r="I732" s="7">
        <v>24.5</v>
      </c>
      <c r="J732" s="15">
        <v>7.7985922115028714</v>
      </c>
      <c r="K732" s="7">
        <v>7</v>
      </c>
      <c r="L732" s="7">
        <v>10</v>
      </c>
      <c r="M732" s="7"/>
      <c r="N732" s="12" t="s">
        <v>20</v>
      </c>
      <c r="O732" s="12" t="s">
        <v>16</v>
      </c>
      <c r="P732" s="57" t="str">
        <f t="shared" si="33"/>
        <v>un fuste</v>
      </c>
      <c r="Q732">
        <f t="shared" si="34"/>
        <v>10</v>
      </c>
      <c r="R732">
        <f t="shared" si="35"/>
        <v>10</v>
      </c>
    </row>
    <row r="733" spans="1:21" x14ac:dyDescent="0.25">
      <c r="A733" s="7">
        <v>4</v>
      </c>
      <c r="B733" s="7">
        <v>500</v>
      </c>
      <c r="C733" s="8">
        <v>4</v>
      </c>
      <c r="D733" s="8">
        <v>49</v>
      </c>
      <c r="E733" s="8">
        <v>51</v>
      </c>
      <c r="F733" s="9" t="s">
        <v>17</v>
      </c>
      <c r="G733" s="13" t="s">
        <v>65</v>
      </c>
      <c r="H733" s="14" t="s">
        <v>66</v>
      </c>
      <c r="I733" s="8">
        <v>44.5</v>
      </c>
      <c r="J733" s="15">
        <v>14.164789935178685</v>
      </c>
      <c r="K733" s="8">
        <v>7</v>
      </c>
      <c r="L733" s="8">
        <v>14</v>
      </c>
      <c r="M733" s="7"/>
      <c r="N733" s="12" t="s">
        <v>20</v>
      </c>
      <c r="O733" s="12" t="s">
        <v>16</v>
      </c>
      <c r="P733" s="57" t="str">
        <f t="shared" si="33"/>
        <v>un fuste</v>
      </c>
      <c r="Q733">
        <f t="shared" si="34"/>
        <v>15</v>
      </c>
      <c r="R733">
        <f t="shared" si="35"/>
        <v>15</v>
      </c>
      <c r="S733">
        <v>5</v>
      </c>
      <c r="T733" t="s">
        <v>271</v>
      </c>
      <c r="U733">
        <v>0.12712499118476892</v>
      </c>
    </row>
    <row r="734" spans="1:21" x14ac:dyDescent="0.25">
      <c r="A734" s="7">
        <v>8</v>
      </c>
      <c r="B734" s="7">
        <v>500</v>
      </c>
      <c r="C734" s="8">
        <v>4</v>
      </c>
      <c r="D734" s="8">
        <v>59</v>
      </c>
      <c r="E734" s="8">
        <v>66</v>
      </c>
      <c r="F734" s="9" t="s">
        <v>17</v>
      </c>
      <c r="G734" s="13" t="s">
        <v>65</v>
      </c>
      <c r="H734" s="11" t="s">
        <v>66</v>
      </c>
      <c r="I734" s="7">
        <v>32</v>
      </c>
      <c r="J734" s="15">
        <v>10.185916357881302</v>
      </c>
      <c r="K734" s="7">
        <v>9</v>
      </c>
      <c r="L734" s="7">
        <v>13</v>
      </c>
      <c r="M734" s="7"/>
      <c r="N734" s="12" t="s">
        <v>20</v>
      </c>
      <c r="O734" s="12" t="s">
        <v>16</v>
      </c>
      <c r="P734" s="57" t="str">
        <f t="shared" si="33"/>
        <v>un fuste</v>
      </c>
      <c r="Q734">
        <f t="shared" si="34"/>
        <v>12.5</v>
      </c>
      <c r="R734">
        <f t="shared" si="35"/>
        <v>10</v>
      </c>
      <c r="S734">
        <v>5</v>
      </c>
      <c r="T734" t="s">
        <v>271</v>
      </c>
      <c r="U734">
        <v>6.4194262038205441E-2</v>
      </c>
    </row>
    <row r="735" spans="1:21" x14ac:dyDescent="0.25">
      <c r="A735" s="7">
        <v>9</v>
      </c>
      <c r="B735" s="7">
        <v>500</v>
      </c>
      <c r="C735" s="8">
        <v>1</v>
      </c>
      <c r="D735" s="8">
        <v>1</v>
      </c>
      <c r="E735" s="8">
        <v>1</v>
      </c>
      <c r="F735" s="9" t="s">
        <v>108</v>
      </c>
      <c r="G735" s="10" t="s">
        <v>111</v>
      </c>
      <c r="H735" s="11" t="s">
        <v>112</v>
      </c>
      <c r="I735" s="7">
        <v>33</v>
      </c>
      <c r="J735" s="15">
        <v>10.504226244065093</v>
      </c>
      <c r="K735" s="7">
        <v>7</v>
      </c>
      <c r="L735" s="7">
        <v>11</v>
      </c>
      <c r="M735" s="7"/>
      <c r="N735" s="12" t="s">
        <v>20</v>
      </c>
      <c r="O735" s="12" t="s">
        <v>16</v>
      </c>
      <c r="P735" s="57" t="str">
        <f t="shared" si="33"/>
        <v>un fuste</v>
      </c>
      <c r="Q735">
        <f t="shared" si="34"/>
        <v>10</v>
      </c>
      <c r="R735">
        <f t="shared" si="35"/>
        <v>10</v>
      </c>
      <c r="S735">
        <v>11</v>
      </c>
      <c r="T735" t="s">
        <v>274</v>
      </c>
      <c r="U735">
        <v>6.0274885532040856E-2</v>
      </c>
    </row>
    <row r="736" spans="1:21" x14ac:dyDescent="0.25">
      <c r="A736" s="7">
        <v>10</v>
      </c>
      <c r="B736" s="7">
        <v>5</v>
      </c>
      <c r="C736" s="7"/>
      <c r="D736" s="8">
        <v>16</v>
      </c>
      <c r="E736" s="7">
        <v>16</v>
      </c>
      <c r="F736" s="9" t="s">
        <v>168</v>
      </c>
      <c r="G736" s="10" t="s">
        <v>169</v>
      </c>
      <c r="H736" s="11" t="s">
        <v>170</v>
      </c>
      <c r="I736" s="7"/>
      <c r="J736" s="7"/>
      <c r="K736" s="7"/>
      <c r="L736" s="7">
        <v>1.8</v>
      </c>
      <c r="M736" s="7" t="e">
        <v>#REF!</v>
      </c>
      <c r="N736" s="12"/>
      <c r="O736" s="12" t="s">
        <v>16</v>
      </c>
      <c r="P736" s="57" t="str">
        <f t="shared" si="33"/>
        <v>un fuste</v>
      </c>
      <c r="Q736">
        <f t="shared" si="34"/>
        <v>2.5</v>
      </c>
      <c r="R736">
        <f t="shared" si="35"/>
        <v>5</v>
      </c>
    </row>
    <row r="737" spans="1:21" x14ac:dyDescent="0.25">
      <c r="A737" s="7">
        <v>3</v>
      </c>
      <c r="B737" s="7">
        <v>500</v>
      </c>
      <c r="C737" s="7">
        <v>1</v>
      </c>
      <c r="D737" s="8">
        <v>3</v>
      </c>
      <c r="E737" s="8">
        <v>3</v>
      </c>
      <c r="F737" s="9" t="s">
        <v>108</v>
      </c>
      <c r="G737" s="13" t="s">
        <v>111</v>
      </c>
      <c r="H737" s="11" t="s">
        <v>112</v>
      </c>
      <c r="I737" s="7">
        <v>36</v>
      </c>
      <c r="J737" s="15">
        <v>11.459155902616464</v>
      </c>
      <c r="K737" s="7">
        <v>3.5</v>
      </c>
      <c r="L737" s="7">
        <v>8</v>
      </c>
      <c r="M737" s="7"/>
      <c r="N737" s="12" t="s">
        <v>20</v>
      </c>
      <c r="O737" s="12" t="s">
        <v>16</v>
      </c>
      <c r="P737" s="57" t="str">
        <f t="shared" si="33"/>
        <v>un fuste</v>
      </c>
      <c r="Q737">
        <f t="shared" si="34"/>
        <v>7.5</v>
      </c>
      <c r="R737">
        <f t="shared" si="35"/>
        <v>10</v>
      </c>
      <c r="S737">
        <v>11</v>
      </c>
      <c r="T737" t="s">
        <v>274</v>
      </c>
      <c r="U737">
        <v>5.0571720759831372E-2</v>
      </c>
    </row>
    <row r="738" spans="1:21" x14ac:dyDescent="0.25">
      <c r="A738" s="7">
        <v>7</v>
      </c>
      <c r="B738" s="7">
        <v>500</v>
      </c>
      <c r="C738" s="8">
        <v>4</v>
      </c>
      <c r="D738" s="8">
        <v>45</v>
      </c>
      <c r="E738" s="8">
        <v>48</v>
      </c>
      <c r="F738" s="9" t="s">
        <v>108</v>
      </c>
      <c r="G738" s="10" t="s">
        <v>111</v>
      </c>
      <c r="H738" s="11" t="s">
        <v>112</v>
      </c>
      <c r="I738" s="7">
        <v>40</v>
      </c>
      <c r="J738" s="15">
        <v>12.732395447351628</v>
      </c>
      <c r="K738" s="7">
        <v>3</v>
      </c>
      <c r="L738" s="7">
        <v>9</v>
      </c>
      <c r="M738" s="7"/>
      <c r="N738" s="12" t="s">
        <v>20</v>
      </c>
      <c r="O738" s="12" t="s">
        <v>16</v>
      </c>
      <c r="P738" s="57" t="str">
        <f t="shared" si="33"/>
        <v>un fuste</v>
      </c>
      <c r="Q738">
        <f t="shared" si="34"/>
        <v>10</v>
      </c>
      <c r="R738">
        <f t="shared" si="35"/>
        <v>15</v>
      </c>
      <c r="S738">
        <v>11</v>
      </c>
      <c r="T738" t="s">
        <v>274</v>
      </c>
      <c r="U738">
        <v>7.0207415625856279E-2</v>
      </c>
    </row>
    <row r="739" spans="1:21" x14ac:dyDescent="0.25">
      <c r="A739" s="7">
        <v>2</v>
      </c>
      <c r="B739" s="7">
        <v>500</v>
      </c>
      <c r="C739" s="7">
        <v>3</v>
      </c>
      <c r="D739" s="8">
        <v>47</v>
      </c>
      <c r="E739" s="7">
        <v>51</v>
      </c>
      <c r="F739" s="9" t="s">
        <v>108</v>
      </c>
      <c r="G739" s="13" t="s">
        <v>111</v>
      </c>
      <c r="H739" s="11" t="s">
        <v>112</v>
      </c>
      <c r="I739" s="7">
        <v>72</v>
      </c>
      <c r="J739" s="15">
        <v>22.918311805232928</v>
      </c>
      <c r="K739" s="7">
        <v>5</v>
      </c>
      <c r="L739" s="7">
        <v>12</v>
      </c>
      <c r="M739" s="7"/>
      <c r="N739" s="12" t="s">
        <v>20</v>
      </c>
      <c r="O739" s="12" t="s">
        <v>16</v>
      </c>
      <c r="P739" s="57" t="str">
        <f t="shared" si="33"/>
        <v>un fuste</v>
      </c>
      <c r="Q739">
        <f t="shared" si="34"/>
        <v>12.5</v>
      </c>
      <c r="R739">
        <f t="shared" si="35"/>
        <v>25</v>
      </c>
      <c r="S739">
        <v>11</v>
      </c>
      <c r="T739" t="s">
        <v>274</v>
      </c>
      <c r="U739">
        <v>0.2943991927644426</v>
      </c>
    </row>
    <row r="740" spans="1:21" x14ac:dyDescent="0.25">
      <c r="A740" s="7">
        <v>5</v>
      </c>
      <c r="B740" s="7">
        <v>100</v>
      </c>
      <c r="C740" s="7">
        <v>1</v>
      </c>
      <c r="D740" s="8">
        <v>4</v>
      </c>
      <c r="E740" s="7">
        <v>5</v>
      </c>
      <c r="F740" s="9" t="s">
        <v>17</v>
      </c>
      <c r="G740" s="13" t="s">
        <v>150</v>
      </c>
      <c r="H740" s="14" t="s">
        <v>151</v>
      </c>
      <c r="I740" s="7">
        <v>18</v>
      </c>
      <c r="J740" s="15">
        <v>5.7295779513082321</v>
      </c>
      <c r="K740" s="7">
        <v>6</v>
      </c>
      <c r="L740" s="7">
        <v>9</v>
      </c>
      <c r="M740" s="7"/>
      <c r="N740" s="12" t="s">
        <v>20</v>
      </c>
      <c r="O740" s="12" t="s">
        <v>16</v>
      </c>
      <c r="P740" s="57" t="str">
        <f t="shared" si="33"/>
        <v>un fuste</v>
      </c>
      <c r="Q740">
        <f t="shared" si="34"/>
        <v>10</v>
      </c>
      <c r="R740">
        <f t="shared" si="35"/>
        <v>5</v>
      </c>
    </row>
    <row r="741" spans="1:21" x14ac:dyDescent="0.25">
      <c r="A741" s="7">
        <v>10</v>
      </c>
      <c r="B741" s="7">
        <v>5</v>
      </c>
      <c r="C741" s="8"/>
      <c r="D741" s="8">
        <v>17</v>
      </c>
      <c r="E741" s="8">
        <v>17</v>
      </c>
      <c r="F741" s="9" t="s">
        <v>218</v>
      </c>
      <c r="G741" s="10" t="s">
        <v>219</v>
      </c>
      <c r="H741" s="11" t="s">
        <v>220</v>
      </c>
      <c r="I741" s="7"/>
      <c r="J741" s="7"/>
      <c r="K741" s="7"/>
      <c r="L741" s="8">
        <v>0.6</v>
      </c>
      <c r="M741" s="7" t="e">
        <v>#REF!</v>
      </c>
      <c r="N741" s="12"/>
      <c r="O741" s="12" t="s">
        <v>16</v>
      </c>
      <c r="P741" s="57" t="str">
        <f t="shared" si="33"/>
        <v>un fuste</v>
      </c>
      <c r="Q741">
        <f t="shared" si="34"/>
        <v>2.5</v>
      </c>
      <c r="R741">
        <f t="shared" si="35"/>
        <v>5</v>
      </c>
    </row>
    <row r="742" spans="1:21" x14ac:dyDescent="0.25">
      <c r="A742" s="7">
        <v>4</v>
      </c>
      <c r="B742" s="7">
        <v>100</v>
      </c>
      <c r="C742" s="7">
        <v>2</v>
      </c>
      <c r="D742" s="8">
        <v>8</v>
      </c>
      <c r="E742" s="7">
        <v>9</v>
      </c>
      <c r="F742" s="9" t="s">
        <v>17</v>
      </c>
      <c r="G742" s="13" t="s">
        <v>150</v>
      </c>
      <c r="H742" s="11" t="s">
        <v>151</v>
      </c>
      <c r="I742" s="7">
        <v>18.5</v>
      </c>
      <c r="J742" s="15">
        <v>5.8887328944001274</v>
      </c>
      <c r="K742" s="7">
        <v>5</v>
      </c>
      <c r="L742" s="7">
        <v>8</v>
      </c>
      <c r="M742" s="7"/>
      <c r="N742" s="12" t="s">
        <v>20</v>
      </c>
      <c r="O742" s="12" t="s">
        <v>16</v>
      </c>
      <c r="P742" s="57" t="str">
        <f t="shared" si="33"/>
        <v>un fuste</v>
      </c>
      <c r="Q742">
        <f t="shared" si="34"/>
        <v>7.5</v>
      </c>
      <c r="R742">
        <f t="shared" si="35"/>
        <v>5</v>
      </c>
    </row>
    <row r="743" spans="1:21" x14ac:dyDescent="0.25">
      <c r="A743" s="7">
        <v>5</v>
      </c>
      <c r="B743" s="7">
        <v>100</v>
      </c>
      <c r="C743" s="8">
        <v>1</v>
      </c>
      <c r="D743" s="8">
        <v>9</v>
      </c>
      <c r="E743" s="8">
        <v>10</v>
      </c>
      <c r="F743" s="9" t="s">
        <v>17</v>
      </c>
      <c r="G743" s="10" t="s">
        <v>150</v>
      </c>
      <c r="H743" s="11" t="s">
        <v>151</v>
      </c>
      <c r="I743" s="7">
        <v>16</v>
      </c>
      <c r="J743" s="15">
        <v>5.0929581789406511</v>
      </c>
      <c r="K743" s="7">
        <v>6</v>
      </c>
      <c r="L743" s="8">
        <v>8</v>
      </c>
      <c r="M743" s="7"/>
      <c r="N743" s="12" t="s">
        <v>20</v>
      </c>
      <c r="O743" s="12" t="s">
        <v>16</v>
      </c>
      <c r="P743" s="57" t="str">
        <f t="shared" si="33"/>
        <v>un fuste</v>
      </c>
      <c r="Q743">
        <f t="shared" si="34"/>
        <v>7.5</v>
      </c>
      <c r="R743">
        <f t="shared" si="35"/>
        <v>5</v>
      </c>
    </row>
    <row r="744" spans="1:21" x14ac:dyDescent="0.25">
      <c r="A744" s="7">
        <v>4</v>
      </c>
      <c r="B744" s="7">
        <v>100</v>
      </c>
      <c r="C744" s="8">
        <v>2</v>
      </c>
      <c r="D744" s="8">
        <v>11</v>
      </c>
      <c r="E744" s="8">
        <v>12</v>
      </c>
      <c r="F744" s="9" t="s">
        <v>17</v>
      </c>
      <c r="G744" s="13" t="s">
        <v>150</v>
      </c>
      <c r="H744" s="11" t="s">
        <v>151</v>
      </c>
      <c r="I744" s="7">
        <v>27.5</v>
      </c>
      <c r="J744" s="15">
        <v>8.753521870054243</v>
      </c>
      <c r="K744" s="7">
        <v>8</v>
      </c>
      <c r="L744" s="8">
        <v>12</v>
      </c>
      <c r="M744" s="7"/>
      <c r="N744" s="12" t="s">
        <v>20</v>
      </c>
      <c r="O744" s="12" t="s">
        <v>16</v>
      </c>
      <c r="P744" s="57" t="str">
        <f t="shared" si="33"/>
        <v>un fuste</v>
      </c>
      <c r="Q744">
        <f t="shared" si="34"/>
        <v>12.5</v>
      </c>
      <c r="R744">
        <f t="shared" si="35"/>
        <v>10</v>
      </c>
    </row>
    <row r="745" spans="1:21" x14ac:dyDescent="0.25">
      <c r="A745" s="7">
        <v>4</v>
      </c>
      <c r="B745" s="7">
        <v>100</v>
      </c>
      <c r="C745" s="7">
        <v>2</v>
      </c>
      <c r="D745" s="8">
        <v>12</v>
      </c>
      <c r="E745" s="7">
        <v>13</v>
      </c>
      <c r="F745" s="9" t="s">
        <v>17</v>
      </c>
      <c r="G745" s="10" t="s">
        <v>150</v>
      </c>
      <c r="H745" s="11" t="s">
        <v>151</v>
      </c>
      <c r="I745" s="7">
        <v>18.5</v>
      </c>
      <c r="J745" s="15">
        <v>5.8887328944001274</v>
      </c>
      <c r="K745" s="7">
        <v>8</v>
      </c>
      <c r="L745" s="7">
        <v>10</v>
      </c>
      <c r="M745" s="7"/>
      <c r="N745" s="12" t="s">
        <v>20</v>
      </c>
      <c r="O745" s="12" t="s">
        <v>16</v>
      </c>
      <c r="P745" s="57" t="str">
        <f t="shared" si="33"/>
        <v>un fuste</v>
      </c>
      <c r="Q745">
        <f t="shared" si="34"/>
        <v>10</v>
      </c>
      <c r="R745">
        <f t="shared" si="35"/>
        <v>5</v>
      </c>
    </row>
    <row r="746" spans="1:21" x14ac:dyDescent="0.25">
      <c r="A746" s="7">
        <v>4</v>
      </c>
      <c r="B746" s="7">
        <v>100</v>
      </c>
      <c r="C746" s="8">
        <v>2</v>
      </c>
      <c r="D746" s="8">
        <v>13</v>
      </c>
      <c r="E746" s="8">
        <v>14</v>
      </c>
      <c r="F746" s="9" t="s">
        <v>17</v>
      </c>
      <c r="G746" s="10" t="s">
        <v>150</v>
      </c>
      <c r="H746" s="11" t="s">
        <v>151</v>
      </c>
      <c r="I746" s="7">
        <v>17</v>
      </c>
      <c r="J746" s="15">
        <v>5.4112680651244416</v>
      </c>
      <c r="K746" s="7">
        <v>1.3</v>
      </c>
      <c r="L746" s="8">
        <v>6</v>
      </c>
      <c r="M746" s="7"/>
      <c r="N746" s="12" t="s">
        <v>20</v>
      </c>
      <c r="O746" s="12" t="s">
        <v>16</v>
      </c>
      <c r="P746" s="57" t="str">
        <f t="shared" si="33"/>
        <v>un fuste</v>
      </c>
      <c r="Q746">
        <f t="shared" si="34"/>
        <v>5</v>
      </c>
      <c r="R746">
        <f t="shared" si="35"/>
        <v>5</v>
      </c>
    </row>
    <row r="747" spans="1:21" x14ac:dyDescent="0.25">
      <c r="A747" s="7">
        <v>5</v>
      </c>
      <c r="B747" s="7">
        <v>100</v>
      </c>
      <c r="C747" s="8">
        <v>2</v>
      </c>
      <c r="D747" s="8">
        <v>14</v>
      </c>
      <c r="E747" s="8">
        <v>15</v>
      </c>
      <c r="F747" s="9" t="s">
        <v>17</v>
      </c>
      <c r="G747" s="13" t="s">
        <v>150</v>
      </c>
      <c r="H747" s="11" t="s">
        <v>151</v>
      </c>
      <c r="I747" s="7">
        <v>27</v>
      </c>
      <c r="J747" s="15">
        <v>8.5943669269623477</v>
      </c>
      <c r="K747" s="7">
        <v>9</v>
      </c>
      <c r="L747" s="7">
        <v>12</v>
      </c>
      <c r="M747" s="7"/>
      <c r="N747" s="12" t="s">
        <v>20</v>
      </c>
      <c r="O747" s="12" t="s">
        <v>16</v>
      </c>
      <c r="P747" s="57" t="str">
        <f t="shared" si="33"/>
        <v>un fuste</v>
      </c>
      <c r="Q747">
        <f t="shared" si="34"/>
        <v>12.5</v>
      </c>
      <c r="R747">
        <f t="shared" si="35"/>
        <v>10</v>
      </c>
    </row>
    <row r="748" spans="1:21" x14ac:dyDescent="0.25">
      <c r="A748" s="7">
        <v>5</v>
      </c>
      <c r="B748" s="7">
        <v>100</v>
      </c>
      <c r="C748" s="8">
        <v>2</v>
      </c>
      <c r="D748" s="8">
        <v>15</v>
      </c>
      <c r="E748" s="8">
        <v>16</v>
      </c>
      <c r="F748" s="9" t="s">
        <v>17</v>
      </c>
      <c r="G748" s="13" t="s">
        <v>150</v>
      </c>
      <c r="H748" s="11" t="s">
        <v>151</v>
      </c>
      <c r="I748" s="7">
        <v>16.5</v>
      </c>
      <c r="J748" s="15">
        <v>5.2521131220325463</v>
      </c>
      <c r="K748" s="7">
        <v>6</v>
      </c>
      <c r="L748" s="7">
        <v>8</v>
      </c>
      <c r="M748" s="7"/>
      <c r="N748" s="12" t="s">
        <v>20</v>
      </c>
      <c r="O748" s="12" t="s">
        <v>16</v>
      </c>
      <c r="P748" s="57" t="str">
        <f t="shared" si="33"/>
        <v>un fuste</v>
      </c>
      <c r="Q748">
        <f t="shared" si="34"/>
        <v>7.5</v>
      </c>
      <c r="R748">
        <f t="shared" si="35"/>
        <v>5</v>
      </c>
    </row>
    <row r="749" spans="1:21" x14ac:dyDescent="0.25">
      <c r="A749" s="7">
        <v>4</v>
      </c>
      <c r="B749" s="7">
        <v>100</v>
      </c>
      <c r="C749" s="7">
        <v>2</v>
      </c>
      <c r="D749" s="8">
        <v>16</v>
      </c>
      <c r="E749" s="7">
        <v>17</v>
      </c>
      <c r="F749" s="9" t="s">
        <v>17</v>
      </c>
      <c r="G749" s="13" t="s">
        <v>150</v>
      </c>
      <c r="H749" s="14" t="s">
        <v>151</v>
      </c>
      <c r="I749" s="7">
        <v>17</v>
      </c>
      <c r="J749" s="15">
        <v>5.4112680651244416</v>
      </c>
      <c r="K749" s="7">
        <v>3</v>
      </c>
      <c r="L749" s="7">
        <v>9</v>
      </c>
      <c r="M749" s="7"/>
      <c r="N749" s="12" t="s">
        <v>20</v>
      </c>
      <c r="O749" s="12" t="s">
        <v>16</v>
      </c>
      <c r="P749" s="57" t="str">
        <f t="shared" si="33"/>
        <v>un fuste</v>
      </c>
      <c r="Q749">
        <f t="shared" si="34"/>
        <v>10</v>
      </c>
      <c r="R749">
        <f t="shared" si="35"/>
        <v>5</v>
      </c>
    </row>
    <row r="750" spans="1:21" x14ac:dyDescent="0.25">
      <c r="A750" s="7">
        <v>11</v>
      </c>
      <c r="B750" s="7">
        <v>500</v>
      </c>
      <c r="C750" s="8">
        <v>4</v>
      </c>
      <c r="D750" s="7">
        <v>18</v>
      </c>
      <c r="E750" s="7">
        <v>19</v>
      </c>
      <c r="F750" s="9" t="s">
        <v>17</v>
      </c>
      <c r="G750" s="13" t="s">
        <v>150</v>
      </c>
      <c r="H750" s="11" t="s">
        <v>151</v>
      </c>
      <c r="I750" s="7">
        <v>36.5</v>
      </c>
      <c r="J750" s="15">
        <v>11.618310845708359</v>
      </c>
      <c r="K750" s="7">
        <v>9</v>
      </c>
      <c r="L750" s="7">
        <v>12</v>
      </c>
      <c r="M750" s="7"/>
      <c r="N750" s="12" t="s">
        <v>20</v>
      </c>
      <c r="O750" s="12" t="s">
        <v>16</v>
      </c>
      <c r="P750" s="57" t="str">
        <f t="shared" si="33"/>
        <v>un fuste</v>
      </c>
      <c r="Q750">
        <f t="shared" si="34"/>
        <v>12.5</v>
      </c>
      <c r="R750">
        <f t="shared" si="35"/>
        <v>10</v>
      </c>
      <c r="S750">
        <v>4</v>
      </c>
      <c r="T750" t="s">
        <v>269</v>
      </c>
      <c r="U750">
        <v>7.7394669998741117E-2</v>
      </c>
    </row>
    <row r="751" spans="1:21" x14ac:dyDescent="0.25">
      <c r="A751" s="7">
        <v>5</v>
      </c>
      <c r="B751" s="7">
        <v>500</v>
      </c>
      <c r="C751" s="8">
        <v>2</v>
      </c>
      <c r="D751" s="8">
        <v>23</v>
      </c>
      <c r="E751" s="8">
        <v>25</v>
      </c>
      <c r="F751" s="9" t="s">
        <v>17</v>
      </c>
      <c r="G751" s="10" t="s">
        <v>150</v>
      </c>
      <c r="H751" s="11" t="s">
        <v>151</v>
      </c>
      <c r="I751" s="8">
        <v>32.5</v>
      </c>
      <c r="J751" s="15">
        <v>10.345071300973197</v>
      </c>
      <c r="K751" s="8">
        <v>5.5</v>
      </c>
      <c r="L751" s="8">
        <v>10</v>
      </c>
      <c r="M751" s="7"/>
      <c r="N751" s="12" t="s">
        <v>20</v>
      </c>
      <c r="O751" s="12" t="s">
        <v>16</v>
      </c>
      <c r="P751" s="57" t="str">
        <f t="shared" si="33"/>
        <v>un fuste</v>
      </c>
      <c r="Q751">
        <f t="shared" si="34"/>
        <v>10</v>
      </c>
      <c r="R751">
        <f t="shared" si="35"/>
        <v>10</v>
      </c>
      <c r="S751">
        <v>4</v>
      </c>
      <c r="T751" t="s">
        <v>269</v>
      </c>
      <c r="U751">
        <v>5.1742737848470985E-2</v>
      </c>
    </row>
    <row r="752" spans="1:21" x14ac:dyDescent="0.25">
      <c r="A752" s="7">
        <v>5</v>
      </c>
      <c r="B752" s="7">
        <v>500</v>
      </c>
      <c r="C752" s="7">
        <v>3</v>
      </c>
      <c r="D752" s="8">
        <v>25</v>
      </c>
      <c r="E752" s="7">
        <v>27</v>
      </c>
      <c r="F752" s="9" t="s">
        <v>17</v>
      </c>
      <c r="G752" s="13" t="s">
        <v>150</v>
      </c>
      <c r="H752" s="11" t="s">
        <v>151</v>
      </c>
      <c r="I752" s="7">
        <v>36</v>
      </c>
      <c r="J752" s="15">
        <v>11.459155902616464</v>
      </c>
      <c r="K752" s="7">
        <v>7</v>
      </c>
      <c r="L752" s="7">
        <v>12</v>
      </c>
      <c r="M752" s="7"/>
      <c r="N752" s="12" t="s">
        <v>20</v>
      </c>
      <c r="O752" s="12" t="s">
        <v>16</v>
      </c>
      <c r="P752" s="57" t="str">
        <f t="shared" si="33"/>
        <v>un fuste</v>
      </c>
      <c r="Q752">
        <f t="shared" si="34"/>
        <v>12.5</v>
      </c>
      <c r="R752">
        <f t="shared" si="35"/>
        <v>10</v>
      </c>
      <c r="S752">
        <v>4</v>
      </c>
      <c r="T752" t="s">
        <v>269</v>
      </c>
      <c r="U752">
        <v>7.5425084510373483E-2</v>
      </c>
    </row>
    <row r="753" spans="1:21" x14ac:dyDescent="0.25">
      <c r="A753" s="7">
        <v>5</v>
      </c>
      <c r="B753" s="7">
        <v>100</v>
      </c>
      <c r="C753" s="8">
        <v>4</v>
      </c>
      <c r="D753" s="8">
        <v>26</v>
      </c>
      <c r="E753" s="8">
        <v>28</v>
      </c>
      <c r="F753" s="9" t="s">
        <v>17</v>
      </c>
      <c r="G753" s="10" t="s">
        <v>150</v>
      </c>
      <c r="H753" s="11" t="s">
        <v>151</v>
      </c>
      <c r="I753" s="8">
        <v>23.5</v>
      </c>
      <c r="J753" s="15">
        <v>7.4802823253190809</v>
      </c>
      <c r="K753" s="8">
        <v>10</v>
      </c>
      <c r="L753" s="8">
        <v>12</v>
      </c>
      <c r="M753" s="7"/>
      <c r="N753" s="12" t="s">
        <v>20</v>
      </c>
      <c r="O753" s="12" t="s">
        <v>16</v>
      </c>
      <c r="P753" s="57" t="str">
        <f t="shared" si="33"/>
        <v>un fuste</v>
      </c>
      <c r="Q753">
        <f t="shared" si="34"/>
        <v>12.5</v>
      </c>
      <c r="R753">
        <f t="shared" si="35"/>
        <v>5</v>
      </c>
    </row>
    <row r="754" spans="1:21" x14ac:dyDescent="0.25">
      <c r="A754" s="7">
        <v>4</v>
      </c>
      <c r="B754" s="7">
        <v>500</v>
      </c>
      <c r="C754" s="8">
        <v>2</v>
      </c>
      <c r="D754" s="8">
        <v>30</v>
      </c>
      <c r="E754" s="8">
        <v>31</v>
      </c>
      <c r="F754" s="9" t="s">
        <v>17</v>
      </c>
      <c r="G754" s="13" t="s">
        <v>150</v>
      </c>
      <c r="H754" s="11" t="s">
        <v>151</v>
      </c>
      <c r="I754" s="7">
        <v>40</v>
      </c>
      <c r="J754" s="15">
        <v>12.732395447351628</v>
      </c>
      <c r="K754" s="7">
        <v>5</v>
      </c>
      <c r="L754" s="7">
        <v>13</v>
      </c>
      <c r="M754" s="7"/>
      <c r="N754" s="12" t="s">
        <v>20</v>
      </c>
      <c r="O754" s="12" t="s">
        <v>16</v>
      </c>
      <c r="P754" s="57" t="str">
        <f t="shared" si="33"/>
        <v>un fuste</v>
      </c>
      <c r="Q754">
        <f t="shared" si="34"/>
        <v>12.5</v>
      </c>
      <c r="R754">
        <f t="shared" si="35"/>
        <v>15</v>
      </c>
      <c r="S754">
        <v>4</v>
      </c>
      <c r="T754" t="s">
        <v>269</v>
      </c>
      <c r="U754">
        <v>9.9641192058036815E-2</v>
      </c>
    </row>
    <row r="755" spans="1:21" x14ac:dyDescent="0.25">
      <c r="A755" s="7">
        <v>5</v>
      </c>
      <c r="B755" s="7">
        <v>100</v>
      </c>
      <c r="C755" s="7">
        <v>4</v>
      </c>
      <c r="D755" s="8">
        <v>32</v>
      </c>
      <c r="E755" s="7">
        <v>34</v>
      </c>
      <c r="F755" s="9" t="s">
        <v>17</v>
      </c>
      <c r="G755" s="10" t="s">
        <v>150</v>
      </c>
      <c r="H755" s="11" t="s">
        <v>151</v>
      </c>
      <c r="I755" s="7">
        <v>23.5</v>
      </c>
      <c r="J755" s="15">
        <v>7.4802823253190809</v>
      </c>
      <c r="K755" s="7">
        <v>5</v>
      </c>
      <c r="L755" s="7">
        <v>12</v>
      </c>
      <c r="M755" s="7"/>
      <c r="N755" s="12" t="s">
        <v>20</v>
      </c>
      <c r="O755" s="12" t="s">
        <v>16</v>
      </c>
      <c r="P755" s="57" t="str">
        <f t="shared" si="33"/>
        <v>un fuste</v>
      </c>
      <c r="Q755">
        <f t="shared" si="34"/>
        <v>12.5</v>
      </c>
      <c r="R755">
        <f t="shared" si="35"/>
        <v>5</v>
      </c>
    </row>
    <row r="756" spans="1:21" x14ac:dyDescent="0.25">
      <c r="A756" s="7">
        <v>4</v>
      </c>
      <c r="B756" s="7">
        <v>500</v>
      </c>
      <c r="C756" s="8">
        <v>3</v>
      </c>
      <c r="D756" s="8">
        <v>34</v>
      </c>
      <c r="E756" s="8">
        <v>35</v>
      </c>
      <c r="F756" s="9" t="s">
        <v>17</v>
      </c>
      <c r="G756" s="13" t="s">
        <v>150</v>
      </c>
      <c r="H756" s="11" t="s">
        <v>151</v>
      </c>
      <c r="I756" s="7">
        <v>32</v>
      </c>
      <c r="J756" s="15">
        <v>10.185916357881302</v>
      </c>
      <c r="K756" s="7">
        <v>6</v>
      </c>
      <c r="L756" s="7">
        <v>7</v>
      </c>
      <c r="M756" s="7"/>
      <c r="N756" s="12" t="s">
        <v>20</v>
      </c>
      <c r="O756" s="12" t="s">
        <v>16</v>
      </c>
      <c r="P756" s="57" t="str">
        <f t="shared" si="33"/>
        <v>un fuste</v>
      </c>
      <c r="Q756">
        <f t="shared" si="34"/>
        <v>7.5</v>
      </c>
      <c r="R756">
        <f t="shared" si="35"/>
        <v>10</v>
      </c>
      <c r="S756">
        <v>4</v>
      </c>
      <c r="T756" t="s">
        <v>269</v>
      </c>
      <c r="U756">
        <v>3.4953068925715002E-2</v>
      </c>
    </row>
    <row r="757" spans="1:21" x14ac:dyDescent="0.25">
      <c r="A757" s="7">
        <v>4</v>
      </c>
      <c r="B757" s="7">
        <v>500</v>
      </c>
      <c r="C757" s="8">
        <v>3</v>
      </c>
      <c r="D757" s="8">
        <v>35</v>
      </c>
      <c r="E757" s="8">
        <v>36</v>
      </c>
      <c r="F757" s="9" t="s">
        <v>17</v>
      </c>
      <c r="G757" s="13" t="s">
        <v>150</v>
      </c>
      <c r="H757" s="14" t="s">
        <v>151</v>
      </c>
      <c r="I757" s="8">
        <v>40</v>
      </c>
      <c r="J757" s="15">
        <v>12.732395447351628</v>
      </c>
      <c r="K757" s="8">
        <v>8.5</v>
      </c>
      <c r="L757" s="8">
        <v>12</v>
      </c>
      <c r="M757" s="7"/>
      <c r="N757" s="12" t="s">
        <v>20</v>
      </c>
      <c r="O757" s="12" t="s">
        <v>16</v>
      </c>
      <c r="P757" s="57" t="str">
        <f t="shared" si="33"/>
        <v>un fuste</v>
      </c>
      <c r="Q757">
        <f t="shared" si="34"/>
        <v>12.5</v>
      </c>
      <c r="R757">
        <f t="shared" si="35"/>
        <v>15</v>
      </c>
      <c r="S757">
        <v>4</v>
      </c>
      <c r="T757" t="s">
        <v>269</v>
      </c>
      <c r="U757">
        <v>9.1839790546696887E-2</v>
      </c>
    </row>
    <row r="758" spans="1:21" x14ac:dyDescent="0.25">
      <c r="A758" s="7">
        <v>11</v>
      </c>
      <c r="B758" s="7">
        <v>100</v>
      </c>
      <c r="C758" s="8">
        <v>4</v>
      </c>
      <c r="D758" s="8">
        <v>36</v>
      </c>
      <c r="E758" s="8">
        <v>36</v>
      </c>
      <c r="F758" s="9" t="s">
        <v>17</v>
      </c>
      <c r="G758" s="10" t="s">
        <v>150</v>
      </c>
      <c r="H758" s="11" t="s">
        <v>151</v>
      </c>
      <c r="I758" s="7">
        <v>16.5</v>
      </c>
      <c r="J758" s="15">
        <v>5.2521131220325463</v>
      </c>
      <c r="K758" s="7">
        <v>7</v>
      </c>
      <c r="L758" s="8">
        <v>9</v>
      </c>
      <c r="M758" s="7"/>
      <c r="N758" s="12" t="s">
        <v>20</v>
      </c>
      <c r="O758" s="12" t="s">
        <v>16</v>
      </c>
      <c r="P758" s="57" t="str">
        <f t="shared" si="33"/>
        <v>un fuste</v>
      </c>
      <c r="Q758">
        <f t="shared" si="34"/>
        <v>10</v>
      </c>
      <c r="R758">
        <f t="shared" si="35"/>
        <v>5</v>
      </c>
    </row>
    <row r="759" spans="1:21" x14ac:dyDescent="0.25">
      <c r="A759" s="7">
        <v>8</v>
      </c>
      <c r="B759" s="7">
        <v>500</v>
      </c>
      <c r="C759" s="8">
        <v>3</v>
      </c>
      <c r="D759" s="8">
        <v>39</v>
      </c>
      <c r="E759" s="8">
        <v>44</v>
      </c>
      <c r="F759" s="9" t="s">
        <v>17</v>
      </c>
      <c r="G759" s="10" t="s">
        <v>150</v>
      </c>
      <c r="H759" s="11" t="s">
        <v>151</v>
      </c>
      <c r="I759" s="7">
        <v>37.5</v>
      </c>
      <c r="J759" s="15">
        <v>11.93662073189215</v>
      </c>
      <c r="K759" s="7">
        <v>7</v>
      </c>
      <c r="L759" s="7">
        <v>14</v>
      </c>
      <c r="M759" s="7"/>
      <c r="N759" s="12" t="s">
        <v>20</v>
      </c>
      <c r="O759" s="12" t="s">
        <v>209</v>
      </c>
      <c r="P759" s="57" t="str">
        <f t="shared" si="33"/>
        <v>un fuste</v>
      </c>
      <c r="Q759">
        <f t="shared" si="34"/>
        <v>15</v>
      </c>
      <c r="R759">
        <f t="shared" si="35"/>
        <v>10</v>
      </c>
      <c r="S759">
        <v>4</v>
      </c>
      <c r="T759" t="s">
        <v>269</v>
      </c>
      <c r="U759">
        <v>9.5244393166173807E-2</v>
      </c>
    </row>
    <row r="760" spans="1:21" x14ac:dyDescent="0.25">
      <c r="A760" s="7">
        <v>8</v>
      </c>
      <c r="B760" s="7">
        <v>500</v>
      </c>
      <c r="C760" s="7">
        <v>3</v>
      </c>
      <c r="D760" s="8">
        <v>41</v>
      </c>
      <c r="E760" s="7">
        <v>46</v>
      </c>
      <c r="F760" s="9" t="s">
        <v>17</v>
      </c>
      <c r="G760" s="13" t="s">
        <v>150</v>
      </c>
      <c r="H760" s="11" t="s">
        <v>151</v>
      </c>
      <c r="I760" s="7">
        <v>41</v>
      </c>
      <c r="J760" s="15">
        <v>13.050705333535419</v>
      </c>
      <c r="K760" s="7">
        <v>8</v>
      </c>
      <c r="L760" s="7">
        <v>13</v>
      </c>
      <c r="M760" s="7"/>
      <c r="N760" s="12" t="s">
        <v>20</v>
      </c>
      <c r="O760" s="12" t="s">
        <v>16</v>
      </c>
      <c r="P760" s="57" t="str">
        <f t="shared" si="33"/>
        <v>un fuste</v>
      </c>
      <c r="Q760">
        <f t="shared" si="34"/>
        <v>12.5</v>
      </c>
      <c r="R760">
        <f t="shared" si="35"/>
        <v>15</v>
      </c>
      <c r="S760">
        <v>4</v>
      </c>
      <c r="T760" t="s">
        <v>269</v>
      </c>
      <c r="U760">
        <v>0.1043471255335823</v>
      </c>
    </row>
    <row r="761" spans="1:21" x14ac:dyDescent="0.25">
      <c r="A761" s="7">
        <v>1</v>
      </c>
      <c r="B761" s="7">
        <v>100</v>
      </c>
      <c r="C761" s="7">
        <v>2</v>
      </c>
      <c r="D761" s="8">
        <v>10</v>
      </c>
      <c r="E761" s="7">
        <v>10</v>
      </c>
      <c r="F761" s="9" t="s">
        <v>17</v>
      </c>
      <c r="G761" s="13" t="s">
        <v>56</v>
      </c>
      <c r="H761" s="11" t="s">
        <v>57</v>
      </c>
      <c r="I761" s="7">
        <v>25</v>
      </c>
      <c r="J761" s="15">
        <v>7.9577471545947667</v>
      </c>
      <c r="K761" s="7">
        <v>6</v>
      </c>
      <c r="L761" s="7">
        <v>9</v>
      </c>
      <c r="M761" s="7"/>
      <c r="N761" s="12" t="s">
        <v>20</v>
      </c>
      <c r="O761" s="12" t="s">
        <v>16</v>
      </c>
      <c r="P761" s="57" t="str">
        <f t="shared" si="33"/>
        <v>un fuste</v>
      </c>
      <c r="Q761">
        <f t="shared" si="34"/>
        <v>10</v>
      </c>
      <c r="R761">
        <f t="shared" si="35"/>
        <v>10</v>
      </c>
    </row>
    <row r="762" spans="1:21" x14ac:dyDescent="0.25">
      <c r="A762" s="7">
        <v>1</v>
      </c>
      <c r="B762" s="7">
        <v>500</v>
      </c>
      <c r="C762" s="7">
        <v>2</v>
      </c>
      <c r="D762" s="8">
        <v>10</v>
      </c>
      <c r="E762" s="7">
        <v>11</v>
      </c>
      <c r="F762" s="9" t="s">
        <v>17</v>
      </c>
      <c r="G762" s="13" t="s">
        <v>56</v>
      </c>
      <c r="H762" s="14" t="s">
        <v>57</v>
      </c>
      <c r="I762" s="7">
        <v>43</v>
      </c>
      <c r="J762" s="15">
        <v>13.687325105903</v>
      </c>
      <c r="K762" s="7">
        <v>1.6</v>
      </c>
      <c r="L762" s="7">
        <v>6</v>
      </c>
      <c r="M762" s="7"/>
      <c r="N762" s="12" t="s">
        <v>20</v>
      </c>
      <c r="O762" s="12" t="s">
        <v>39</v>
      </c>
      <c r="P762" s="57" t="str">
        <f t="shared" si="33"/>
        <v>un fuste</v>
      </c>
      <c r="Q762">
        <f t="shared" si="34"/>
        <v>5</v>
      </c>
      <c r="R762">
        <f t="shared" si="35"/>
        <v>15</v>
      </c>
      <c r="S762">
        <v>5</v>
      </c>
      <c r="T762" t="s">
        <v>271</v>
      </c>
      <c r="U762">
        <v>5.2792490896479499E-2</v>
      </c>
    </row>
    <row r="763" spans="1:21" x14ac:dyDescent="0.25">
      <c r="A763" s="7">
        <v>1</v>
      </c>
      <c r="B763" s="7">
        <v>100</v>
      </c>
      <c r="C763" s="7">
        <v>3</v>
      </c>
      <c r="D763" s="8">
        <v>20</v>
      </c>
      <c r="E763" s="7">
        <v>20</v>
      </c>
      <c r="F763" s="9" t="s">
        <v>17</v>
      </c>
      <c r="G763" s="13" t="s">
        <v>56</v>
      </c>
      <c r="H763" s="11" t="s">
        <v>57</v>
      </c>
      <c r="I763" s="7">
        <v>18</v>
      </c>
      <c r="J763" s="15">
        <v>5.7295779513082321</v>
      </c>
      <c r="K763" s="7">
        <v>5</v>
      </c>
      <c r="L763" s="7">
        <v>12</v>
      </c>
      <c r="M763" s="7"/>
      <c r="N763" s="12" t="s">
        <v>20</v>
      </c>
      <c r="O763" s="12" t="s">
        <v>16</v>
      </c>
      <c r="P763" s="57" t="str">
        <f t="shared" si="33"/>
        <v>un fuste</v>
      </c>
      <c r="Q763">
        <f t="shared" si="34"/>
        <v>12.5</v>
      </c>
      <c r="R763">
        <f t="shared" si="35"/>
        <v>5</v>
      </c>
    </row>
    <row r="764" spans="1:21" x14ac:dyDescent="0.25">
      <c r="A764" s="7">
        <v>9</v>
      </c>
      <c r="B764" s="7">
        <v>100</v>
      </c>
      <c r="C764" s="7">
        <v>4</v>
      </c>
      <c r="D764" s="8">
        <v>41</v>
      </c>
      <c r="E764" s="8">
        <v>41</v>
      </c>
      <c r="F764" s="9" t="s">
        <v>17</v>
      </c>
      <c r="G764" s="13" t="s">
        <v>56</v>
      </c>
      <c r="H764" s="11" t="s">
        <v>57</v>
      </c>
      <c r="I764" s="7">
        <v>17</v>
      </c>
      <c r="J764" s="15">
        <v>5.4112680651244416</v>
      </c>
      <c r="K764" s="7">
        <v>5</v>
      </c>
      <c r="L764" s="7">
        <v>9</v>
      </c>
      <c r="M764" s="7"/>
      <c r="N764" s="12" t="s">
        <v>20</v>
      </c>
      <c r="O764" s="12" t="s">
        <v>16</v>
      </c>
      <c r="P764" s="57" t="str">
        <f t="shared" si="33"/>
        <v>un fuste</v>
      </c>
      <c r="Q764">
        <f t="shared" si="34"/>
        <v>10</v>
      </c>
      <c r="R764">
        <f t="shared" si="35"/>
        <v>5</v>
      </c>
    </row>
    <row r="765" spans="1:21" x14ac:dyDescent="0.25">
      <c r="A765" s="7">
        <v>9</v>
      </c>
      <c r="B765" s="7">
        <v>100</v>
      </c>
      <c r="C765" s="8">
        <v>4</v>
      </c>
      <c r="D765" s="8">
        <v>46</v>
      </c>
      <c r="E765" s="8">
        <v>46</v>
      </c>
      <c r="F765" s="9" t="s">
        <v>17</v>
      </c>
      <c r="G765" s="13" t="s">
        <v>56</v>
      </c>
      <c r="H765" s="14" t="s">
        <v>57</v>
      </c>
      <c r="I765" s="7">
        <v>17.5</v>
      </c>
      <c r="J765" s="15">
        <v>5.5704230082163368</v>
      </c>
      <c r="K765" s="7">
        <v>8</v>
      </c>
      <c r="L765" s="7">
        <v>10</v>
      </c>
      <c r="M765" s="7"/>
      <c r="N765" s="12" t="s">
        <v>20</v>
      </c>
      <c r="O765" s="12" t="s">
        <v>16</v>
      </c>
      <c r="P765" s="57" t="str">
        <f t="shared" si="33"/>
        <v>un fuste</v>
      </c>
      <c r="Q765">
        <f t="shared" si="34"/>
        <v>10</v>
      </c>
      <c r="R765">
        <f t="shared" si="35"/>
        <v>5</v>
      </c>
    </row>
    <row r="766" spans="1:21" x14ac:dyDescent="0.25">
      <c r="A766" s="7">
        <v>6</v>
      </c>
      <c r="B766" s="7">
        <v>500</v>
      </c>
      <c r="C766" s="8">
        <v>4</v>
      </c>
      <c r="D766" s="8">
        <v>17</v>
      </c>
      <c r="E766" s="8">
        <v>18</v>
      </c>
      <c r="F766" s="9" t="s">
        <v>176</v>
      </c>
      <c r="G766" s="10" t="s">
        <v>289</v>
      </c>
      <c r="H766" s="11" t="s">
        <v>290</v>
      </c>
      <c r="I766" s="7">
        <v>33.5</v>
      </c>
      <c r="J766" s="15">
        <v>10.663381187156988</v>
      </c>
      <c r="K766" s="7">
        <v>3.5</v>
      </c>
      <c r="L766" s="8">
        <v>10</v>
      </c>
      <c r="M766" s="7"/>
      <c r="N766" s="12" t="s">
        <v>20</v>
      </c>
      <c r="O766" s="12" t="s">
        <v>16</v>
      </c>
      <c r="P766" s="57" t="str">
        <f t="shared" si="33"/>
        <v>un fuste</v>
      </c>
      <c r="Q766">
        <f t="shared" si="34"/>
        <v>10</v>
      </c>
      <c r="R766">
        <f t="shared" si="35"/>
        <v>10</v>
      </c>
      <c r="S766">
        <v>14</v>
      </c>
      <c r="T766" t="s">
        <v>273</v>
      </c>
      <c r="U766">
        <v>5.760246666265334E-2</v>
      </c>
    </row>
    <row r="767" spans="1:21" x14ac:dyDescent="0.25">
      <c r="A767" s="7">
        <v>1</v>
      </c>
      <c r="B767" s="7">
        <v>100</v>
      </c>
      <c r="C767" s="8">
        <v>4</v>
      </c>
      <c r="D767" s="8">
        <v>25</v>
      </c>
      <c r="E767" s="8">
        <v>25</v>
      </c>
      <c r="F767" s="17" t="s">
        <v>17</v>
      </c>
      <c r="G767" s="10" t="s">
        <v>79</v>
      </c>
      <c r="H767" s="11" t="s">
        <v>80</v>
      </c>
      <c r="I767" s="7">
        <v>17</v>
      </c>
      <c r="J767" s="15">
        <v>5.4112680651244416</v>
      </c>
      <c r="K767" s="7">
        <v>3</v>
      </c>
      <c r="L767" s="8">
        <v>9</v>
      </c>
      <c r="M767" s="7"/>
      <c r="N767" s="12" t="s">
        <v>20</v>
      </c>
      <c r="O767" s="12" t="s">
        <v>16</v>
      </c>
      <c r="P767" s="57" t="str">
        <f t="shared" si="33"/>
        <v>un fuste</v>
      </c>
      <c r="Q767">
        <f t="shared" si="34"/>
        <v>10</v>
      </c>
      <c r="R767">
        <f t="shared" si="35"/>
        <v>5</v>
      </c>
    </row>
    <row r="768" spans="1:21" x14ac:dyDescent="0.25">
      <c r="A768" s="7">
        <v>8</v>
      </c>
      <c r="B768" s="7">
        <v>500</v>
      </c>
      <c r="C768" s="8">
        <v>1</v>
      </c>
      <c r="D768" s="8">
        <v>8</v>
      </c>
      <c r="E768" s="8">
        <v>9</v>
      </c>
      <c r="F768" s="9" t="s">
        <v>33</v>
      </c>
      <c r="G768" s="10" t="s">
        <v>186</v>
      </c>
      <c r="H768" s="11" t="s">
        <v>187</v>
      </c>
      <c r="I768" s="7">
        <v>40</v>
      </c>
      <c r="J768" s="15">
        <v>12.732395447351628</v>
      </c>
      <c r="K768" s="7">
        <v>1.9</v>
      </c>
      <c r="L768" s="8">
        <v>5</v>
      </c>
      <c r="M768" s="7"/>
      <c r="N768" s="12" t="s">
        <v>35</v>
      </c>
      <c r="O768" s="12" t="s">
        <v>16</v>
      </c>
      <c r="P768" s="57" t="str">
        <f t="shared" si="33"/>
        <v>un fuste</v>
      </c>
      <c r="Q768">
        <f t="shared" si="34"/>
        <v>5</v>
      </c>
      <c r="R768">
        <f t="shared" si="35"/>
        <v>15</v>
      </c>
    </row>
    <row r="769" spans="1:21" x14ac:dyDescent="0.25">
      <c r="A769" s="7">
        <v>10</v>
      </c>
      <c r="B769" s="7">
        <v>5</v>
      </c>
      <c r="C769" s="8"/>
      <c r="D769" s="8">
        <v>18</v>
      </c>
      <c r="E769" s="8">
        <v>18</v>
      </c>
      <c r="F769" s="9" t="s">
        <v>168</v>
      </c>
      <c r="G769" s="13" t="s">
        <v>169</v>
      </c>
      <c r="H769" s="11" t="s">
        <v>170</v>
      </c>
      <c r="I769" s="7"/>
      <c r="J769" s="7"/>
      <c r="K769" s="7"/>
      <c r="L769" s="7">
        <v>0.1</v>
      </c>
      <c r="M769" s="7" t="e">
        <v>#REF!</v>
      </c>
      <c r="N769" s="12"/>
      <c r="O769" s="12" t="s">
        <v>16</v>
      </c>
      <c r="P769" s="57" t="str">
        <f t="shared" si="33"/>
        <v>un fuste</v>
      </c>
      <c r="Q769">
        <f t="shared" si="34"/>
        <v>2.5</v>
      </c>
      <c r="R769">
        <f t="shared" si="35"/>
        <v>5</v>
      </c>
    </row>
    <row r="770" spans="1:21" x14ac:dyDescent="0.25">
      <c r="A770" s="7">
        <v>10</v>
      </c>
      <c r="B770" s="7">
        <v>5</v>
      </c>
      <c r="C770" s="8"/>
      <c r="D770" s="8">
        <v>19</v>
      </c>
      <c r="E770" s="8">
        <v>19</v>
      </c>
      <c r="F770" s="9" t="s">
        <v>168</v>
      </c>
      <c r="G770" s="13" t="s">
        <v>169</v>
      </c>
      <c r="H770" s="11" t="s">
        <v>170</v>
      </c>
      <c r="I770" s="7"/>
      <c r="J770" s="7"/>
      <c r="K770" s="7"/>
      <c r="L770" s="7">
        <v>0.6</v>
      </c>
      <c r="M770" s="7" t="e">
        <v>#REF!</v>
      </c>
      <c r="N770" s="12"/>
      <c r="O770" s="12" t="s">
        <v>16</v>
      </c>
      <c r="P770" s="57" t="str">
        <f t="shared" si="33"/>
        <v>un fuste</v>
      </c>
      <c r="Q770">
        <f t="shared" si="34"/>
        <v>2.5</v>
      </c>
      <c r="R770">
        <f t="shared" si="35"/>
        <v>5</v>
      </c>
    </row>
    <row r="771" spans="1:21" x14ac:dyDescent="0.25">
      <c r="A771" s="7">
        <v>8</v>
      </c>
      <c r="B771" s="7">
        <v>500</v>
      </c>
      <c r="C771" s="7">
        <v>1</v>
      </c>
      <c r="D771" s="8">
        <v>3</v>
      </c>
      <c r="E771" s="7">
        <v>3</v>
      </c>
      <c r="F771" s="9" t="s">
        <v>105</v>
      </c>
      <c r="G771" s="10" t="s">
        <v>106</v>
      </c>
      <c r="H771" s="11" t="s">
        <v>107</v>
      </c>
      <c r="I771" s="7">
        <v>49</v>
      </c>
      <c r="J771" s="15">
        <v>15.597184423005743</v>
      </c>
      <c r="K771" s="7">
        <v>8</v>
      </c>
      <c r="L771" s="7">
        <v>10</v>
      </c>
      <c r="M771" s="7"/>
      <c r="N771" s="12" t="s">
        <v>20</v>
      </c>
      <c r="O771" s="12" t="s">
        <v>16</v>
      </c>
      <c r="P771" s="57" t="str">
        <f t="shared" ref="P771:P834" si="36">IF((D771/D771)=1,"un fuste","bifurcado")</f>
        <v>un fuste</v>
      </c>
      <c r="Q771">
        <f t="shared" ref="Q771:Q834" si="37">IF(L771&lt;3.75,2.5,IF(L771&lt;6.25,5,IF(L771&lt;8.74,7.5,IF(L771&lt;11.24,10,IF(L771&lt;13.75,12.5,IF(L771&lt;16.25,15,IF(L771&lt;18.75,17.5,IF(L771&lt;21.25,20,IF(L771&lt;23.75,22.5,IF(L771&lt;26.25,25,IF(L771&lt;28.75,27.5,IF(L771&lt;31.25,30,IF(L771&lt;33.75,32.5,IF(L771&lt;36.25,35,IF(L771&lt;38.75,37.5,IF(L771&lt;41.24,40,IF(L771&lt;43.75,42.5,IF(L771&lt;46.25,45," "))))))))))))))))))</f>
        <v>10</v>
      </c>
      <c r="R771">
        <f t="shared" ref="R771:R834" si="38">IF(J771&lt;7.5,5,IF(J771&lt;12.5,10,IF(J771&lt;17.5,15,IF(J771&lt;22.5,20,IF(J771&lt;27.5,25,IF(J771&lt;32.5,30,IF(J771&lt;37.5,35,IF(J771&lt;42.5,40,IF(J771&lt;47.5,45,IF(J771&lt;52.5,50,IF(J771&lt;57.5,55,0)))))))))))</f>
        <v>15</v>
      </c>
      <c r="S771">
        <v>13</v>
      </c>
      <c r="T771" t="s">
        <v>272</v>
      </c>
      <c r="U771">
        <v>0.1067426174866082</v>
      </c>
    </row>
    <row r="772" spans="1:21" x14ac:dyDescent="0.25">
      <c r="A772" s="7">
        <v>4</v>
      </c>
      <c r="B772" s="7">
        <v>500</v>
      </c>
      <c r="C772" s="7">
        <v>2</v>
      </c>
      <c r="D772" s="8">
        <v>27</v>
      </c>
      <c r="E772" s="7">
        <v>28</v>
      </c>
      <c r="F772" s="9" t="s">
        <v>105</v>
      </c>
      <c r="G772" s="13" t="s">
        <v>106</v>
      </c>
      <c r="H772" s="11" t="s">
        <v>107</v>
      </c>
      <c r="I772" s="7">
        <v>32.5</v>
      </c>
      <c r="J772" s="15">
        <v>10.345071300973197</v>
      </c>
      <c r="K772" s="7">
        <v>3</v>
      </c>
      <c r="L772" s="7">
        <v>8</v>
      </c>
      <c r="M772" s="7"/>
      <c r="N772" s="12" t="s">
        <v>20</v>
      </c>
      <c r="O772" s="12" t="s">
        <v>39</v>
      </c>
      <c r="P772" s="57" t="str">
        <f t="shared" si="36"/>
        <v>un fuste</v>
      </c>
      <c r="Q772">
        <f t="shared" si="37"/>
        <v>7.5</v>
      </c>
      <c r="R772">
        <f t="shared" si="38"/>
        <v>10</v>
      </c>
      <c r="S772">
        <v>13</v>
      </c>
      <c r="T772" t="s">
        <v>272</v>
      </c>
      <c r="U772">
        <v>3.8682617447481221E-2</v>
      </c>
    </row>
    <row r="773" spans="1:21" x14ac:dyDescent="0.25">
      <c r="A773" s="7">
        <v>11</v>
      </c>
      <c r="B773" s="7">
        <v>100</v>
      </c>
      <c r="C773" s="8">
        <v>3</v>
      </c>
      <c r="D773" s="8">
        <v>28</v>
      </c>
      <c r="E773" s="8">
        <v>28</v>
      </c>
      <c r="F773" s="9" t="s">
        <v>105</v>
      </c>
      <c r="G773" s="10" t="s">
        <v>106</v>
      </c>
      <c r="H773" s="11" t="s">
        <v>107</v>
      </c>
      <c r="I773" s="8">
        <v>27</v>
      </c>
      <c r="J773" s="15">
        <v>8.5943669269623477</v>
      </c>
      <c r="K773" s="8">
        <v>7</v>
      </c>
      <c r="L773" s="8">
        <v>12</v>
      </c>
      <c r="M773" s="7"/>
      <c r="N773" s="12" t="s">
        <v>20</v>
      </c>
      <c r="O773" s="12" t="s">
        <v>16</v>
      </c>
      <c r="P773" s="57" t="str">
        <f t="shared" si="36"/>
        <v>un fuste</v>
      </c>
      <c r="Q773">
        <f t="shared" si="37"/>
        <v>12.5</v>
      </c>
      <c r="R773">
        <f t="shared" si="38"/>
        <v>10</v>
      </c>
    </row>
    <row r="774" spans="1:21" x14ac:dyDescent="0.25">
      <c r="A774" s="7">
        <v>2</v>
      </c>
      <c r="B774" s="7">
        <v>500</v>
      </c>
      <c r="C774" s="7">
        <v>2</v>
      </c>
      <c r="D774" s="8">
        <v>30</v>
      </c>
      <c r="E774" s="7">
        <v>31</v>
      </c>
      <c r="F774" s="9" t="s">
        <v>105</v>
      </c>
      <c r="G774" s="13" t="s">
        <v>106</v>
      </c>
      <c r="H774" s="11" t="s">
        <v>107</v>
      </c>
      <c r="I774" s="7">
        <v>52.5</v>
      </c>
      <c r="J774" s="15">
        <v>16.71126902464901</v>
      </c>
      <c r="K774" s="7">
        <v>7</v>
      </c>
      <c r="L774" s="7">
        <v>13</v>
      </c>
      <c r="M774" s="7"/>
      <c r="N774" s="12" t="s">
        <v>20</v>
      </c>
      <c r="O774" s="12" t="s">
        <v>16</v>
      </c>
      <c r="P774" s="57" t="str">
        <f t="shared" si="36"/>
        <v>un fuste</v>
      </c>
      <c r="Q774">
        <f t="shared" si="37"/>
        <v>12.5</v>
      </c>
      <c r="R774">
        <f t="shared" si="38"/>
        <v>15</v>
      </c>
      <c r="S774">
        <v>13</v>
      </c>
      <c r="T774" t="s">
        <v>272</v>
      </c>
      <c r="U774">
        <v>0.15861611605268491</v>
      </c>
    </row>
    <row r="775" spans="1:21" x14ac:dyDescent="0.25">
      <c r="A775" s="7">
        <v>7</v>
      </c>
      <c r="B775" s="7">
        <v>500</v>
      </c>
      <c r="C775" s="8">
        <v>4</v>
      </c>
      <c r="D775" s="8">
        <v>36</v>
      </c>
      <c r="E775" s="8">
        <v>39</v>
      </c>
      <c r="F775" s="9" t="s">
        <v>105</v>
      </c>
      <c r="G775" s="13" t="s">
        <v>106</v>
      </c>
      <c r="H775" s="11" t="s">
        <v>107</v>
      </c>
      <c r="I775" s="7">
        <v>32</v>
      </c>
      <c r="J775" s="15">
        <v>10.185916357881302</v>
      </c>
      <c r="K775" s="7">
        <v>5</v>
      </c>
      <c r="L775" s="7">
        <v>10</v>
      </c>
      <c r="M775" s="7"/>
      <c r="N775" s="12" t="s">
        <v>20</v>
      </c>
      <c r="O775" s="12" t="s">
        <v>16</v>
      </c>
      <c r="P775" s="57" t="str">
        <f t="shared" si="36"/>
        <v>un fuste</v>
      </c>
      <c r="Q775">
        <f t="shared" si="37"/>
        <v>10</v>
      </c>
      <c r="R775">
        <f t="shared" si="38"/>
        <v>10</v>
      </c>
      <c r="S775">
        <v>13</v>
      </c>
      <c r="T775" t="s">
        <v>272</v>
      </c>
      <c r="U775">
        <v>4.6959494047362563E-2</v>
      </c>
    </row>
    <row r="776" spans="1:21" x14ac:dyDescent="0.25">
      <c r="A776" s="7">
        <v>7</v>
      </c>
      <c r="B776" s="7">
        <v>500</v>
      </c>
      <c r="C776" s="8">
        <v>4</v>
      </c>
      <c r="D776" s="8">
        <v>37</v>
      </c>
      <c r="E776" s="8">
        <v>40</v>
      </c>
      <c r="F776" s="9" t="s">
        <v>105</v>
      </c>
      <c r="G776" s="10" t="s">
        <v>106</v>
      </c>
      <c r="H776" s="11" t="s">
        <v>107</v>
      </c>
      <c r="I776" s="7">
        <v>33</v>
      </c>
      <c r="J776" s="15">
        <v>10.504226244065093</v>
      </c>
      <c r="K776" s="7">
        <v>8</v>
      </c>
      <c r="L776" s="7">
        <v>12</v>
      </c>
      <c r="M776" s="7"/>
      <c r="N776" s="12" t="s">
        <v>20</v>
      </c>
      <c r="O776" s="12" t="s">
        <v>16</v>
      </c>
      <c r="P776" s="57" t="str">
        <f t="shared" si="36"/>
        <v>un fuste</v>
      </c>
      <c r="Q776">
        <f t="shared" si="37"/>
        <v>12.5</v>
      </c>
      <c r="R776">
        <f t="shared" si="38"/>
        <v>10</v>
      </c>
      <c r="S776">
        <v>13</v>
      </c>
      <c r="T776" t="s">
        <v>272</v>
      </c>
      <c r="U776">
        <v>5.9825040252638385E-2</v>
      </c>
    </row>
    <row r="777" spans="1:21" x14ac:dyDescent="0.25">
      <c r="A777" s="7">
        <v>3</v>
      </c>
      <c r="B777" s="7">
        <v>500</v>
      </c>
      <c r="C777" s="8">
        <v>4</v>
      </c>
      <c r="D777" s="8">
        <v>50</v>
      </c>
      <c r="E777" s="8">
        <v>59</v>
      </c>
      <c r="F777" s="9" t="s">
        <v>105</v>
      </c>
      <c r="G777" s="13" t="s">
        <v>106</v>
      </c>
      <c r="H777" s="11" t="s">
        <v>107</v>
      </c>
      <c r="I777" s="8">
        <v>43</v>
      </c>
      <c r="J777" s="15">
        <v>13.687325105903</v>
      </c>
      <c r="K777" s="8">
        <v>6</v>
      </c>
      <c r="L777" s="8">
        <v>12</v>
      </c>
      <c r="M777" s="7"/>
      <c r="N777" s="12" t="s">
        <v>20</v>
      </c>
      <c r="O777" s="12" t="s">
        <v>16</v>
      </c>
      <c r="P777" s="57" t="str">
        <f t="shared" si="36"/>
        <v>un fuste</v>
      </c>
      <c r="Q777">
        <f t="shared" si="37"/>
        <v>12.5</v>
      </c>
      <c r="R777">
        <f t="shared" si="38"/>
        <v>15</v>
      </c>
      <c r="S777">
        <v>13</v>
      </c>
      <c r="T777" t="s">
        <v>272</v>
      </c>
      <c r="U777">
        <v>9.9636706000216499E-2</v>
      </c>
    </row>
    <row r="778" spans="1:21" x14ac:dyDescent="0.25">
      <c r="A778" s="7">
        <v>10</v>
      </c>
      <c r="B778" s="7">
        <v>5</v>
      </c>
      <c r="C778" s="8"/>
      <c r="D778" s="8">
        <v>20</v>
      </c>
      <c r="E778" s="8">
        <v>20</v>
      </c>
      <c r="F778" s="9" t="s">
        <v>168</v>
      </c>
      <c r="G778" s="10" t="s">
        <v>169</v>
      </c>
      <c r="H778" s="11" t="s">
        <v>170</v>
      </c>
      <c r="I778" s="8"/>
      <c r="J778" s="7"/>
      <c r="K778" s="8"/>
      <c r="L778" s="8">
        <v>0.4</v>
      </c>
      <c r="M778" s="7" t="e">
        <v>#REF!</v>
      </c>
      <c r="N778" s="12"/>
      <c r="O778" s="12" t="s">
        <v>16</v>
      </c>
      <c r="P778" s="57" t="str">
        <f t="shared" si="36"/>
        <v>un fuste</v>
      </c>
      <c r="Q778">
        <f t="shared" si="37"/>
        <v>2.5</v>
      </c>
      <c r="R778">
        <f t="shared" si="38"/>
        <v>5</v>
      </c>
    </row>
    <row r="779" spans="1:21" x14ac:dyDescent="0.25">
      <c r="A779" s="7">
        <v>10</v>
      </c>
      <c r="B779" s="7">
        <v>5</v>
      </c>
      <c r="C779" s="8"/>
      <c r="D779" s="7">
        <v>21</v>
      </c>
      <c r="E779" s="7">
        <v>21</v>
      </c>
      <c r="F779" s="9" t="s">
        <v>168</v>
      </c>
      <c r="G779" s="13" t="s">
        <v>169</v>
      </c>
      <c r="H779" s="11" t="s">
        <v>170</v>
      </c>
      <c r="I779" s="7"/>
      <c r="J779" s="7"/>
      <c r="K779" s="7"/>
      <c r="L779" s="7">
        <v>3</v>
      </c>
      <c r="M779" s="7" t="e">
        <v>#REF!</v>
      </c>
      <c r="N779" s="12"/>
      <c r="O779" s="12" t="s">
        <v>16</v>
      </c>
      <c r="P779" s="57" t="str">
        <f t="shared" si="36"/>
        <v>un fuste</v>
      </c>
      <c r="Q779">
        <f t="shared" si="37"/>
        <v>2.5</v>
      </c>
      <c r="R779">
        <f t="shared" si="38"/>
        <v>5</v>
      </c>
    </row>
    <row r="780" spans="1:21" x14ac:dyDescent="0.25">
      <c r="A780" s="7">
        <v>10</v>
      </c>
      <c r="B780" s="7">
        <v>5</v>
      </c>
      <c r="C780" s="7"/>
      <c r="D780" s="8">
        <v>22</v>
      </c>
      <c r="E780" s="7">
        <v>22</v>
      </c>
      <c r="F780" s="9" t="s">
        <v>17</v>
      </c>
      <c r="G780" s="13" t="s">
        <v>65</v>
      </c>
      <c r="H780" s="11" t="s">
        <v>66</v>
      </c>
      <c r="I780" s="7"/>
      <c r="J780" s="7"/>
      <c r="K780" s="7"/>
      <c r="L780" s="7">
        <v>0.25</v>
      </c>
      <c r="M780" s="7" t="e">
        <v>#REF!</v>
      </c>
      <c r="N780" s="12"/>
      <c r="O780" s="12" t="s">
        <v>16</v>
      </c>
      <c r="P780" s="57" t="str">
        <f t="shared" si="36"/>
        <v>un fuste</v>
      </c>
      <c r="Q780">
        <f t="shared" si="37"/>
        <v>2.5</v>
      </c>
      <c r="R780">
        <f t="shared" si="38"/>
        <v>5</v>
      </c>
    </row>
    <row r="781" spans="1:21" x14ac:dyDescent="0.25">
      <c r="A781" s="7">
        <v>4</v>
      </c>
      <c r="B781" s="7">
        <v>100</v>
      </c>
      <c r="C781" s="7">
        <v>1</v>
      </c>
      <c r="D781" s="8" t="s">
        <v>165</v>
      </c>
      <c r="E781" s="7">
        <v>6</v>
      </c>
      <c r="F781" s="9" t="s">
        <v>21</v>
      </c>
      <c r="G781" s="10" t="s">
        <v>22</v>
      </c>
      <c r="H781" s="11" t="s">
        <v>283</v>
      </c>
      <c r="I781" s="7">
        <v>17.5</v>
      </c>
      <c r="J781" s="15">
        <v>5.5704230082163368</v>
      </c>
      <c r="K781" s="7">
        <v>5</v>
      </c>
      <c r="L781" s="7">
        <v>8</v>
      </c>
      <c r="M781" s="7"/>
      <c r="N781" s="12" t="s">
        <v>20</v>
      </c>
      <c r="O781" s="12" t="s">
        <v>16</v>
      </c>
      <c r="P781" s="31" t="e">
        <f t="shared" si="36"/>
        <v>#VALUE!</v>
      </c>
      <c r="Q781">
        <f t="shared" si="37"/>
        <v>7.5</v>
      </c>
      <c r="R781">
        <f t="shared" si="38"/>
        <v>5</v>
      </c>
    </row>
    <row r="782" spans="1:21" x14ac:dyDescent="0.25">
      <c r="A782" s="7">
        <v>10</v>
      </c>
      <c r="B782" s="7">
        <v>100</v>
      </c>
      <c r="C782" s="8">
        <v>1</v>
      </c>
      <c r="D782" s="8">
        <v>6</v>
      </c>
      <c r="E782" s="8">
        <v>6</v>
      </c>
      <c r="F782" s="9" t="s">
        <v>21</v>
      </c>
      <c r="G782" s="10" t="s">
        <v>22</v>
      </c>
      <c r="H782" s="11" t="s">
        <v>283</v>
      </c>
      <c r="I782" s="7">
        <v>28</v>
      </c>
      <c r="J782" s="15">
        <v>8.91267681314614</v>
      </c>
      <c r="K782" s="7">
        <v>5.5</v>
      </c>
      <c r="L782" s="7">
        <v>8</v>
      </c>
      <c r="M782" s="7"/>
      <c r="N782" s="12" t="s">
        <v>20</v>
      </c>
      <c r="O782" s="12" t="s">
        <v>16</v>
      </c>
      <c r="P782" s="57" t="str">
        <f t="shared" si="36"/>
        <v>un fuste</v>
      </c>
      <c r="Q782">
        <f t="shared" si="37"/>
        <v>7.5</v>
      </c>
      <c r="R782">
        <f t="shared" si="38"/>
        <v>10</v>
      </c>
    </row>
    <row r="783" spans="1:21" x14ac:dyDescent="0.25">
      <c r="A783" s="7">
        <v>10</v>
      </c>
      <c r="B783" s="7">
        <v>5</v>
      </c>
      <c r="C783" s="8"/>
      <c r="D783" s="8">
        <v>23</v>
      </c>
      <c r="E783" s="8">
        <v>23</v>
      </c>
      <c r="F783" s="9" t="s">
        <v>26</v>
      </c>
      <c r="G783" s="10" t="s">
        <v>143</v>
      </c>
      <c r="H783" s="11" t="s">
        <v>144</v>
      </c>
      <c r="I783" s="7"/>
      <c r="J783" s="7"/>
      <c r="K783" s="7"/>
      <c r="L783" s="7">
        <v>0.8</v>
      </c>
      <c r="M783" s="7" t="e">
        <v>#REF!</v>
      </c>
      <c r="N783" s="12"/>
      <c r="O783" s="12" t="s">
        <v>16</v>
      </c>
      <c r="P783" s="57" t="str">
        <f t="shared" si="36"/>
        <v>un fuste</v>
      </c>
      <c r="Q783">
        <f t="shared" si="37"/>
        <v>2.5</v>
      </c>
      <c r="R783">
        <f t="shared" si="38"/>
        <v>5</v>
      </c>
    </row>
    <row r="784" spans="1:21" x14ac:dyDescent="0.25">
      <c r="A784" s="7">
        <v>10</v>
      </c>
      <c r="B784" s="7">
        <v>5</v>
      </c>
      <c r="C784" s="8"/>
      <c r="D784" s="8">
        <v>24</v>
      </c>
      <c r="E784" s="8">
        <v>24</v>
      </c>
      <c r="F784" s="9" t="s">
        <v>168</v>
      </c>
      <c r="G784" s="13" t="s">
        <v>169</v>
      </c>
      <c r="H784" s="11" t="s">
        <v>170</v>
      </c>
      <c r="I784" s="7"/>
      <c r="J784" s="7"/>
      <c r="K784" s="7"/>
      <c r="L784" s="8">
        <v>0.2</v>
      </c>
      <c r="M784" s="7" t="e">
        <v>#REF!</v>
      </c>
      <c r="N784" s="12"/>
      <c r="O784" s="12" t="s">
        <v>16</v>
      </c>
      <c r="P784" s="57" t="str">
        <f t="shared" si="36"/>
        <v>un fuste</v>
      </c>
      <c r="Q784">
        <f t="shared" si="37"/>
        <v>2.5</v>
      </c>
      <c r="R784">
        <f t="shared" si="38"/>
        <v>5</v>
      </c>
    </row>
    <row r="785" spans="1:21" x14ac:dyDescent="0.25">
      <c r="A785" s="7">
        <v>4</v>
      </c>
      <c r="B785" s="7">
        <v>500</v>
      </c>
      <c r="C785" s="7">
        <v>1</v>
      </c>
      <c r="D785" s="8">
        <v>7</v>
      </c>
      <c r="E785" s="7">
        <v>7</v>
      </c>
      <c r="F785" s="9" t="s">
        <v>21</v>
      </c>
      <c r="G785" s="10" t="s">
        <v>22</v>
      </c>
      <c r="H785" s="11" t="s">
        <v>283</v>
      </c>
      <c r="I785" s="7">
        <v>36</v>
      </c>
      <c r="J785" s="15">
        <v>11.459155902616464</v>
      </c>
      <c r="K785" s="7">
        <v>7</v>
      </c>
      <c r="L785" s="7">
        <v>11</v>
      </c>
      <c r="M785" s="7"/>
      <c r="N785" s="12" t="s">
        <v>20</v>
      </c>
      <c r="O785" s="12" t="s">
        <v>16</v>
      </c>
      <c r="P785" s="57" t="str">
        <f t="shared" si="36"/>
        <v>un fuste</v>
      </c>
      <c r="Q785">
        <f t="shared" si="37"/>
        <v>10</v>
      </c>
      <c r="R785">
        <f t="shared" si="38"/>
        <v>10</v>
      </c>
      <c r="S785">
        <v>17</v>
      </c>
      <c r="T785" t="s">
        <v>273</v>
      </c>
      <c r="U785">
        <v>7.2417020336136742E-2</v>
      </c>
    </row>
    <row r="786" spans="1:21" x14ac:dyDescent="0.25">
      <c r="A786" s="7">
        <v>10</v>
      </c>
      <c r="B786" s="7">
        <v>5</v>
      </c>
      <c r="C786" s="7"/>
      <c r="D786" s="8">
        <v>25</v>
      </c>
      <c r="E786" s="8">
        <v>25</v>
      </c>
      <c r="F786" s="9" t="s">
        <v>13</v>
      </c>
      <c r="G786" s="13" t="s">
        <v>14</v>
      </c>
      <c r="H786" s="14" t="s">
        <v>15</v>
      </c>
      <c r="I786" s="7"/>
      <c r="J786" s="7"/>
      <c r="K786" s="7"/>
      <c r="L786" s="7">
        <v>0.2</v>
      </c>
      <c r="M786" s="7" t="e">
        <v>#REF!</v>
      </c>
      <c r="N786" s="12"/>
      <c r="O786" s="12" t="s">
        <v>16</v>
      </c>
      <c r="P786" s="57" t="str">
        <f t="shared" si="36"/>
        <v>un fuste</v>
      </c>
      <c r="Q786">
        <f t="shared" si="37"/>
        <v>2.5</v>
      </c>
      <c r="R786">
        <f t="shared" si="38"/>
        <v>5</v>
      </c>
    </row>
    <row r="787" spans="1:21" x14ac:dyDescent="0.25">
      <c r="A787" s="7">
        <v>2</v>
      </c>
      <c r="B787" s="7">
        <v>500</v>
      </c>
      <c r="C787" s="7">
        <v>1</v>
      </c>
      <c r="D787" s="8">
        <v>8</v>
      </c>
      <c r="E787" s="7">
        <v>8</v>
      </c>
      <c r="F787" s="9" t="s">
        <v>21</v>
      </c>
      <c r="G787" s="13" t="s">
        <v>22</v>
      </c>
      <c r="H787" s="14" t="s">
        <v>283</v>
      </c>
      <c r="I787" s="7">
        <v>56</v>
      </c>
      <c r="J787" s="15">
        <v>17.82535362629228</v>
      </c>
      <c r="K787" s="7">
        <v>7</v>
      </c>
      <c r="L787" s="7">
        <v>12</v>
      </c>
      <c r="M787" s="7"/>
      <c r="N787" s="12" t="s">
        <v>20</v>
      </c>
      <c r="O787" s="12" t="s">
        <v>16</v>
      </c>
      <c r="P787" s="57" t="str">
        <f t="shared" si="36"/>
        <v>un fuste</v>
      </c>
      <c r="Q787">
        <f t="shared" si="37"/>
        <v>12.5</v>
      </c>
      <c r="R787">
        <f t="shared" si="38"/>
        <v>20</v>
      </c>
      <c r="S787">
        <v>17</v>
      </c>
      <c r="T787" t="s">
        <v>273</v>
      </c>
      <c r="U787">
        <v>0.17666459993056352</v>
      </c>
    </row>
    <row r="788" spans="1:21" x14ac:dyDescent="0.25">
      <c r="A788" s="7">
        <v>8</v>
      </c>
      <c r="B788" s="7">
        <v>500</v>
      </c>
      <c r="C788" s="8">
        <v>1</v>
      </c>
      <c r="D788" s="8">
        <v>7</v>
      </c>
      <c r="E788" s="8">
        <v>8</v>
      </c>
      <c r="F788" s="9" t="s">
        <v>21</v>
      </c>
      <c r="G788" s="10" t="s">
        <v>22</v>
      </c>
      <c r="H788" s="11" t="s">
        <v>283</v>
      </c>
      <c r="I788" s="7">
        <v>38</v>
      </c>
      <c r="J788" s="15">
        <v>12.095775674984045</v>
      </c>
      <c r="K788" s="7">
        <v>8</v>
      </c>
      <c r="L788" s="8">
        <v>14</v>
      </c>
      <c r="M788" s="7"/>
      <c r="N788" s="12" t="s">
        <v>20</v>
      </c>
      <c r="O788" s="12" t="s">
        <v>16</v>
      </c>
      <c r="P788" s="57" t="str">
        <f t="shared" si="36"/>
        <v>un fuste</v>
      </c>
      <c r="Q788">
        <f t="shared" si="37"/>
        <v>15</v>
      </c>
      <c r="R788">
        <f t="shared" si="38"/>
        <v>10</v>
      </c>
      <c r="S788">
        <v>17</v>
      </c>
      <c r="T788" t="s">
        <v>273</v>
      </c>
      <c r="U788">
        <v>0.10242107202935821</v>
      </c>
    </row>
    <row r="789" spans="1:21" x14ac:dyDescent="0.25">
      <c r="A789" s="7">
        <v>5</v>
      </c>
      <c r="B789" s="7">
        <v>100</v>
      </c>
      <c r="C789" s="8">
        <v>1</v>
      </c>
      <c r="D789" s="8">
        <v>7</v>
      </c>
      <c r="E789" s="8">
        <v>8</v>
      </c>
      <c r="F789" s="17" t="s">
        <v>21</v>
      </c>
      <c r="G789" s="10" t="s">
        <v>22</v>
      </c>
      <c r="H789" s="11" t="s">
        <v>283</v>
      </c>
      <c r="I789" s="7">
        <v>21</v>
      </c>
      <c r="J789" s="15">
        <v>6.6845076098596046</v>
      </c>
      <c r="K789" s="7">
        <v>6</v>
      </c>
      <c r="L789" s="8">
        <v>8</v>
      </c>
      <c r="M789" s="7"/>
      <c r="N789" s="12" t="s">
        <v>20</v>
      </c>
      <c r="O789" s="12" t="s">
        <v>16</v>
      </c>
      <c r="P789" s="57" t="str">
        <f t="shared" si="36"/>
        <v>un fuste</v>
      </c>
      <c r="Q789">
        <f t="shared" si="37"/>
        <v>7.5</v>
      </c>
      <c r="R789">
        <f t="shared" si="38"/>
        <v>5</v>
      </c>
    </row>
    <row r="790" spans="1:21" x14ac:dyDescent="0.25">
      <c r="A790" s="7">
        <v>10</v>
      </c>
      <c r="B790" s="7">
        <v>5</v>
      </c>
      <c r="C790" s="8"/>
      <c r="D790" s="8">
        <v>26</v>
      </c>
      <c r="E790" s="8">
        <v>26</v>
      </c>
      <c r="F790" s="9" t="s">
        <v>13</v>
      </c>
      <c r="G790" s="13" t="s">
        <v>14</v>
      </c>
      <c r="H790" s="11" t="s">
        <v>15</v>
      </c>
      <c r="I790" s="7"/>
      <c r="J790" s="7"/>
      <c r="K790" s="7"/>
      <c r="L790" s="8">
        <v>0.1</v>
      </c>
      <c r="M790" s="7" t="e">
        <v>#REF!</v>
      </c>
      <c r="N790" s="12"/>
      <c r="O790" s="12" t="s">
        <v>16</v>
      </c>
      <c r="P790" s="57" t="str">
        <f t="shared" si="36"/>
        <v>un fuste</v>
      </c>
      <c r="Q790">
        <f t="shared" si="37"/>
        <v>2.5</v>
      </c>
      <c r="R790">
        <f t="shared" si="38"/>
        <v>5</v>
      </c>
    </row>
    <row r="791" spans="1:21" x14ac:dyDescent="0.25">
      <c r="A791" s="7">
        <v>5</v>
      </c>
      <c r="B791" s="7">
        <v>100</v>
      </c>
      <c r="C791" s="8">
        <v>1</v>
      </c>
      <c r="D791" s="8">
        <v>8</v>
      </c>
      <c r="E791" s="8">
        <v>9</v>
      </c>
      <c r="F791" s="9" t="s">
        <v>21</v>
      </c>
      <c r="G791" s="10" t="s">
        <v>22</v>
      </c>
      <c r="H791" s="11" t="s">
        <v>283</v>
      </c>
      <c r="I791" s="7">
        <v>24</v>
      </c>
      <c r="J791" s="15">
        <v>7.6394372684109761</v>
      </c>
      <c r="K791" s="7">
        <v>5</v>
      </c>
      <c r="L791" s="7">
        <v>8</v>
      </c>
      <c r="M791" s="7"/>
      <c r="N791" s="12" t="s">
        <v>20</v>
      </c>
      <c r="O791" s="12" t="s">
        <v>16</v>
      </c>
      <c r="P791" s="57" t="str">
        <f t="shared" si="36"/>
        <v>un fuste</v>
      </c>
      <c r="Q791">
        <f t="shared" si="37"/>
        <v>7.5</v>
      </c>
      <c r="R791">
        <f t="shared" si="38"/>
        <v>10</v>
      </c>
    </row>
    <row r="792" spans="1:21" x14ac:dyDescent="0.25">
      <c r="A792" s="7">
        <v>11</v>
      </c>
      <c r="B792" s="7">
        <v>5</v>
      </c>
      <c r="C792" s="8"/>
      <c r="D792" s="8">
        <v>1</v>
      </c>
      <c r="E792" s="8">
        <v>1</v>
      </c>
      <c r="F792" s="9" t="s">
        <v>33</v>
      </c>
      <c r="G792" s="10" t="s">
        <v>291</v>
      </c>
      <c r="H792" s="16" t="s">
        <v>34</v>
      </c>
      <c r="I792" s="7"/>
      <c r="J792" s="7"/>
      <c r="K792" s="7"/>
      <c r="L792" s="7">
        <v>3.5</v>
      </c>
      <c r="M792" s="7" t="e">
        <v>#REF!</v>
      </c>
      <c r="N792" s="12"/>
      <c r="O792" s="12" t="s">
        <v>16</v>
      </c>
      <c r="P792" s="57" t="str">
        <f t="shared" si="36"/>
        <v>un fuste</v>
      </c>
      <c r="Q792">
        <f t="shared" si="37"/>
        <v>2.5</v>
      </c>
      <c r="R792">
        <f t="shared" si="38"/>
        <v>5</v>
      </c>
    </row>
    <row r="793" spans="1:21" x14ac:dyDescent="0.25">
      <c r="A793" s="7">
        <v>8</v>
      </c>
      <c r="B793" s="7">
        <v>500</v>
      </c>
      <c r="C793" s="8">
        <v>1</v>
      </c>
      <c r="D793" s="8">
        <v>10</v>
      </c>
      <c r="E793" s="8">
        <v>11</v>
      </c>
      <c r="F793" s="9" t="s">
        <v>21</v>
      </c>
      <c r="G793" s="10" t="s">
        <v>22</v>
      </c>
      <c r="H793" s="11" t="s">
        <v>283</v>
      </c>
      <c r="I793" s="7">
        <v>46</v>
      </c>
      <c r="J793" s="15">
        <v>14.642254764454371</v>
      </c>
      <c r="K793" s="7">
        <v>5</v>
      </c>
      <c r="L793" s="7">
        <v>13</v>
      </c>
      <c r="M793" s="7"/>
      <c r="N793" s="12" t="s">
        <v>20</v>
      </c>
      <c r="O793" s="12" t="s">
        <v>16</v>
      </c>
      <c r="P793" s="57" t="str">
        <f t="shared" si="36"/>
        <v>un fuste</v>
      </c>
      <c r="Q793">
        <f t="shared" si="37"/>
        <v>12.5</v>
      </c>
      <c r="R793">
        <f t="shared" si="38"/>
        <v>15</v>
      </c>
      <c r="S793">
        <v>17</v>
      </c>
      <c r="T793" t="s">
        <v>273</v>
      </c>
      <c r="U793">
        <v>0.1342356528954648</v>
      </c>
    </row>
    <row r="794" spans="1:21" x14ac:dyDescent="0.25">
      <c r="A794" s="7">
        <v>10</v>
      </c>
      <c r="B794" s="7">
        <v>100</v>
      </c>
      <c r="C794" s="8">
        <v>1</v>
      </c>
      <c r="D794" s="8">
        <v>11</v>
      </c>
      <c r="E794" s="8">
        <v>11</v>
      </c>
      <c r="F794" s="9" t="s">
        <v>21</v>
      </c>
      <c r="G794" s="13" t="s">
        <v>22</v>
      </c>
      <c r="H794" s="14" t="s">
        <v>283</v>
      </c>
      <c r="I794" s="8">
        <v>18.5</v>
      </c>
      <c r="J794" s="15">
        <v>5.8887328944001274</v>
      </c>
      <c r="K794" s="8">
        <v>6</v>
      </c>
      <c r="L794" s="8">
        <v>9</v>
      </c>
      <c r="M794" s="7"/>
      <c r="N794" s="12" t="s">
        <v>20</v>
      </c>
      <c r="O794" s="12" t="s">
        <v>16</v>
      </c>
      <c r="P794" s="57" t="str">
        <f t="shared" si="36"/>
        <v>un fuste</v>
      </c>
      <c r="Q794">
        <f t="shared" si="37"/>
        <v>10</v>
      </c>
      <c r="R794">
        <f t="shared" si="38"/>
        <v>5</v>
      </c>
    </row>
    <row r="795" spans="1:21" x14ac:dyDescent="0.25">
      <c r="A795" s="7">
        <v>8</v>
      </c>
      <c r="B795" s="7">
        <v>500</v>
      </c>
      <c r="C795" s="8">
        <v>1</v>
      </c>
      <c r="D795" s="8">
        <v>11</v>
      </c>
      <c r="E795" s="8">
        <v>12</v>
      </c>
      <c r="F795" s="9" t="s">
        <v>21</v>
      </c>
      <c r="G795" s="10" t="s">
        <v>22</v>
      </c>
      <c r="H795" s="11" t="s">
        <v>283</v>
      </c>
      <c r="I795" s="8">
        <v>42</v>
      </c>
      <c r="J795" s="15">
        <v>13.369015219719209</v>
      </c>
      <c r="K795" s="8">
        <v>6</v>
      </c>
      <c r="L795" s="8">
        <v>10</v>
      </c>
      <c r="M795" s="7"/>
      <c r="N795" s="12" t="s">
        <v>20</v>
      </c>
      <c r="O795" s="12" t="s">
        <v>16</v>
      </c>
      <c r="P795" s="57" t="str">
        <f t="shared" si="36"/>
        <v>un fuste</v>
      </c>
      <c r="Q795">
        <f t="shared" si="37"/>
        <v>10</v>
      </c>
      <c r="R795">
        <f t="shared" si="38"/>
        <v>15</v>
      </c>
      <c r="S795">
        <v>17</v>
      </c>
      <c r="T795" t="s">
        <v>273</v>
      </c>
      <c r="U795">
        <v>8.6842684246796406E-2</v>
      </c>
    </row>
    <row r="796" spans="1:21" x14ac:dyDescent="0.25">
      <c r="A796" s="7">
        <v>1</v>
      </c>
      <c r="B796" s="7">
        <v>100</v>
      </c>
      <c r="C796" s="8">
        <v>2</v>
      </c>
      <c r="D796" s="8">
        <v>12</v>
      </c>
      <c r="E796" s="8">
        <v>12</v>
      </c>
      <c r="F796" s="9" t="s">
        <v>21</v>
      </c>
      <c r="G796" s="13" t="s">
        <v>22</v>
      </c>
      <c r="H796" s="11" t="s">
        <v>283</v>
      </c>
      <c r="I796" s="8">
        <v>20</v>
      </c>
      <c r="J796" s="15">
        <v>6.366197723675814</v>
      </c>
      <c r="K796" s="8">
        <v>6</v>
      </c>
      <c r="L796" s="8">
        <v>9</v>
      </c>
      <c r="M796" s="7"/>
      <c r="N796" s="12" t="s">
        <v>20</v>
      </c>
      <c r="O796" s="12" t="s">
        <v>16</v>
      </c>
      <c r="P796" s="57" t="str">
        <f t="shared" si="36"/>
        <v>un fuste</v>
      </c>
      <c r="Q796">
        <f t="shared" si="37"/>
        <v>10</v>
      </c>
      <c r="R796">
        <f t="shared" si="38"/>
        <v>5</v>
      </c>
    </row>
    <row r="797" spans="1:21" x14ac:dyDescent="0.25">
      <c r="A797" s="7">
        <v>5</v>
      </c>
      <c r="B797" s="7">
        <v>100</v>
      </c>
      <c r="C797" s="7">
        <v>2</v>
      </c>
      <c r="D797" s="8">
        <v>12</v>
      </c>
      <c r="E797" s="7">
        <v>13</v>
      </c>
      <c r="F797" s="9" t="s">
        <v>21</v>
      </c>
      <c r="G797" s="10" t="s">
        <v>22</v>
      </c>
      <c r="H797" s="11" t="s">
        <v>283</v>
      </c>
      <c r="I797" s="7">
        <v>17</v>
      </c>
      <c r="J797" s="15">
        <v>5.4112680651244416</v>
      </c>
      <c r="K797" s="7">
        <v>3</v>
      </c>
      <c r="L797" s="7">
        <v>8</v>
      </c>
      <c r="M797" s="7"/>
      <c r="N797" s="12" t="s">
        <v>20</v>
      </c>
      <c r="O797" s="12" t="s">
        <v>16</v>
      </c>
      <c r="P797" s="57" t="str">
        <f t="shared" si="36"/>
        <v>un fuste</v>
      </c>
      <c r="Q797">
        <f t="shared" si="37"/>
        <v>7.5</v>
      </c>
      <c r="R797">
        <f t="shared" si="38"/>
        <v>5</v>
      </c>
    </row>
    <row r="798" spans="1:21" x14ac:dyDescent="0.25">
      <c r="A798" s="7">
        <v>11</v>
      </c>
      <c r="B798" s="7">
        <v>5</v>
      </c>
      <c r="C798" s="8"/>
      <c r="D798" s="8">
        <v>2</v>
      </c>
      <c r="E798" s="8">
        <v>2</v>
      </c>
      <c r="F798" s="9" t="s">
        <v>48</v>
      </c>
      <c r="G798" s="10" t="s">
        <v>49</v>
      </c>
      <c r="H798" s="11" t="s">
        <v>50</v>
      </c>
      <c r="I798" s="7"/>
      <c r="J798" s="7"/>
      <c r="K798" s="7"/>
      <c r="L798" s="7">
        <v>3.5</v>
      </c>
      <c r="M798" s="7" t="e">
        <v>#REF!</v>
      </c>
      <c r="N798" s="12"/>
      <c r="O798" s="12" t="s">
        <v>16</v>
      </c>
      <c r="P798" s="57" t="str">
        <f t="shared" si="36"/>
        <v>un fuste</v>
      </c>
      <c r="Q798">
        <f t="shared" si="37"/>
        <v>2.5</v>
      </c>
      <c r="R798">
        <f t="shared" si="38"/>
        <v>5</v>
      </c>
    </row>
    <row r="799" spans="1:21" x14ac:dyDescent="0.25">
      <c r="A799" s="7">
        <v>8</v>
      </c>
      <c r="B799" s="7">
        <v>500</v>
      </c>
      <c r="C799" s="7">
        <v>1</v>
      </c>
      <c r="D799" s="8">
        <v>13</v>
      </c>
      <c r="E799" s="7">
        <v>14</v>
      </c>
      <c r="F799" s="9" t="s">
        <v>21</v>
      </c>
      <c r="G799" s="10" t="s">
        <v>22</v>
      </c>
      <c r="H799" s="11" t="s">
        <v>283</v>
      </c>
      <c r="I799" s="7">
        <v>49.5</v>
      </c>
      <c r="J799" s="15">
        <v>15.756339366097638</v>
      </c>
      <c r="K799" s="7">
        <v>6</v>
      </c>
      <c r="L799" s="7">
        <v>14</v>
      </c>
      <c r="M799" s="7"/>
      <c r="N799" s="12" t="s">
        <v>20</v>
      </c>
      <c r="O799" s="12" t="s">
        <v>16</v>
      </c>
      <c r="P799" s="57" t="str">
        <f t="shared" si="36"/>
        <v>un fuste</v>
      </c>
      <c r="Q799">
        <f t="shared" si="37"/>
        <v>15</v>
      </c>
      <c r="R799">
        <f t="shared" si="38"/>
        <v>15</v>
      </c>
      <c r="S799">
        <v>17</v>
      </c>
      <c r="T799" t="s">
        <v>273</v>
      </c>
      <c r="U799">
        <v>0.16551988606149298</v>
      </c>
    </row>
    <row r="800" spans="1:21" x14ac:dyDescent="0.25">
      <c r="A800" s="7">
        <v>8</v>
      </c>
      <c r="B800" s="7">
        <v>100</v>
      </c>
      <c r="C800" s="8">
        <v>2</v>
      </c>
      <c r="D800" s="7">
        <v>14</v>
      </c>
      <c r="E800" s="7">
        <v>14</v>
      </c>
      <c r="F800" s="9" t="s">
        <v>21</v>
      </c>
      <c r="G800" s="13" t="s">
        <v>22</v>
      </c>
      <c r="H800" s="11" t="s">
        <v>283</v>
      </c>
      <c r="I800" s="7">
        <v>19</v>
      </c>
      <c r="J800" s="15">
        <v>6.0478878374920226</v>
      </c>
      <c r="K800" s="7">
        <v>6</v>
      </c>
      <c r="L800" s="7">
        <v>9</v>
      </c>
      <c r="M800" s="7"/>
      <c r="N800" s="12" t="s">
        <v>20</v>
      </c>
      <c r="O800" s="12" t="s">
        <v>16</v>
      </c>
      <c r="P800" s="57" t="str">
        <f t="shared" si="36"/>
        <v>un fuste</v>
      </c>
      <c r="Q800">
        <f t="shared" si="37"/>
        <v>10</v>
      </c>
      <c r="R800">
        <f t="shared" si="38"/>
        <v>5</v>
      </c>
    </row>
    <row r="801" spans="1:21" x14ac:dyDescent="0.25">
      <c r="A801" s="7">
        <v>4</v>
      </c>
      <c r="B801" s="7">
        <v>500</v>
      </c>
      <c r="C801" s="7">
        <v>1</v>
      </c>
      <c r="D801" s="8">
        <v>15</v>
      </c>
      <c r="E801" s="7">
        <v>15</v>
      </c>
      <c r="F801" s="9" t="s">
        <v>21</v>
      </c>
      <c r="G801" s="10" t="s">
        <v>22</v>
      </c>
      <c r="H801" s="11" t="s">
        <v>283</v>
      </c>
      <c r="I801" s="7">
        <v>39</v>
      </c>
      <c r="J801" s="15">
        <v>12.414085561167836</v>
      </c>
      <c r="K801" s="7">
        <v>6</v>
      </c>
      <c r="L801" s="7">
        <v>13</v>
      </c>
      <c r="M801" s="7"/>
      <c r="N801" s="12" t="s">
        <v>20</v>
      </c>
      <c r="O801" s="12" t="s">
        <v>16</v>
      </c>
      <c r="P801" s="57" t="str">
        <f t="shared" si="36"/>
        <v>un fuste</v>
      </c>
      <c r="Q801">
        <f t="shared" si="37"/>
        <v>12.5</v>
      </c>
      <c r="R801">
        <f t="shared" si="38"/>
        <v>10</v>
      </c>
      <c r="S801">
        <v>17</v>
      </c>
      <c r="T801" t="s">
        <v>273</v>
      </c>
      <c r="U801">
        <v>9.9473507092131805E-2</v>
      </c>
    </row>
    <row r="802" spans="1:21" x14ac:dyDescent="0.25">
      <c r="A802" s="7">
        <v>1</v>
      </c>
      <c r="B802" s="7">
        <v>500</v>
      </c>
      <c r="C802" s="8">
        <v>2</v>
      </c>
      <c r="D802" s="8">
        <v>13</v>
      </c>
      <c r="E802" s="8">
        <v>16</v>
      </c>
      <c r="F802" s="9" t="s">
        <v>21</v>
      </c>
      <c r="G802" s="10" t="s">
        <v>22</v>
      </c>
      <c r="H802" s="11" t="s">
        <v>283</v>
      </c>
      <c r="I802" s="7">
        <v>40.5</v>
      </c>
      <c r="J802" s="15">
        <v>12.891550390443523</v>
      </c>
      <c r="K802" s="7">
        <v>7</v>
      </c>
      <c r="L802" s="8">
        <v>14</v>
      </c>
      <c r="M802" s="7"/>
      <c r="N802" s="12" t="s">
        <v>20</v>
      </c>
      <c r="O802" s="12" t="s">
        <v>16</v>
      </c>
      <c r="P802" s="57" t="str">
        <f t="shared" si="36"/>
        <v>un fuste</v>
      </c>
      <c r="Q802">
        <f t="shared" si="37"/>
        <v>15</v>
      </c>
      <c r="R802">
        <f t="shared" si="38"/>
        <v>15</v>
      </c>
      <c r="S802">
        <v>17</v>
      </c>
      <c r="T802" t="s">
        <v>273</v>
      </c>
      <c r="U802">
        <v>0.11498133126508182</v>
      </c>
    </row>
    <row r="803" spans="1:21" x14ac:dyDescent="0.25">
      <c r="A803" s="7">
        <v>8</v>
      </c>
      <c r="B803" s="7">
        <v>100</v>
      </c>
      <c r="C803" s="7">
        <v>2</v>
      </c>
      <c r="D803" s="8">
        <v>16</v>
      </c>
      <c r="E803" s="7">
        <v>16</v>
      </c>
      <c r="F803" s="9" t="s">
        <v>21</v>
      </c>
      <c r="G803" s="13" t="s">
        <v>22</v>
      </c>
      <c r="H803" s="11" t="s">
        <v>283</v>
      </c>
      <c r="I803" s="7">
        <v>22</v>
      </c>
      <c r="J803" s="15">
        <v>7.0028174960433951</v>
      </c>
      <c r="K803" s="7">
        <v>7</v>
      </c>
      <c r="L803" s="7">
        <v>10</v>
      </c>
      <c r="M803" s="7"/>
      <c r="N803" s="12" t="s">
        <v>20</v>
      </c>
      <c r="O803" s="12" t="s">
        <v>16</v>
      </c>
      <c r="P803" s="57" t="str">
        <f t="shared" si="36"/>
        <v>un fuste</v>
      </c>
      <c r="Q803">
        <f t="shared" si="37"/>
        <v>10</v>
      </c>
      <c r="R803">
        <f t="shared" si="38"/>
        <v>5</v>
      </c>
    </row>
    <row r="804" spans="1:21" x14ac:dyDescent="0.25">
      <c r="A804" s="7">
        <v>8</v>
      </c>
      <c r="B804" s="7">
        <v>100</v>
      </c>
      <c r="C804" s="8">
        <v>3</v>
      </c>
      <c r="D804" s="8">
        <v>17</v>
      </c>
      <c r="E804" s="8">
        <v>17</v>
      </c>
      <c r="F804" s="9" t="s">
        <v>21</v>
      </c>
      <c r="G804" s="10" t="s">
        <v>22</v>
      </c>
      <c r="H804" s="11" t="s">
        <v>283</v>
      </c>
      <c r="I804" s="7">
        <v>27</v>
      </c>
      <c r="J804" s="15">
        <v>8.5943669269623477</v>
      </c>
      <c r="K804" s="7">
        <v>6</v>
      </c>
      <c r="L804" s="7">
        <v>9</v>
      </c>
      <c r="M804" s="7"/>
      <c r="N804" s="12" t="s">
        <v>20</v>
      </c>
      <c r="O804" s="12" t="s">
        <v>16</v>
      </c>
      <c r="P804" s="57" t="str">
        <f t="shared" si="36"/>
        <v>un fuste</v>
      </c>
      <c r="Q804">
        <f t="shared" si="37"/>
        <v>10</v>
      </c>
      <c r="R804">
        <f t="shared" si="38"/>
        <v>10</v>
      </c>
    </row>
    <row r="805" spans="1:21" x14ac:dyDescent="0.25">
      <c r="A805" s="7">
        <v>1</v>
      </c>
      <c r="B805" s="7">
        <v>100</v>
      </c>
      <c r="C805" s="7">
        <v>3</v>
      </c>
      <c r="D805" s="8">
        <v>18</v>
      </c>
      <c r="E805" s="7">
        <v>18</v>
      </c>
      <c r="F805" s="9" t="s">
        <v>21</v>
      </c>
      <c r="G805" s="13" t="s">
        <v>22</v>
      </c>
      <c r="H805" s="11" t="s">
        <v>283</v>
      </c>
      <c r="I805" s="7">
        <v>16.5</v>
      </c>
      <c r="J805" s="15">
        <v>5.2521131220325463</v>
      </c>
      <c r="K805" s="7">
        <v>1.6</v>
      </c>
      <c r="L805" s="7">
        <v>3.5</v>
      </c>
      <c r="M805" s="7"/>
      <c r="N805" s="12" t="s">
        <v>20</v>
      </c>
      <c r="O805" s="12" t="s">
        <v>16</v>
      </c>
      <c r="P805" s="57" t="str">
        <f t="shared" si="36"/>
        <v>un fuste</v>
      </c>
      <c r="Q805">
        <f t="shared" si="37"/>
        <v>2.5</v>
      </c>
      <c r="R805">
        <f t="shared" si="38"/>
        <v>5</v>
      </c>
    </row>
    <row r="806" spans="1:21" x14ac:dyDescent="0.25">
      <c r="A806" s="7">
        <v>3</v>
      </c>
      <c r="B806" s="7">
        <v>100</v>
      </c>
      <c r="C806" s="7">
        <v>4</v>
      </c>
      <c r="D806" s="8">
        <v>18</v>
      </c>
      <c r="E806" s="7">
        <v>18</v>
      </c>
      <c r="F806" s="9" t="s">
        <v>21</v>
      </c>
      <c r="G806" s="13" t="s">
        <v>22</v>
      </c>
      <c r="H806" s="14" t="s">
        <v>283</v>
      </c>
      <c r="I806" s="7">
        <v>16</v>
      </c>
      <c r="J806" s="15">
        <v>5.0929581789406511</v>
      </c>
      <c r="K806" s="7">
        <v>3</v>
      </c>
      <c r="L806" s="7">
        <v>8</v>
      </c>
      <c r="M806" s="7"/>
      <c r="N806" s="12" t="s">
        <v>20</v>
      </c>
      <c r="O806" s="12" t="s">
        <v>16</v>
      </c>
      <c r="P806" s="57" t="str">
        <f t="shared" si="36"/>
        <v>un fuste</v>
      </c>
      <c r="Q806">
        <f t="shared" si="37"/>
        <v>7.5</v>
      </c>
      <c r="R806">
        <f t="shared" si="38"/>
        <v>5</v>
      </c>
    </row>
    <row r="807" spans="1:21" x14ac:dyDescent="0.25">
      <c r="A807" s="7">
        <v>10</v>
      </c>
      <c r="B807" s="7">
        <v>100</v>
      </c>
      <c r="C807" s="7">
        <v>2</v>
      </c>
      <c r="D807" s="8">
        <v>18</v>
      </c>
      <c r="E807" s="8">
        <v>18</v>
      </c>
      <c r="F807" s="9" t="s">
        <v>21</v>
      </c>
      <c r="G807" s="13" t="s">
        <v>22</v>
      </c>
      <c r="H807" s="14" t="s">
        <v>283</v>
      </c>
      <c r="I807" s="7">
        <v>16</v>
      </c>
      <c r="J807" s="15">
        <v>5.0929581789406511</v>
      </c>
      <c r="K807" s="7">
        <v>4</v>
      </c>
      <c r="L807" s="7">
        <v>9</v>
      </c>
      <c r="M807" s="7"/>
      <c r="N807" s="12" t="s">
        <v>20</v>
      </c>
      <c r="O807" s="12" t="s">
        <v>16</v>
      </c>
      <c r="P807" s="57" t="str">
        <f t="shared" si="36"/>
        <v>un fuste</v>
      </c>
      <c r="Q807">
        <f t="shared" si="37"/>
        <v>10</v>
      </c>
      <c r="R807">
        <f t="shared" si="38"/>
        <v>5</v>
      </c>
    </row>
    <row r="808" spans="1:21" x14ac:dyDescent="0.25">
      <c r="A808" s="7">
        <v>2</v>
      </c>
      <c r="B808" s="7">
        <v>500</v>
      </c>
      <c r="C808" s="8">
        <v>1</v>
      </c>
      <c r="D808" s="8">
        <v>19</v>
      </c>
      <c r="E808" s="8">
        <v>19</v>
      </c>
      <c r="F808" s="9" t="s">
        <v>21</v>
      </c>
      <c r="G808" s="10" t="s">
        <v>22</v>
      </c>
      <c r="H808" s="11" t="s">
        <v>283</v>
      </c>
      <c r="I808" s="7">
        <v>38</v>
      </c>
      <c r="J808" s="15">
        <v>12.095775674984045</v>
      </c>
      <c r="K808" s="7">
        <v>7</v>
      </c>
      <c r="L808" s="8">
        <v>13</v>
      </c>
      <c r="M808" s="7"/>
      <c r="N808" s="12" t="s">
        <v>20</v>
      </c>
      <c r="O808" s="12" t="s">
        <v>16</v>
      </c>
      <c r="P808" s="57" t="str">
        <f t="shared" si="36"/>
        <v>un fuste</v>
      </c>
      <c r="Q808">
        <f t="shared" si="37"/>
        <v>12.5</v>
      </c>
      <c r="R808">
        <f t="shared" si="38"/>
        <v>10</v>
      </c>
      <c r="S808">
        <v>17</v>
      </c>
      <c r="T808" t="s">
        <v>273</v>
      </c>
      <c r="U808">
        <v>9.4891330317624589E-2</v>
      </c>
    </row>
    <row r="809" spans="1:21" x14ac:dyDescent="0.25">
      <c r="A809" s="7">
        <v>8</v>
      </c>
      <c r="B809" s="7">
        <v>500</v>
      </c>
      <c r="C809" s="8">
        <v>2</v>
      </c>
      <c r="D809" s="8">
        <v>17</v>
      </c>
      <c r="E809" s="8">
        <v>19</v>
      </c>
      <c r="F809" s="17" t="s">
        <v>21</v>
      </c>
      <c r="G809" s="10" t="s">
        <v>22</v>
      </c>
      <c r="H809" s="11" t="s">
        <v>283</v>
      </c>
      <c r="I809" s="7">
        <v>36</v>
      </c>
      <c r="J809" s="15">
        <v>11.459155902616464</v>
      </c>
      <c r="K809" s="7">
        <v>10</v>
      </c>
      <c r="L809" s="8">
        <v>13</v>
      </c>
      <c r="M809" s="7"/>
      <c r="N809" s="12" t="s">
        <v>20</v>
      </c>
      <c r="O809" s="12" t="s">
        <v>16</v>
      </c>
      <c r="P809" s="57" t="str">
        <f t="shared" si="36"/>
        <v>un fuste</v>
      </c>
      <c r="Q809">
        <f t="shared" si="37"/>
        <v>12.5</v>
      </c>
      <c r="R809">
        <f t="shared" si="38"/>
        <v>10</v>
      </c>
      <c r="S809">
        <v>17</v>
      </c>
      <c r="T809" t="s">
        <v>273</v>
      </c>
      <c r="U809">
        <v>8.6019348139417251E-2</v>
      </c>
    </row>
    <row r="810" spans="1:21" x14ac:dyDescent="0.25">
      <c r="A810" s="7">
        <v>5</v>
      </c>
      <c r="B810" s="7">
        <v>100</v>
      </c>
      <c r="C810" s="8">
        <v>3</v>
      </c>
      <c r="D810" s="8">
        <v>18</v>
      </c>
      <c r="E810" s="8">
        <v>19</v>
      </c>
      <c r="F810" s="9" t="s">
        <v>21</v>
      </c>
      <c r="G810" s="13" t="s">
        <v>22</v>
      </c>
      <c r="H810" s="11" t="s">
        <v>283</v>
      </c>
      <c r="I810" s="7">
        <v>23</v>
      </c>
      <c r="J810" s="15">
        <v>7.3211273822271856</v>
      </c>
      <c r="K810" s="7">
        <v>6</v>
      </c>
      <c r="L810" s="8">
        <v>11</v>
      </c>
      <c r="M810" s="7"/>
      <c r="N810" s="12" t="s">
        <v>20</v>
      </c>
      <c r="O810" s="12" t="s">
        <v>16</v>
      </c>
      <c r="P810" s="57" t="str">
        <f t="shared" si="36"/>
        <v>un fuste</v>
      </c>
      <c r="Q810">
        <f t="shared" si="37"/>
        <v>10</v>
      </c>
      <c r="R810">
        <f t="shared" si="38"/>
        <v>5</v>
      </c>
    </row>
    <row r="811" spans="1:21" x14ac:dyDescent="0.25">
      <c r="A811" s="7">
        <v>11</v>
      </c>
      <c r="B811" s="7">
        <v>500</v>
      </c>
      <c r="C811" s="8">
        <v>4</v>
      </c>
      <c r="D811" s="8">
        <v>19</v>
      </c>
      <c r="E811" s="8">
        <v>20</v>
      </c>
      <c r="F811" s="9" t="s">
        <v>21</v>
      </c>
      <c r="G811" s="10" t="s">
        <v>22</v>
      </c>
      <c r="H811" s="11" t="s">
        <v>283</v>
      </c>
      <c r="I811" s="7">
        <v>32</v>
      </c>
      <c r="J811" s="15">
        <v>10.185916357881302</v>
      </c>
      <c r="K811" s="7">
        <v>6</v>
      </c>
      <c r="L811" s="7">
        <v>12</v>
      </c>
      <c r="M811" s="7"/>
      <c r="N811" s="12" t="s">
        <v>20</v>
      </c>
      <c r="O811" s="12" t="s">
        <v>16</v>
      </c>
      <c r="P811" s="57" t="str">
        <f t="shared" si="36"/>
        <v>un fuste</v>
      </c>
      <c r="Q811">
        <f t="shared" si="37"/>
        <v>12.5</v>
      </c>
      <c r="R811">
        <f t="shared" si="38"/>
        <v>10</v>
      </c>
      <c r="S811">
        <v>17</v>
      </c>
      <c r="T811" t="s">
        <v>273</v>
      </c>
      <c r="U811">
        <v>6.3960111229385122E-2</v>
      </c>
    </row>
    <row r="812" spans="1:21" x14ac:dyDescent="0.25">
      <c r="A812" s="7">
        <v>10</v>
      </c>
      <c r="B812" s="7">
        <v>100</v>
      </c>
      <c r="C812" s="8">
        <v>2</v>
      </c>
      <c r="D812" s="8">
        <v>20</v>
      </c>
      <c r="E812" s="8">
        <v>20</v>
      </c>
      <c r="F812" s="9" t="s">
        <v>21</v>
      </c>
      <c r="G812" s="13" t="s">
        <v>22</v>
      </c>
      <c r="H812" s="11" t="s">
        <v>283</v>
      </c>
      <c r="I812" s="7">
        <v>17</v>
      </c>
      <c r="J812" s="15">
        <v>5.4112680651244416</v>
      </c>
      <c r="K812" s="7">
        <v>2.2000000000000002</v>
      </c>
      <c r="L812" s="7">
        <v>6.5</v>
      </c>
      <c r="M812" s="7"/>
      <c r="N812" s="12" t="s">
        <v>20</v>
      </c>
      <c r="O812" s="12" t="s">
        <v>16</v>
      </c>
      <c r="P812" s="57" t="str">
        <f t="shared" si="36"/>
        <v>un fuste</v>
      </c>
      <c r="Q812">
        <f t="shared" si="37"/>
        <v>7.5</v>
      </c>
      <c r="R812">
        <f t="shared" si="38"/>
        <v>5</v>
      </c>
    </row>
    <row r="813" spans="1:21" x14ac:dyDescent="0.25">
      <c r="A813" s="7">
        <v>1</v>
      </c>
      <c r="B813" s="7">
        <v>100</v>
      </c>
      <c r="C813" s="8">
        <v>3</v>
      </c>
      <c r="D813" s="8">
        <v>21</v>
      </c>
      <c r="E813" s="8">
        <v>21</v>
      </c>
      <c r="F813" s="9" t="s">
        <v>21</v>
      </c>
      <c r="G813" s="13" t="s">
        <v>22</v>
      </c>
      <c r="H813" s="11" t="s">
        <v>283</v>
      </c>
      <c r="I813" s="7">
        <v>25</v>
      </c>
      <c r="J813" s="15">
        <v>7.9577471545947667</v>
      </c>
      <c r="K813" s="7">
        <v>4</v>
      </c>
      <c r="L813" s="7">
        <v>10</v>
      </c>
      <c r="M813" s="7"/>
      <c r="N813" s="12" t="s">
        <v>20</v>
      </c>
      <c r="O813" s="12" t="s">
        <v>16</v>
      </c>
      <c r="P813" s="57" t="str">
        <f t="shared" si="36"/>
        <v>un fuste</v>
      </c>
      <c r="Q813">
        <f t="shared" si="37"/>
        <v>10</v>
      </c>
      <c r="R813">
        <f t="shared" si="38"/>
        <v>10</v>
      </c>
    </row>
    <row r="814" spans="1:21" x14ac:dyDescent="0.25">
      <c r="A814" s="7">
        <v>10</v>
      </c>
      <c r="B814" s="7">
        <v>100</v>
      </c>
      <c r="C814" s="8">
        <v>2</v>
      </c>
      <c r="D814" s="7">
        <v>21</v>
      </c>
      <c r="E814" s="7">
        <v>21</v>
      </c>
      <c r="F814" s="17" t="s">
        <v>21</v>
      </c>
      <c r="G814" s="10" t="s">
        <v>22</v>
      </c>
      <c r="H814" s="11" t="s">
        <v>283</v>
      </c>
      <c r="I814" s="7">
        <v>30.5</v>
      </c>
      <c r="J814" s="15">
        <v>9.7084515286056163</v>
      </c>
      <c r="K814" s="7">
        <v>6.5</v>
      </c>
      <c r="L814" s="7">
        <v>12</v>
      </c>
      <c r="M814" s="7"/>
      <c r="N814" s="12" t="s">
        <v>20</v>
      </c>
      <c r="O814" s="12" t="s">
        <v>16</v>
      </c>
      <c r="P814" s="57" t="str">
        <f t="shared" si="36"/>
        <v>un fuste</v>
      </c>
      <c r="Q814">
        <f t="shared" si="37"/>
        <v>12.5</v>
      </c>
      <c r="R814">
        <f t="shared" si="38"/>
        <v>10</v>
      </c>
    </row>
    <row r="815" spans="1:21" x14ac:dyDescent="0.25">
      <c r="A815" s="7">
        <v>4</v>
      </c>
      <c r="B815" s="7">
        <v>500</v>
      </c>
      <c r="C815" s="8">
        <v>2</v>
      </c>
      <c r="D815" s="8">
        <v>21</v>
      </c>
      <c r="E815" s="8">
        <v>22</v>
      </c>
      <c r="F815" s="9" t="s">
        <v>21</v>
      </c>
      <c r="G815" s="10" t="s">
        <v>22</v>
      </c>
      <c r="H815" s="11" t="s">
        <v>283</v>
      </c>
      <c r="I815" s="8">
        <v>44.5</v>
      </c>
      <c r="J815" s="15">
        <v>14.164789935178685</v>
      </c>
      <c r="K815" s="8">
        <v>5</v>
      </c>
      <c r="L815" s="8">
        <v>12</v>
      </c>
      <c r="M815" s="7"/>
      <c r="N815" s="12" t="s">
        <v>20</v>
      </c>
      <c r="O815" s="12" t="s">
        <v>16</v>
      </c>
      <c r="P815" s="57" t="str">
        <f t="shared" si="36"/>
        <v>un fuste</v>
      </c>
      <c r="Q815">
        <f t="shared" si="37"/>
        <v>12.5</v>
      </c>
      <c r="R815">
        <f t="shared" si="38"/>
        <v>15</v>
      </c>
      <c r="S815">
        <v>17</v>
      </c>
      <c r="T815" t="s">
        <v>273</v>
      </c>
      <c r="U815">
        <v>0.11638843311567737</v>
      </c>
    </row>
    <row r="816" spans="1:21" x14ac:dyDescent="0.25">
      <c r="A816" s="7">
        <v>4</v>
      </c>
      <c r="B816" s="7">
        <v>100</v>
      </c>
      <c r="C816" s="8">
        <v>3</v>
      </c>
      <c r="D816" s="8">
        <v>21</v>
      </c>
      <c r="E816" s="8">
        <v>22</v>
      </c>
      <c r="F816" s="9" t="s">
        <v>21</v>
      </c>
      <c r="G816" s="13" t="s">
        <v>22</v>
      </c>
      <c r="H816" s="11" t="s">
        <v>283</v>
      </c>
      <c r="I816" s="8">
        <v>27</v>
      </c>
      <c r="J816" s="15">
        <v>8.5943669269623477</v>
      </c>
      <c r="K816" s="8">
        <v>5</v>
      </c>
      <c r="L816" s="8">
        <v>8</v>
      </c>
      <c r="M816" s="7"/>
      <c r="N816" s="12" t="s">
        <v>20</v>
      </c>
      <c r="O816" s="12" t="s">
        <v>16</v>
      </c>
      <c r="P816" s="57" t="str">
        <f t="shared" si="36"/>
        <v>un fuste</v>
      </c>
      <c r="Q816">
        <f t="shared" si="37"/>
        <v>7.5</v>
      </c>
      <c r="R816">
        <f t="shared" si="38"/>
        <v>10</v>
      </c>
    </row>
    <row r="817" spans="1:21" x14ac:dyDescent="0.25">
      <c r="A817" s="7">
        <v>4</v>
      </c>
      <c r="B817" s="7">
        <v>500</v>
      </c>
      <c r="C817" s="8">
        <v>2</v>
      </c>
      <c r="D817" s="8">
        <v>22</v>
      </c>
      <c r="E817" s="8">
        <v>23</v>
      </c>
      <c r="F817" s="9" t="s">
        <v>21</v>
      </c>
      <c r="G817" s="13" t="s">
        <v>22</v>
      </c>
      <c r="H817" s="11" t="s">
        <v>283</v>
      </c>
      <c r="I817" s="7">
        <v>34.5</v>
      </c>
      <c r="J817" s="15">
        <v>10.981691073340778</v>
      </c>
      <c r="K817" s="7">
        <v>6</v>
      </c>
      <c r="L817" s="7">
        <v>9</v>
      </c>
      <c r="M817" s="7"/>
      <c r="N817" s="12" t="s">
        <v>20</v>
      </c>
      <c r="O817" s="12" t="s">
        <v>16</v>
      </c>
      <c r="P817" s="57" t="str">
        <f t="shared" si="36"/>
        <v>un fuste</v>
      </c>
      <c r="Q817">
        <f t="shared" si="37"/>
        <v>10</v>
      </c>
      <c r="R817">
        <f t="shared" si="38"/>
        <v>10</v>
      </c>
      <c r="S817">
        <v>17</v>
      </c>
      <c r="T817" t="s">
        <v>273</v>
      </c>
      <c r="U817">
        <v>5.4511104438907373E-2</v>
      </c>
    </row>
    <row r="818" spans="1:21" x14ac:dyDescent="0.25">
      <c r="A818" s="7">
        <v>4</v>
      </c>
      <c r="B818" s="7">
        <v>100</v>
      </c>
      <c r="C818" s="7">
        <v>4</v>
      </c>
      <c r="D818" s="8">
        <v>22</v>
      </c>
      <c r="E818" s="7">
        <v>23</v>
      </c>
      <c r="F818" s="9" t="s">
        <v>21</v>
      </c>
      <c r="G818" s="10" t="s">
        <v>22</v>
      </c>
      <c r="H818" s="11" t="s">
        <v>283</v>
      </c>
      <c r="I818" s="7">
        <v>30</v>
      </c>
      <c r="J818" s="15">
        <v>9.5492965855137211</v>
      </c>
      <c r="K818" s="7">
        <v>4</v>
      </c>
      <c r="L818" s="7">
        <v>8</v>
      </c>
      <c r="M818" s="7"/>
      <c r="N818" s="12" t="s">
        <v>20</v>
      </c>
      <c r="O818" s="12" t="s">
        <v>16</v>
      </c>
      <c r="P818" s="57" t="str">
        <f t="shared" si="36"/>
        <v>un fuste</v>
      </c>
      <c r="Q818">
        <f t="shared" si="37"/>
        <v>7.5</v>
      </c>
      <c r="R818">
        <f t="shared" si="38"/>
        <v>10</v>
      </c>
    </row>
    <row r="819" spans="1:21" x14ac:dyDescent="0.25">
      <c r="A819" s="7">
        <v>4</v>
      </c>
      <c r="B819" s="7">
        <v>100</v>
      </c>
      <c r="C819" s="8">
        <v>4</v>
      </c>
      <c r="D819" s="8">
        <v>23</v>
      </c>
      <c r="E819" s="8">
        <v>24</v>
      </c>
      <c r="F819" s="9" t="s">
        <v>21</v>
      </c>
      <c r="G819" s="13" t="s">
        <v>22</v>
      </c>
      <c r="H819" s="14" t="s">
        <v>283</v>
      </c>
      <c r="I819" s="7">
        <v>20.5</v>
      </c>
      <c r="J819" s="15">
        <v>6.5253526667677093</v>
      </c>
      <c r="K819" s="7">
        <v>5</v>
      </c>
      <c r="L819" s="8">
        <v>7</v>
      </c>
      <c r="M819" s="7"/>
      <c r="N819" s="12" t="s">
        <v>20</v>
      </c>
      <c r="O819" s="12" t="s">
        <v>16</v>
      </c>
      <c r="P819" s="57" t="str">
        <f t="shared" si="36"/>
        <v>un fuste</v>
      </c>
      <c r="Q819">
        <f t="shared" si="37"/>
        <v>7.5</v>
      </c>
      <c r="R819">
        <f t="shared" si="38"/>
        <v>5</v>
      </c>
    </row>
    <row r="820" spans="1:21" x14ac:dyDescent="0.25">
      <c r="A820" s="7">
        <v>5</v>
      </c>
      <c r="B820" s="7">
        <v>100</v>
      </c>
      <c r="C820" s="7">
        <v>4</v>
      </c>
      <c r="D820" s="8">
        <v>23</v>
      </c>
      <c r="E820" s="7">
        <v>24</v>
      </c>
      <c r="F820" s="9" t="s">
        <v>21</v>
      </c>
      <c r="G820" s="13" t="s">
        <v>22</v>
      </c>
      <c r="H820" s="11" t="s">
        <v>283</v>
      </c>
      <c r="I820" s="7">
        <v>30</v>
      </c>
      <c r="J820" s="15">
        <v>9.5492965855137211</v>
      </c>
      <c r="K820" s="7">
        <v>5</v>
      </c>
      <c r="L820" s="7">
        <v>10</v>
      </c>
      <c r="M820" s="7"/>
      <c r="N820" s="12" t="s">
        <v>29</v>
      </c>
      <c r="O820" s="12" t="s">
        <v>16</v>
      </c>
      <c r="P820" s="57" t="str">
        <f t="shared" si="36"/>
        <v>un fuste</v>
      </c>
      <c r="Q820">
        <f t="shared" si="37"/>
        <v>10</v>
      </c>
      <c r="R820">
        <f t="shared" si="38"/>
        <v>10</v>
      </c>
    </row>
    <row r="821" spans="1:21" x14ac:dyDescent="0.25">
      <c r="A821" s="7">
        <v>2</v>
      </c>
      <c r="B821" s="7">
        <v>500</v>
      </c>
      <c r="C821" s="7">
        <v>2</v>
      </c>
      <c r="D821" s="8">
        <v>24</v>
      </c>
      <c r="E821" s="7">
        <v>25</v>
      </c>
      <c r="F821" s="9" t="s">
        <v>21</v>
      </c>
      <c r="G821" s="10" t="s">
        <v>22</v>
      </c>
      <c r="H821" s="11" t="s">
        <v>283</v>
      </c>
      <c r="I821" s="7">
        <v>34.5</v>
      </c>
      <c r="J821" s="15">
        <v>10.981691073340778</v>
      </c>
      <c r="K821" s="7">
        <v>5.5</v>
      </c>
      <c r="L821" s="7">
        <v>12</v>
      </c>
      <c r="M821" s="7"/>
      <c r="N821" s="12" t="s">
        <v>20</v>
      </c>
      <c r="O821" s="12" t="s">
        <v>16</v>
      </c>
      <c r="P821" s="57" t="str">
        <f t="shared" si="36"/>
        <v>un fuste</v>
      </c>
      <c r="Q821">
        <f t="shared" si="37"/>
        <v>12.5</v>
      </c>
      <c r="R821">
        <f t="shared" si="38"/>
        <v>10</v>
      </c>
      <c r="S821">
        <v>17</v>
      </c>
      <c r="T821" t="s">
        <v>273</v>
      </c>
      <c r="U821">
        <v>7.3319691646719198E-2</v>
      </c>
    </row>
    <row r="822" spans="1:21" x14ac:dyDescent="0.25">
      <c r="A822" s="7">
        <v>3</v>
      </c>
      <c r="B822" s="7">
        <v>500</v>
      </c>
      <c r="C822" s="7">
        <v>2</v>
      </c>
      <c r="D822" s="8">
        <v>25</v>
      </c>
      <c r="E822" s="7">
        <v>25</v>
      </c>
      <c r="F822" s="9" t="s">
        <v>21</v>
      </c>
      <c r="G822" s="13" t="s">
        <v>22</v>
      </c>
      <c r="H822" s="11" t="s">
        <v>283</v>
      </c>
      <c r="I822" s="7">
        <v>37.5</v>
      </c>
      <c r="J822" s="15">
        <v>11.93662073189215</v>
      </c>
      <c r="K822" s="7">
        <v>5</v>
      </c>
      <c r="L822" s="7">
        <v>10</v>
      </c>
      <c r="M822" s="7"/>
      <c r="N822" s="12" t="s">
        <v>20</v>
      </c>
      <c r="O822" s="12" t="s">
        <v>16</v>
      </c>
      <c r="P822" s="57" t="str">
        <f t="shared" si="36"/>
        <v>un fuste</v>
      </c>
      <c r="Q822">
        <f t="shared" si="37"/>
        <v>10</v>
      </c>
      <c r="R822">
        <f t="shared" si="38"/>
        <v>10</v>
      </c>
      <c r="S822">
        <v>17</v>
      </c>
      <c r="T822" t="s">
        <v>273</v>
      </c>
      <c r="U822">
        <v>7.0693088734366083E-2</v>
      </c>
    </row>
    <row r="823" spans="1:21" x14ac:dyDescent="0.25">
      <c r="A823" s="7">
        <v>4</v>
      </c>
      <c r="B823" s="7">
        <v>500</v>
      </c>
      <c r="C823" s="7">
        <v>2</v>
      </c>
      <c r="D823" s="8">
        <v>24</v>
      </c>
      <c r="E823" s="7">
        <v>25</v>
      </c>
      <c r="F823" s="9" t="s">
        <v>21</v>
      </c>
      <c r="G823" s="13" t="s">
        <v>22</v>
      </c>
      <c r="H823" s="14" t="s">
        <v>283</v>
      </c>
      <c r="I823" s="7">
        <v>38.5</v>
      </c>
      <c r="J823" s="15">
        <v>12.254930618075941</v>
      </c>
      <c r="K823" s="7">
        <v>5.5</v>
      </c>
      <c r="L823" s="7">
        <v>12</v>
      </c>
      <c r="M823" s="7"/>
      <c r="N823" s="12" t="s">
        <v>20</v>
      </c>
      <c r="O823" s="12" t="s">
        <v>16</v>
      </c>
      <c r="P823" s="57" t="str">
        <f t="shared" si="36"/>
        <v>un fuste</v>
      </c>
      <c r="Q823">
        <f t="shared" si="37"/>
        <v>12.5</v>
      </c>
      <c r="R823">
        <f t="shared" si="38"/>
        <v>10</v>
      </c>
      <c r="S823">
        <v>17</v>
      </c>
      <c r="T823" t="s">
        <v>273</v>
      </c>
      <c r="U823">
        <v>8.9477727904145057E-2</v>
      </c>
    </row>
    <row r="824" spans="1:21" x14ac:dyDescent="0.25">
      <c r="A824" s="7">
        <v>8</v>
      </c>
      <c r="B824" s="7">
        <v>500</v>
      </c>
      <c r="C824" s="8">
        <v>2</v>
      </c>
      <c r="D824" s="8">
        <v>23</v>
      </c>
      <c r="E824" s="8">
        <v>25</v>
      </c>
      <c r="F824" s="9" t="s">
        <v>21</v>
      </c>
      <c r="G824" s="13" t="s">
        <v>22</v>
      </c>
      <c r="H824" s="14" t="s">
        <v>283</v>
      </c>
      <c r="I824" s="7">
        <v>36.5</v>
      </c>
      <c r="J824" s="15">
        <v>11.618310845708359</v>
      </c>
      <c r="K824" s="7">
        <v>8</v>
      </c>
      <c r="L824" s="7">
        <v>12</v>
      </c>
      <c r="M824" s="7"/>
      <c r="N824" s="12" t="s">
        <v>20</v>
      </c>
      <c r="O824" s="12" t="s">
        <v>16</v>
      </c>
      <c r="P824" s="57" t="str">
        <f t="shared" si="36"/>
        <v>un fuste</v>
      </c>
      <c r="Q824">
        <f t="shared" si="37"/>
        <v>12.5</v>
      </c>
      <c r="R824">
        <f t="shared" si="38"/>
        <v>10</v>
      </c>
      <c r="S824">
        <v>17</v>
      </c>
      <c r="T824" t="s">
        <v>273</v>
      </c>
      <c r="U824">
        <v>8.1218176794214197E-2</v>
      </c>
    </row>
    <row r="825" spans="1:21" x14ac:dyDescent="0.25">
      <c r="A825" s="7">
        <v>9</v>
      </c>
      <c r="B825" s="7">
        <v>500</v>
      </c>
      <c r="C825" s="7">
        <v>4</v>
      </c>
      <c r="D825" s="8">
        <v>22</v>
      </c>
      <c r="E825" s="8">
        <v>25</v>
      </c>
      <c r="F825" s="9" t="s">
        <v>21</v>
      </c>
      <c r="G825" s="13" t="s">
        <v>22</v>
      </c>
      <c r="H825" s="14" t="s">
        <v>283</v>
      </c>
      <c r="I825" s="7">
        <v>34.5</v>
      </c>
      <c r="J825" s="15">
        <v>10.981691073340778</v>
      </c>
      <c r="K825" s="7">
        <v>6</v>
      </c>
      <c r="L825" s="7">
        <v>10</v>
      </c>
      <c r="M825" s="7"/>
      <c r="N825" s="12" t="s">
        <v>20</v>
      </c>
      <c r="O825" s="12" t="s">
        <v>16</v>
      </c>
      <c r="P825" s="57" t="str">
        <f t="shared" si="36"/>
        <v>un fuste</v>
      </c>
      <c r="Q825">
        <f t="shared" si="37"/>
        <v>10</v>
      </c>
      <c r="R825">
        <f t="shared" si="38"/>
        <v>10</v>
      </c>
      <c r="S825">
        <v>17</v>
      </c>
      <c r="T825" t="s">
        <v>273</v>
      </c>
      <c r="U825">
        <v>6.0762138553092628E-2</v>
      </c>
    </row>
    <row r="826" spans="1:21" x14ac:dyDescent="0.25">
      <c r="A826" s="7">
        <v>5</v>
      </c>
      <c r="B826" s="7">
        <v>100</v>
      </c>
      <c r="C826" s="8">
        <v>4</v>
      </c>
      <c r="D826" s="8" t="s">
        <v>173</v>
      </c>
      <c r="E826" s="8">
        <v>25</v>
      </c>
      <c r="F826" s="9" t="s">
        <v>21</v>
      </c>
      <c r="G826" s="10" t="s">
        <v>22</v>
      </c>
      <c r="H826" s="11" t="s">
        <v>283</v>
      </c>
      <c r="I826" s="7">
        <v>16.5</v>
      </c>
      <c r="J826" s="15">
        <v>5.2521131220325463</v>
      </c>
      <c r="K826" s="7">
        <v>4.5</v>
      </c>
      <c r="L826" s="8">
        <v>9</v>
      </c>
      <c r="M826" s="7"/>
      <c r="N826" s="12" t="s">
        <v>20</v>
      </c>
      <c r="O826" s="12" t="s">
        <v>16</v>
      </c>
      <c r="P826" s="31" t="e">
        <f t="shared" si="36"/>
        <v>#VALUE!</v>
      </c>
      <c r="Q826">
        <f t="shared" si="37"/>
        <v>10</v>
      </c>
      <c r="R826">
        <f t="shared" si="38"/>
        <v>5</v>
      </c>
    </row>
    <row r="827" spans="1:21" x14ac:dyDescent="0.25">
      <c r="A827" s="7">
        <v>5</v>
      </c>
      <c r="B827" s="7">
        <v>100</v>
      </c>
      <c r="C827" s="8">
        <v>4</v>
      </c>
      <c r="D827" s="8">
        <v>25</v>
      </c>
      <c r="E827" s="8">
        <v>27</v>
      </c>
      <c r="F827" s="17" t="s">
        <v>21</v>
      </c>
      <c r="G827" s="10" t="s">
        <v>22</v>
      </c>
      <c r="H827" s="11" t="s">
        <v>283</v>
      </c>
      <c r="I827" s="7">
        <v>18</v>
      </c>
      <c r="J827" s="15">
        <v>5.7295779513082321</v>
      </c>
      <c r="K827" s="7">
        <v>9</v>
      </c>
      <c r="L827" s="8">
        <v>11</v>
      </c>
      <c r="M827" s="7"/>
      <c r="N827" s="12" t="s">
        <v>20</v>
      </c>
      <c r="O827" s="12" t="s">
        <v>16</v>
      </c>
      <c r="P827" s="57" t="str">
        <f t="shared" si="36"/>
        <v>un fuste</v>
      </c>
      <c r="Q827">
        <f t="shared" si="37"/>
        <v>10</v>
      </c>
      <c r="R827">
        <f t="shared" si="38"/>
        <v>5</v>
      </c>
    </row>
    <row r="828" spans="1:21" x14ac:dyDescent="0.25">
      <c r="A828" s="7">
        <v>8</v>
      </c>
      <c r="B828" s="7">
        <v>500</v>
      </c>
      <c r="C828" s="8">
        <v>2</v>
      </c>
      <c r="D828" s="8">
        <v>26</v>
      </c>
      <c r="E828" s="8">
        <v>28</v>
      </c>
      <c r="F828" s="9" t="s">
        <v>21</v>
      </c>
      <c r="G828" s="13" t="s">
        <v>22</v>
      </c>
      <c r="H828" s="11" t="s">
        <v>283</v>
      </c>
      <c r="I828" s="7">
        <v>36</v>
      </c>
      <c r="J828" s="15">
        <v>11.459155902616464</v>
      </c>
      <c r="K828" s="7">
        <v>6</v>
      </c>
      <c r="L828" s="8">
        <v>13</v>
      </c>
      <c r="M828" s="7"/>
      <c r="N828" s="12" t="s">
        <v>20</v>
      </c>
      <c r="O828" s="12" t="s">
        <v>16</v>
      </c>
      <c r="P828" s="57" t="str">
        <f t="shared" si="36"/>
        <v>un fuste</v>
      </c>
      <c r="Q828">
        <f t="shared" si="37"/>
        <v>12.5</v>
      </c>
      <c r="R828">
        <f t="shared" si="38"/>
        <v>10</v>
      </c>
      <c r="S828">
        <v>17</v>
      </c>
      <c r="T828" t="s">
        <v>273</v>
      </c>
      <c r="U828">
        <v>8.6019348139417251E-2</v>
      </c>
    </row>
    <row r="829" spans="1:21" x14ac:dyDescent="0.25">
      <c r="A829" s="7">
        <v>1</v>
      </c>
      <c r="B829" s="7">
        <v>500</v>
      </c>
      <c r="C829" s="8">
        <v>4</v>
      </c>
      <c r="D829" s="8">
        <v>27</v>
      </c>
      <c r="E829" s="8">
        <v>30</v>
      </c>
      <c r="F829" s="9" t="s">
        <v>21</v>
      </c>
      <c r="G829" s="13" t="s">
        <v>22</v>
      </c>
      <c r="H829" s="11" t="s">
        <v>283</v>
      </c>
      <c r="I829" s="7">
        <v>55</v>
      </c>
      <c r="J829" s="15">
        <v>17.507043740108486</v>
      </c>
      <c r="K829" s="7">
        <v>7</v>
      </c>
      <c r="L829" s="7">
        <v>13</v>
      </c>
      <c r="M829" s="7"/>
      <c r="N829" s="12" t="s">
        <v>20</v>
      </c>
      <c r="O829" s="12" t="s">
        <v>16</v>
      </c>
      <c r="P829" s="57" t="str">
        <f t="shared" si="36"/>
        <v>un fuste</v>
      </c>
      <c r="Q829">
        <f t="shared" si="37"/>
        <v>12.5</v>
      </c>
      <c r="R829">
        <f t="shared" si="38"/>
        <v>20</v>
      </c>
      <c r="S829">
        <v>17</v>
      </c>
      <c r="T829" t="s">
        <v>273</v>
      </c>
      <c r="U829">
        <v>0.18567824151911486</v>
      </c>
    </row>
    <row r="830" spans="1:21" x14ac:dyDescent="0.25">
      <c r="A830" s="7">
        <v>4</v>
      </c>
      <c r="B830" s="7">
        <v>500</v>
      </c>
      <c r="C830" s="8">
        <v>3</v>
      </c>
      <c r="D830" s="7">
        <v>33</v>
      </c>
      <c r="E830" s="7">
        <v>34</v>
      </c>
      <c r="F830" s="9" t="s">
        <v>21</v>
      </c>
      <c r="G830" s="13" t="s">
        <v>22</v>
      </c>
      <c r="H830" s="11" t="s">
        <v>283</v>
      </c>
      <c r="I830" s="7">
        <v>44.5</v>
      </c>
      <c r="J830" s="15">
        <v>14.164789935178685</v>
      </c>
      <c r="K830" s="7">
        <v>6.5</v>
      </c>
      <c r="L830" s="7">
        <v>13</v>
      </c>
      <c r="M830" s="7"/>
      <c r="N830" s="12" t="s">
        <v>20</v>
      </c>
      <c r="O830" s="12" t="s">
        <v>16</v>
      </c>
      <c r="P830" s="57" t="str">
        <f t="shared" si="36"/>
        <v>un fuste</v>
      </c>
      <c r="Q830">
        <f t="shared" si="37"/>
        <v>12.5</v>
      </c>
      <c r="R830">
        <f t="shared" si="38"/>
        <v>15</v>
      </c>
      <c r="S830">
        <v>17</v>
      </c>
      <c r="T830" t="s">
        <v>273</v>
      </c>
      <c r="U830">
        <v>0.12639455196852614</v>
      </c>
    </row>
    <row r="831" spans="1:21" x14ac:dyDescent="0.25">
      <c r="A831" s="7">
        <v>5</v>
      </c>
      <c r="B831" s="7">
        <v>500</v>
      </c>
      <c r="C831" s="8">
        <v>3</v>
      </c>
      <c r="D831" s="8">
        <v>32</v>
      </c>
      <c r="E831" s="8">
        <v>34</v>
      </c>
      <c r="F831" s="9" t="s">
        <v>21</v>
      </c>
      <c r="G831" s="13" t="s">
        <v>22</v>
      </c>
      <c r="H831" s="11" t="s">
        <v>283</v>
      </c>
      <c r="I831" s="8">
        <v>36</v>
      </c>
      <c r="J831" s="15">
        <v>11.459155902616464</v>
      </c>
      <c r="K831" s="8">
        <v>6</v>
      </c>
      <c r="L831" s="8">
        <v>12</v>
      </c>
      <c r="M831" s="7"/>
      <c r="N831" s="12" t="s">
        <v>20</v>
      </c>
      <c r="O831" s="12" t="s">
        <v>16</v>
      </c>
      <c r="P831" s="57" t="str">
        <f t="shared" si="36"/>
        <v>un fuste</v>
      </c>
      <c r="Q831">
        <f t="shared" si="37"/>
        <v>12.5</v>
      </c>
      <c r="R831">
        <f t="shared" si="38"/>
        <v>10</v>
      </c>
      <c r="S831">
        <v>17</v>
      </c>
      <c r="T831" t="s">
        <v>273</v>
      </c>
      <c r="U831">
        <v>7.9209562371578848E-2</v>
      </c>
    </row>
    <row r="832" spans="1:21" x14ac:dyDescent="0.25">
      <c r="A832" s="7">
        <v>5</v>
      </c>
      <c r="B832" s="7">
        <v>500</v>
      </c>
      <c r="C832" s="8">
        <v>4</v>
      </c>
      <c r="D832" s="8">
        <v>33</v>
      </c>
      <c r="E832" s="8">
        <v>35</v>
      </c>
      <c r="F832" s="9" t="s">
        <v>21</v>
      </c>
      <c r="G832" s="13" t="s">
        <v>22</v>
      </c>
      <c r="H832" s="11" t="s">
        <v>283</v>
      </c>
      <c r="I832" s="8">
        <v>32</v>
      </c>
      <c r="J832" s="15">
        <v>10.185916357881302</v>
      </c>
      <c r="K832" s="8">
        <v>7</v>
      </c>
      <c r="L832" s="8">
        <v>10</v>
      </c>
      <c r="M832" s="7"/>
      <c r="N832" s="12" t="s">
        <v>20</v>
      </c>
      <c r="O832" s="12" t="s">
        <v>16</v>
      </c>
      <c r="P832" s="57" t="str">
        <f t="shared" si="36"/>
        <v>un fuste</v>
      </c>
      <c r="Q832">
        <f t="shared" si="37"/>
        <v>10</v>
      </c>
      <c r="R832">
        <f t="shared" si="38"/>
        <v>10</v>
      </c>
      <c r="S832">
        <v>17</v>
      </c>
      <c r="T832" t="s">
        <v>273</v>
      </c>
      <c r="U832">
        <v>5.3005584899578816E-2</v>
      </c>
    </row>
    <row r="833" spans="1:21" x14ac:dyDescent="0.25">
      <c r="A833" s="7">
        <v>5</v>
      </c>
      <c r="B833" s="7">
        <v>100</v>
      </c>
      <c r="C833" s="8">
        <v>4</v>
      </c>
      <c r="D833" s="8">
        <v>33</v>
      </c>
      <c r="E833" s="8">
        <v>35</v>
      </c>
      <c r="F833" s="9" t="s">
        <v>21</v>
      </c>
      <c r="G833" s="13" t="s">
        <v>22</v>
      </c>
      <c r="H833" s="11" t="s">
        <v>283</v>
      </c>
      <c r="I833" s="7">
        <v>27</v>
      </c>
      <c r="J833" s="15">
        <v>8.5943669269623477</v>
      </c>
      <c r="K833" s="7">
        <v>6</v>
      </c>
      <c r="L833" s="7">
        <v>10</v>
      </c>
      <c r="M833" s="7"/>
      <c r="N833" s="12" t="s">
        <v>20</v>
      </c>
      <c r="O833" s="12" t="s">
        <v>16</v>
      </c>
      <c r="P833" s="57" t="str">
        <f t="shared" si="36"/>
        <v>un fuste</v>
      </c>
      <c r="Q833">
        <f t="shared" si="37"/>
        <v>10</v>
      </c>
      <c r="R833">
        <f t="shared" si="38"/>
        <v>10</v>
      </c>
    </row>
    <row r="834" spans="1:21" x14ac:dyDescent="0.25">
      <c r="A834" s="7">
        <v>5</v>
      </c>
      <c r="B834" s="7">
        <v>500</v>
      </c>
      <c r="C834" s="7">
        <v>4</v>
      </c>
      <c r="D834" s="8">
        <v>34</v>
      </c>
      <c r="E834" s="7">
        <v>36</v>
      </c>
      <c r="F834" s="9" t="s">
        <v>21</v>
      </c>
      <c r="G834" s="13" t="s">
        <v>22</v>
      </c>
      <c r="H834" s="14" t="s">
        <v>283</v>
      </c>
      <c r="I834" s="7">
        <v>35.5</v>
      </c>
      <c r="J834" s="15">
        <v>11.300000959524569</v>
      </c>
      <c r="K834" s="7">
        <v>5.5</v>
      </c>
      <c r="L834" s="7">
        <v>9</v>
      </c>
      <c r="M834" s="7"/>
      <c r="N834" s="12" t="s">
        <v>20</v>
      </c>
      <c r="O834" s="12" t="s">
        <v>16</v>
      </c>
      <c r="P834" s="57" t="str">
        <f t="shared" si="36"/>
        <v>un fuste</v>
      </c>
      <c r="Q834">
        <f t="shared" si="37"/>
        <v>10</v>
      </c>
      <c r="R834">
        <f t="shared" si="38"/>
        <v>10</v>
      </c>
      <c r="S834">
        <v>17</v>
      </c>
      <c r="T834" t="s">
        <v>273</v>
      </c>
      <c r="U834">
        <v>5.7413527586479933E-2</v>
      </c>
    </row>
    <row r="835" spans="1:21" x14ac:dyDescent="0.25">
      <c r="A835" s="7">
        <v>8</v>
      </c>
      <c r="B835" s="7">
        <v>500</v>
      </c>
      <c r="C835" s="8">
        <v>3</v>
      </c>
      <c r="D835" s="8">
        <v>31</v>
      </c>
      <c r="E835" s="8">
        <v>36</v>
      </c>
      <c r="F835" s="9" t="s">
        <v>21</v>
      </c>
      <c r="G835" s="10" t="s">
        <v>22</v>
      </c>
      <c r="H835" s="11" t="s">
        <v>283</v>
      </c>
      <c r="I835" s="7">
        <v>41.5</v>
      </c>
      <c r="J835" s="15">
        <v>13.209860276627314</v>
      </c>
      <c r="K835" s="7">
        <v>8</v>
      </c>
      <c r="L835" s="7">
        <v>12</v>
      </c>
      <c r="M835" s="7"/>
      <c r="N835" s="12" t="s">
        <v>20</v>
      </c>
      <c r="O835" s="12" t="s">
        <v>16</v>
      </c>
      <c r="P835" s="57" t="str">
        <f t="shared" ref="P835:P898" si="39">IF((D835/D835)=1,"un fuste","bifurcado")</f>
        <v>un fuste</v>
      </c>
      <c r="Q835">
        <f t="shared" ref="Q835:Q898" si="40">IF(L835&lt;3.75,2.5,IF(L835&lt;6.25,5,IF(L835&lt;8.74,7.5,IF(L835&lt;11.24,10,IF(L835&lt;13.75,12.5,IF(L835&lt;16.25,15,IF(L835&lt;18.75,17.5,IF(L835&lt;21.25,20,IF(L835&lt;23.75,22.5,IF(L835&lt;26.25,25,IF(L835&lt;28.75,27.5,IF(L835&lt;31.25,30,IF(L835&lt;33.75,32.5,IF(L835&lt;36.25,35,IF(L835&lt;38.75,37.5,IF(L835&lt;41.24,40,IF(L835&lt;43.75,42.5,IF(L835&lt;46.25,45," "))))))))))))))))))</f>
        <v>12.5</v>
      </c>
      <c r="R835">
        <f t="shared" ref="R835:R898" si="41">IF(J835&lt;7.5,5,IF(J835&lt;12.5,10,IF(J835&lt;17.5,15,IF(J835&lt;22.5,20,IF(J835&lt;27.5,25,IF(J835&lt;32.5,30,IF(J835&lt;37.5,35,IF(J835&lt;42.5,40,IF(J835&lt;47.5,45,IF(J835&lt;52.5,50,IF(J835&lt;57.5,55,0)))))))))))</f>
        <v>15</v>
      </c>
      <c r="S835">
        <v>17</v>
      </c>
      <c r="T835" t="s">
        <v>273</v>
      </c>
      <c r="U835">
        <v>0.1025363725312375</v>
      </c>
    </row>
    <row r="836" spans="1:21" x14ac:dyDescent="0.25">
      <c r="A836" s="7">
        <v>5</v>
      </c>
      <c r="B836" s="7">
        <v>100</v>
      </c>
      <c r="C836" s="8">
        <v>4</v>
      </c>
      <c r="D836" s="8">
        <v>34</v>
      </c>
      <c r="E836" s="8">
        <v>36</v>
      </c>
      <c r="F836" s="9" t="s">
        <v>21</v>
      </c>
      <c r="G836" s="10" t="s">
        <v>22</v>
      </c>
      <c r="H836" s="11" t="s">
        <v>283</v>
      </c>
      <c r="I836" s="7">
        <v>21.5</v>
      </c>
      <c r="J836" s="15">
        <v>6.8436625529514998</v>
      </c>
      <c r="K836" s="7">
        <v>6</v>
      </c>
      <c r="L836" s="7">
        <v>9</v>
      </c>
      <c r="M836" s="7"/>
      <c r="N836" s="12" t="s">
        <v>20</v>
      </c>
      <c r="O836" s="12" t="s">
        <v>16</v>
      </c>
      <c r="P836" s="57" t="str">
        <f t="shared" si="39"/>
        <v>un fuste</v>
      </c>
      <c r="Q836">
        <f t="shared" si="40"/>
        <v>10</v>
      </c>
      <c r="R836">
        <f t="shared" si="41"/>
        <v>5</v>
      </c>
    </row>
    <row r="837" spans="1:21" x14ac:dyDescent="0.25">
      <c r="A837" s="7">
        <v>8</v>
      </c>
      <c r="B837" s="7">
        <v>500</v>
      </c>
      <c r="C837" s="7">
        <v>3</v>
      </c>
      <c r="D837" s="8">
        <v>32</v>
      </c>
      <c r="E837" s="7">
        <v>37</v>
      </c>
      <c r="F837" s="9" t="s">
        <v>21</v>
      </c>
      <c r="G837" s="13" t="s">
        <v>22</v>
      </c>
      <c r="H837" s="11" t="s">
        <v>283</v>
      </c>
      <c r="I837" s="7">
        <v>41</v>
      </c>
      <c r="J837" s="15">
        <v>13.050705333535419</v>
      </c>
      <c r="K837" s="7">
        <v>5</v>
      </c>
      <c r="L837" s="7">
        <v>10</v>
      </c>
      <c r="M837" s="7"/>
      <c r="N837" s="12" t="s">
        <v>20</v>
      </c>
      <c r="O837" s="12" t="s">
        <v>16</v>
      </c>
      <c r="P837" s="57" t="str">
        <f t="shared" si="39"/>
        <v>un fuste</v>
      </c>
      <c r="Q837">
        <f t="shared" si="40"/>
        <v>10</v>
      </c>
      <c r="R837">
        <f t="shared" si="41"/>
        <v>15</v>
      </c>
      <c r="S837">
        <v>17</v>
      </c>
      <c r="T837" t="s">
        <v>273</v>
      </c>
      <c r="U837">
        <v>8.3125264362633317E-2</v>
      </c>
    </row>
    <row r="838" spans="1:21" x14ac:dyDescent="0.25">
      <c r="A838" s="7">
        <v>5</v>
      </c>
      <c r="B838" s="7">
        <v>500</v>
      </c>
      <c r="C838" s="8">
        <v>4</v>
      </c>
      <c r="D838" s="8">
        <v>36</v>
      </c>
      <c r="E838" s="8">
        <v>38</v>
      </c>
      <c r="F838" s="9" t="s">
        <v>21</v>
      </c>
      <c r="G838" s="13" t="s">
        <v>22</v>
      </c>
      <c r="H838" s="14" t="s">
        <v>283</v>
      </c>
      <c r="I838" s="7">
        <v>38</v>
      </c>
      <c r="J838" s="15">
        <v>12.095775674984045</v>
      </c>
      <c r="K838" s="7">
        <v>8</v>
      </c>
      <c r="L838" s="8">
        <v>13</v>
      </c>
      <c r="M838" s="7"/>
      <c r="N838" s="12" t="s">
        <v>20</v>
      </c>
      <c r="O838" s="12" t="s">
        <v>16</v>
      </c>
      <c r="P838" s="57" t="str">
        <f t="shared" si="39"/>
        <v>un fuste</v>
      </c>
      <c r="Q838">
        <f t="shared" si="40"/>
        <v>12.5</v>
      </c>
      <c r="R838">
        <f t="shared" si="41"/>
        <v>10</v>
      </c>
      <c r="S838">
        <v>17</v>
      </c>
      <c r="T838" t="s">
        <v>273</v>
      </c>
      <c r="U838">
        <v>9.4891330317624589E-2</v>
      </c>
    </row>
    <row r="839" spans="1:21" x14ac:dyDescent="0.25">
      <c r="A839" s="7">
        <v>4</v>
      </c>
      <c r="B839" s="7">
        <v>500</v>
      </c>
      <c r="C839" s="7">
        <v>3</v>
      </c>
      <c r="D839" s="8">
        <v>38</v>
      </c>
      <c r="E839" s="7">
        <v>39</v>
      </c>
      <c r="F839" s="9" t="s">
        <v>21</v>
      </c>
      <c r="G839" s="13" t="s">
        <v>22</v>
      </c>
      <c r="H839" s="14" t="s">
        <v>283</v>
      </c>
      <c r="I839" s="7">
        <v>49.5</v>
      </c>
      <c r="J839" s="15">
        <v>15.756339366097638</v>
      </c>
      <c r="K839" s="7">
        <v>4</v>
      </c>
      <c r="L839" s="7">
        <v>12</v>
      </c>
      <c r="M839" s="7"/>
      <c r="N839" s="12" t="s">
        <v>20</v>
      </c>
      <c r="O839" s="12" t="s">
        <v>16</v>
      </c>
      <c r="P839" s="57" t="str">
        <f t="shared" si="39"/>
        <v>un fuste</v>
      </c>
      <c r="Q839">
        <f t="shared" si="40"/>
        <v>12.5</v>
      </c>
      <c r="R839">
        <f t="shared" si="41"/>
        <v>15</v>
      </c>
      <c r="S839">
        <v>17</v>
      </c>
      <c r="T839" t="s">
        <v>273</v>
      </c>
      <c r="U839">
        <v>0.141211108885963</v>
      </c>
    </row>
    <row r="840" spans="1:21" x14ac:dyDescent="0.25">
      <c r="A840" s="7">
        <v>8</v>
      </c>
      <c r="B840" s="7">
        <v>500</v>
      </c>
      <c r="C840" s="7">
        <v>3</v>
      </c>
      <c r="D840" s="8">
        <v>34</v>
      </c>
      <c r="E840" s="7">
        <v>39</v>
      </c>
      <c r="F840" s="9" t="s">
        <v>21</v>
      </c>
      <c r="G840" s="10" t="s">
        <v>22</v>
      </c>
      <c r="H840" s="11" t="s">
        <v>283</v>
      </c>
      <c r="I840" s="7">
        <v>45</v>
      </c>
      <c r="J840" s="15">
        <v>14.323944878270581</v>
      </c>
      <c r="K840" s="7">
        <v>6.5</v>
      </c>
      <c r="L840" s="7">
        <v>12</v>
      </c>
      <c r="M840" s="7"/>
      <c r="N840" s="12" t="s">
        <v>20</v>
      </c>
      <c r="O840" s="12" t="s">
        <v>16</v>
      </c>
      <c r="P840" s="57" t="str">
        <f t="shared" si="39"/>
        <v>un fuste</v>
      </c>
      <c r="Q840">
        <f t="shared" si="40"/>
        <v>12.5</v>
      </c>
      <c r="R840">
        <f t="shared" si="41"/>
        <v>15</v>
      </c>
      <c r="S840">
        <v>17</v>
      </c>
      <c r="T840" t="s">
        <v>273</v>
      </c>
      <c r="U840">
        <v>0.11877352207745759</v>
      </c>
    </row>
    <row r="841" spans="1:21" x14ac:dyDescent="0.25">
      <c r="A841" s="7">
        <v>8</v>
      </c>
      <c r="B841" s="7">
        <v>500</v>
      </c>
      <c r="C841" s="7">
        <v>3</v>
      </c>
      <c r="D841" s="8">
        <v>35</v>
      </c>
      <c r="E841" s="7">
        <v>40</v>
      </c>
      <c r="F841" s="9" t="s">
        <v>21</v>
      </c>
      <c r="G841" s="10" t="s">
        <v>22</v>
      </c>
      <c r="H841" s="11" t="s">
        <v>283</v>
      </c>
      <c r="I841" s="7">
        <v>48</v>
      </c>
      <c r="J841" s="15">
        <v>15.278874536821952</v>
      </c>
      <c r="K841" s="7">
        <v>8</v>
      </c>
      <c r="L841" s="7">
        <v>15</v>
      </c>
      <c r="M841" s="7"/>
      <c r="N841" s="12" t="s">
        <v>20</v>
      </c>
      <c r="O841" s="12" t="s">
        <v>16</v>
      </c>
      <c r="P841" s="57" t="str">
        <f t="shared" si="39"/>
        <v>un fuste</v>
      </c>
      <c r="Q841">
        <f t="shared" si="40"/>
        <v>15</v>
      </c>
      <c r="R841">
        <f t="shared" si="41"/>
        <v>15</v>
      </c>
      <c r="S841">
        <v>17</v>
      </c>
      <c r="T841" t="s">
        <v>273</v>
      </c>
      <c r="U841">
        <v>0.16805887690079979</v>
      </c>
    </row>
    <row r="842" spans="1:21" x14ac:dyDescent="0.25">
      <c r="A842" s="7">
        <v>5</v>
      </c>
      <c r="B842" s="7">
        <v>500</v>
      </c>
      <c r="C842" s="7">
        <v>4</v>
      </c>
      <c r="D842" s="8">
        <v>39</v>
      </c>
      <c r="E842" s="8">
        <v>41</v>
      </c>
      <c r="F842" s="9" t="s">
        <v>21</v>
      </c>
      <c r="G842" s="13" t="s">
        <v>22</v>
      </c>
      <c r="H842" s="14" t="s">
        <v>283</v>
      </c>
      <c r="I842" s="7">
        <v>34</v>
      </c>
      <c r="J842" s="15">
        <v>10.822536130248883</v>
      </c>
      <c r="K842" s="7">
        <v>8</v>
      </c>
      <c r="L842" s="7">
        <v>12</v>
      </c>
      <c r="M842" s="7"/>
      <c r="N842" s="12" t="s">
        <v>20</v>
      </c>
      <c r="O842" s="12" t="s">
        <v>16</v>
      </c>
      <c r="P842" s="57" t="str">
        <f t="shared" si="39"/>
        <v>un fuste</v>
      </c>
      <c r="Q842">
        <f t="shared" si="40"/>
        <v>12.5</v>
      </c>
      <c r="R842">
        <f t="shared" si="41"/>
        <v>10</v>
      </c>
      <c r="S842">
        <v>17</v>
      </c>
      <c r="T842" t="s">
        <v>273</v>
      </c>
      <c r="U842">
        <v>7.1401923725509311E-2</v>
      </c>
    </row>
    <row r="843" spans="1:21" x14ac:dyDescent="0.25">
      <c r="A843" s="7">
        <v>2</v>
      </c>
      <c r="B843" s="7">
        <v>500</v>
      </c>
      <c r="C843" s="8">
        <v>3</v>
      </c>
      <c r="D843" s="8">
        <v>46</v>
      </c>
      <c r="E843" s="8">
        <v>49</v>
      </c>
      <c r="F843" s="9" t="s">
        <v>21</v>
      </c>
      <c r="G843" s="13" t="s">
        <v>22</v>
      </c>
      <c r="H843" s="11" t="s">
        <v>283</v>
      </c>
      <c r="I843" s="7">
        <v>72.5</v>
      </c>
      <c r="J843" s="15">
        <v>23.077466748324824</v>
      </c>
      <c r="K843" s="7">
        <v>10</v>
      </c>
      <c r="L843" s="8">
        <v>15</v>
      </c>
      <c r="M843" s="7"/>
      <c r="N843" s="12" t="s">
        <v>29</v>
      </c>
      <c r="O843" s="12" t="s">
        <v>16</v>
      </c>
      <c r="P843" s="57" t="str">
        <f t="shared" si="39"/>
        <v>un fuste</v>
      </c>
      <c r="Q843">
        <f t="shared" si="40"/>
        <v>15</v>
      </c>
      <c r="R843">
        <f t="shared" si="41"/>
        <v>25</v>
      </c>
      <c r="S843">
        <v>17</v>
      </c>
      <c r="T843" t="s">
        <v>273</v>
      </c>
      <c r="U843">
        <v>0.35531630664302144</v>
      </c>
    </row>
    <row r="844" spans="1:21" x14ac:dyDescent="0.25">
      <c r="A844" s="7">
        <v>2</v>
      </c>
      <c r="B844" s="7">
        <v>500</v>
      </c>
      <c r="C844" s="8">
        <v>3</v>
      </c>
      <c r="D844" s="8" t="s">
        <v>117</v>
      </c>
      <c r="E844" s="8">
        <v>50</v>
      </c>
      <c r="F844" s="17" t="s">
        <v>21</v>
      </c>
      <c r="G844" s="10" t="s">
        <v>22</v>
      </c>
      <c r="H844" s="11" t="s">
        <v>283</v>
      </c>
      <c r="I844" s="7">
        <v>69.5</v>
      </c>
      <c r="J844" s="15">
        <v>22.122537089773452</v>
      </c>
      <c r="K844" s="7">
        <v>10</v>
      </c>
      <c r="L844" s="8">
        <v>15</v>
      </c>
      <c r="M844" s="7"/>
      <c r="N844" s="12" t="s">
        <v>20</v>
      </c>
      <c r="O844" s="12" t="s">
        <v>16</v>
      </c>
      <c r="P844" s="31" t="e">
        <f t="shared" si="39"/>
        <v>#VALUE!</v>
      </c>
      <c r="Q844">
        <f t="shared" si="40"/>
        <v>15</v>
      </c>
      <c r="R844">
        <f t="shared" si="41"/>
        <v>20</v>
      </c>
      <c r="S844">
        <v>17</v>
      </c>
      <c r="T844" t="s">
        <v>273</v>
      </c>
      <c r="U844">
        <v>0.32907473673461679</v>
      </c>
    </row>
    <row r="845" spans="1:21" x14ac:dyDescent="0.25">
      <c r="A845" s="7">
        <v>4</v>
      </c>
      <c r="B845" s="7">
        <v>500</v>
      </c>
      <c r="C845" s="8">
        <v>4</v>
      </c>
      <c r="D845" s="8">
        <v>50</v>
      </c>
      <c r="E845" s="8">
        <v>52</v>
      </c>
      <c r="F845" s="9" t="s">
        <v>21</v>
      </c>
      <c r="G845" s="13" t="s">
        <v>22</v>
      </c>
      <c r="H845" s="11" t="s">
        <v>283</v>
      </c>
      <c r="I845" s="7">
        <v>50</v>
      </c>
      <c r="J845" s="15">
        <v>15.915494309189533</v>
      </c>
      <c r="K845" s="7">
        <v>7</v>
      </c>
      <c r="L845" s="8">
        <v>13</v>
      </c>
      <c r="M845" s="7"/>
      <c r="N845" s="12" t="s">
        <v>20</v>
      </c>
      <c r="O845" s="12" t="s">
        <v>16</v>
      </c>
      <c r="P845" s="57" t="str">
        <f t="shared" si="39"/>
        <v>un fuste</v>
      </c>
      <c r="Q845">
        <f t="shared" si="40"/>
        <v>12.5</v>
      </c>
      <c r="R845">
        <f t="shared" si="41"/>
        <v>15</v>
      </c>
      <c r="S845">
        <v>17</v>
      </c>
      <c r="T845" t="s">
        <v>273</v>
      </c>
      <c r="U845">
        <v>0.15617509764181392</v>
      </c>
    </row>
    <row r="846" spans="1:21" x14ac:dyDescent="0.25">
      <c r="A846" s="7">
        <v>4</v>
      </c>
      <c r="B846" s="7">
        <v>500</v>
      </c>
      <c r="C846" s="8">
        <v>4</v>
      </c>
      <c r="D846" s="8">
        <v>52</v>
      </c>
      <c r="E846" s="8">
        <v>54</v>
      </c>
      <c r="F846" s="9" t="s">
        <v>21</v>
      </c>
      <c r="G846" s="13" t="s">
        <v>22</v>
      </c>
      <c r="H846" s="11" t="s">
        <v>283</v>
      </c>
      <c r="I846" s="7">
        <v>36.5</v>
      </c>
      <c r="J846" s="15">
        <v>11.618310845708359</v>
      </c>
      <c r="K846" s="7">
        <v>9</v>
      </c>
      <c r="L846" s="7">
        <v>13</v>
      </c>
      <c r="M846" s="7"/>
      <c r="N846" s="12" t="s">
        <v>20</v>
      </c>
      <c r="O846" s="12" t="s">
        <v>16</v>
      </c>
      <c r="P846" s="57" t="str">
        <f t="shared" si="39"/>
        <v>un fuste</v>
      </c>
      <c r="Q846">
        <f t="shared" si="40"/>
        <v>12.5</v>
      </c>
      <c r="R846">
        <f t="shared" si="41"/>
        <v>10</v>
      </c>
      <c r="S846">
        <v>17</v>
      </c>
      <c r="T846" t="s">
        <v>273</v>
      </c>
      <c r="U846">
        <v>8.8200646686277084E-2</v>
      </c>
    </row>
    <row r="847" spans="1:21" x14ac:dyDescent="0.25">
      <c r="A847" s="7">
        <v>1</v>
      </c>
      <c r="B847" s="7">
        <v>100</v>
      </c>
      <c r="C847" s="8">
        <v>1</v>
      </c>
      <c r="D847" s="8">
        <v>1</v>
      </c>
      <c r="E847" s="8">
        <v>1</v>
      </c>
      <c r="F847" s="9" t="s">
        <v>21</v>
      </c>
      <c r="G847" s="13" t="s">
        <v>22</v>
      </c>
      <c r="H847" s="11" t="s">
        <v>283</v>
      </c>
      <c r="I847" s="8">
        <v>16</v>
      </c>
      <c r="J847" s="15">
        <v>5.0929581789406511</v>
      </c>
      <c r="K847" s="8">
        <v>6</v>
      </c>
      <c r="L847" s="8">
        <v>8</v>
      </c>
      <c r="M847" s="7"/>
      <c r="N847" s="12" t="s">
        <v>20</v>
      </c>
      <c r="O847" s="12" t="s">
        <v>16</v>
      </c>
      <c r="P847" s="57" t="str">
        <f t="shared" si="39"/>
        <v>un fuste</v>
      </c>
      <c r="Q847">
        <f t="shared" si="40"/>
        <v>7.5</v>
      </c>
      <c r="R847">
        <f t="shared" si="41"/>
        <v>5</v>
      </c>
    </row>
    <row r="848" spans="1:21" x14ac:dyDescent="0.25">
      <c r="A848" s="7">
        <v>10</v>
      </c>
      <c r="B848" s="7">
        <v>100</v>
      </c>
      <c r="C848" s="8">
        <v>1</v>
      </c>
      <c r="D848" s="7">
        <v>1</v>
      </c>
      <c r="E848" s="7">
        <v>1</v>
      </c>
      <c r="F848" s="9" t="s">
        <v>21</v>
      </c>
      <c r="G848" s="21" t="s">
        <v>22</v>
      </c>
      <c r="H848" s="14" t="s">
        <v>283</v>
      </c>
      <c r="I848" s="7">
        <v>21.5</v>
      </c>
      <c r="J848" s="15">
        <v>6.8436625529514998</v>
      </c>
      <c r="K848" s="7">
        <v>4</v>
      </c>
      <c r="L848" s="7">
        <v>10</v>
      </c>
      <c r="M848" s="7"/>
      <c r="N848" s="12" t="s">
        <v>20</v>
      </c>
      <c r="O848" s="12" t="s">
        <v>16</v>
      </c>
      <c r="P848" s="57" t="str">
        <f t="shared" si="39"/>
        <v>un fuste</v>
      </c>
      <c r="Q848">
        <f t="shared" si="40"/>
        <v>10</v>
      </c>
      <c r="R848">
        <f t="shared" si="41"/>
        <v>5</v>
      </c>
    </row>
    <row r="849" spans="1:21" x14ac:dyDescent="0.25">
      <c r="A849" s="7">
        <v>11</v>
      </c>
      <c r="B849" s="7">
        <v>5</v>
      </c>
      <c r="C849" s="8"/>
      <c r="D849" s="8">
        <v>3</v>
      </c>
      <c r="E849" s="8">
        <v>3</v>
      </c>
      <c r="F849" s="9" t="s">
        <v>48</v>
      </c>
      <c r="G849" s="13" t="s">
        <v>49</v>
      </c>
      <c r="H849" s="11" t="s">
        <v>50</v>
      </c>
      <c r="I849" s="7"/>
      <c r="J849" s="7"/>
      <c r="K849" s="7"/>
      <c r="L849" s="7">
        <v>6</v>
      </c>
      <c r="M849" s="7" t="e">
        <v>#REF!</v>
      </c>
      <c r="N849" s="12"/>
      <c r="O849" s="12" t="s">
        <v>16</v>
      </c>
      <c r="P849" s="57" t="str">
        <f t="shared" si="39"/>
        <v>un fuste</v>
      </c>
      <c r="Q849">
        <f t="shared" si="40"/>
        <v>5</v>
      </c>
      <c r="R849">
        <f t="shared" si="41"/>
        <v>5</v>
      </c>
    </row>
    <row r="850" spans="1:21" x14ac:dyDescent="0.25">
      <c r="A850" s="7">
        <v>5</v>
      </c>
      <c r="B850" s="7">
        <v>500</v>
      </c>
      <c r="C850" s="8">
        <v>1</v>
      </c>
      <c r="D850" s="8">
        <v>3</v>
      </c>
      <c r="E850" s="8">
        <v>3</v>
      </c>
      <c r="F850" s="9" t="s">
        <v>21</v>
      </c>
      <c r="G850" s="13" t="s">
        <v>22</v>
      </c>
      <c r="H850" s="14" t="s">
        <v>283</v>
      </c>
      <c r="I850" s="8">
        <v>38.5</v>
      </c>
      <c r="J850" s="15">
        <v>12.254930618075941</v>
      </c>
      <c r="K850" s="8">
        <v>9</v>
      </c>
      <c r="L850" s="8">
        <v>12</v>
      </c>
      <c r="M850" s="7"/>
      <c r="N850" s="12" t="s">
        <v>20</v>
      </c>
      <c r="O850" s="12" t="s">
        <v>16</v>
      </c>
      <c r="P850" s="57" t="str">
        <f t="shared" si="39"/>
        <v>un fuste</v>
      </c>
      <c r="Q850">
        <f t="shared" si="40"/>
        <v>12.5</v>
      </c>
      <c r="R850">
        <f t="shared" si="41"/>
        <v>10</v>
      </c>
      <c r="S850">
        <v>17</v>
      </c>
      <c r="T850" t="s">
        <v>273</v>
      </c>
      <c r="U850">
        <v>8.9477727904145057E-2</v>
      </c>
    </row>
    <row r="851" spans="1:21" x14ac:dyDescent="0.25">
      <c r="A851" s="7">
        <v>4</v>
      </c>
      <c r="B851" s="7">
        <v>100</v>
      </c>
      <c r="C851" s="8">
        <v>1</v>
      </c>
      <c r="D851" s="8">
        <v>3</v>
      </c>
      <c r="E851" s="8">
        <v>3</v>
      </c>
      <c r="F851" s="9" t="s">
        <v>21</v>
      </c>
      <c r="G851" s="10" t="s">
        <v>22</v>
      </c>
      <c r="H851" s="11" t="s">
        <v>283</v>
      </c>
      <c r="I851" s="7">
        <v>24</v>
      </c>
      <c r="J851" s="15">
        <v>7.6394372684109761</v>
      </c>
      <c r="K851" s="7">
        <v>5</v>
      </c>
      <c r="L851" s="7">
        <v>8</v>
      </c>
      <c r="M851" s="7"/>
      <c r="N851" s="12" t="s">
        <v>20</v>
      </c>
      <c r="O851" s="12" t="s">
        <v>16</v>
      </c>
      <c r="P851" s="57" t="str">
        <f t="shared" si="39"/>
        <v>un fuste</v>
      </c>
      <c r="Q851">
        <f t="shared" si="40"/>
        <v>7.5</v>
      </c>
      <c r="R851">
        <f t="shared" si="41"/>
        <v>10</v>
      </c>
    </row>
    <row r="852" spans="1:21" x14ac:dyDescent="0.25">
      <c r="A852" s="7">
        <v>7</v>
      </c>
      <c r="B852" s="7">
        <v>500</v>
      </c>
      <c r="C852" s="7">
        <v>1</v>
      </c>
      <c r="D852" s="8">
        <v>4</v>
      </c>
      <c r="E852" s="7">
        <v>4</v>
      </c>
      <c r="F852" s="17" t="s">
        <v>21</v>
      </c>
      <c r="G852" s="10" t="s">
        <v>22</v>
      </c>
      <c r="H852" s="11" t="s">
        <v>283</v>
      </c>
      <c r="I852" s="7">
        <v>48</v>
      </c>
      <c r="J852" s="15">
        <v>15.278874536821952</v>
      </c>
      <c r="K852" s="7">
        <v>6</v>
      </c>
      <c r="L852" s="7">
        <v>10</v>
      </c>
      <c r="M852" s="7"/>
      <c r="N852" s="12" t="s">
        <v>20</v>
      </c>
      <c r="O852" s="12" t="s">
        <v>183</v>
      </c>
      <c r="P852" s="57" t="str">
        <f t="shared" si="39"/>
        <v>un fuste</v>
      </c>
      <c r="Q852">
        <f t="shared" si="40"/>
        <v>10</v>
      </c>
      <c r="R852">
        <f t="shared" si="41"/>
        <v>15</v>
      </c>
      <c r="S852">
        <v>17</v>
      </c>
      <c r="T852" t="s">
        <v>273</v>
      </c>
      <c r="U852">
        <v>0.11066715644741094</v>
      </c>
    </row>
    <row r="853" spans="1:21" x14ac:dyDescent="0.25">
      <c r="A853" s="7">
        <v>9</v>
      </c>
      <c r="B853" s="7">
        <v>500</v>
      </c>
      <c r="C853" s="8">
        <v>1</v>
      </c>
      <c r="D853" s="8">
        <v>4</v>
      </c>
      <c r="E853" s="8">
        <v>4</v>
      </c>
      <c r="F853" s="9" t="s">
        <v>21</v>
      </c>
      <c r="G853" s="10" t="s">
        <v>22</v>
      </c>
      <c r="H853" s="11" t="s">
        <v>283</v>
      </c>
      <c r="I853" s="7">
        <v>37</v>
      </c>
      <c r="J853" s="15">
        <v>11.777465788800255</v>
      </c>
      <c r="K853" s="7">
        <v>4</v>
      </c>
      <c r="L853" s="8">
        <v>9</v>
      </c>
      <c r="M853" s="7"/>
      <c r="N853" s="12" t="s">
        <v>20</v>
      </c>
      <c r="O853" s="12" t="s">
        <v>16</v>
      </c>
      <c r="P853" s="57" t="str">
        <f t="shared" si="39"/>
        <v>un fuste</v>
      </c>
      <c r="Q853">
        <f t="shared" si="40"/>
        <v>10</v>
      </c>
      <c r="R853">
        <f t="shared" si="41"/>
        <v>10</v>
      </c>
      <c r="S853">
        <v>17</v>
      </c>
      <c r="T853" t="s">
        <v>273</v>
      </c>
      <c r="U853">
        <v>6.1893527845592933E-2</v>
      </c>
    </row>
    <row r="854" spans="1:21" x14ac:dyDescent="0.25">
      <c r="A854" s="7">
        <v>4</v>
      </c>
      <c r="B854" s="7">
        <v>100</v>
      </c>
      <c r="C854" s="8">
        <v>1</v>
      </c>
      <c r="D854" s="8">
        <v>4</v>
      </c>
      <c r="E854" s="8">
        <v>4</v>
      </c>
      <c r="F854" s="9" t="s">
        <v>21</v>
      </c>
      <c r="G854" s="10" t="s">
        <v>22</v>
      </c>
      <c r="H854" s="11" t="s">
        <v>283</v>
      </c>
      <c r="I854" s="7">
        <v>25</v>
      </c>
      <c r="J854" s="15">
        <v>7.9577471545947667</v>
      </c>
      <c r="K854" s="7">
        <v>6</v>
      </c>
      <c r="L854" s="7">
        <v>8</v>
      </c>
      <c r="M854" s="7"/>
      <c r="N854" s="12" t="s">
        <v>20</v>
      </c>
      <c r="O854" s="12" t="s">
        <v>16</v>
      </c>
      <c r="P854" s="57" t="str">
        <f t="shared" si="39"/>
        <v>un fuste</v>
      </c>
      <c r="Q854">
        <f t="shared" si="40"/>
        <v>7.5</v>
      </c>
      <c r="R854">
        <f t="shared" si="41"/>
        <v>10</v>
      </c>
    </row>
    <row r="855" spans="1:21" x14ac:dyDescent="0.25">
      <c r="A855" s="7">
        <v>5</v>
      </c>
      <c r="B855" s="7">
        <v>100</v>
      </c>
      <c r="C855" s="7">
        <v>1</v>
      </c>
      <c r="D855" s="8">
        <v>3</v>
      </c>
      <c r="E855" s="7">
        <v>4</v>
      </c>
      <c r="F855" s="9" t="s">
        <v>21</v>
      </c>
      <c r="G855" s="13" t="s">
        <v>22</v>
      </c>
      <c r="H855" s="14" t="s">
        <v>283</v>
      </c>
      <c r="I855" s="7">
        <v>30</v>
      </c>
      <c r="J855" s="15">
        <v>9.5492965855137211</v>
      </c>
      <c r="K855" s="7">
        <v>7</v>
      </c>
      <c r="L855" s="7">
        <v>13</v>
      </c>
      <c r="M855" s="7"/>
      <c r="N855" s="12" t="s">
        <v>20</v>
      </c>
      <c r="O855" s="12" t="s">
        <v>16</v>
      </c>
      <c r="P855" s="57" t="str">
        <f t="shared" si="39"/>
        <v>un fuste</v>
      </c>
      <c r="Q855">
        <f t="shared" si="40"/>
        <v>12.5</v>
      </c>
      <c r="R855">
        <f t="shared" si="41"/>
        <v>10</v>
      </c>
    </row>
    <row r="856" spans="1:21" x14ac:dyDescent="0.25">
      <c r="A856" s="7">
        <v>6</v>
      </c>
      <c r="B856" s="7">
        <v>100</v>
      </c>
      <c r="C856" s="7">
        <v>1</v>
      </c>
      <c r="D856" s="8">
        <v>4</v>
      </c>
      <c r="E856" s="7">
        <v>4</v>
      </c>
      <c r="F856" s="9" t="s">
        <v>21</v>
      </c>
      <c r="G856" s="13" t="s">
        <v>22</v>
      </c>
      <c r="H856" s="11" t="s">
        <v>283</v>
      </c>
      <c r="I856" s="7">
        <v>20</v>
      </c>
      <c r="J856" s="15">
        <v>6.366197723675814</v>
      </c>
      <c r="K856" s="7">
        <v>3.5</v>
      </c>
      <c r="L856" s="7">
        <v>7.5</v>
      </c>
      <c r="M856" s="7"/>
      <c r="N856" s="12" t="s">
        <v>20</v>
      </c>
      <c r="O856" s="12" t="s">
        <v>16</v>
      </c>
      <c r="P856" s="57" t="str">
        <f t="shared" si="39"/>
        <v>un fuste</v>
      </c>
      <c r="Q856">
        <f t="shared" si="40"/>
        <v>7.5</v>
      </c>
      <c r="R856">
        <f t="shared" si="41"/>
        <v>5</v>
      </c>
    </row>
    <row r="857" spans="1:21" x14ac:dyDescent="0.25">
      <c r="A857" s="7">
        <v>10</v>
      </c>
      <c r="B857" s="7">
        <v>100</v>
      </c>
      <c r="C857" s="7">
        <v>1</v>
      </c>
      <c r="D857" s="8">
        <v>4</v>
      </c>
      <c r="E857" s="8">
        <v>4</v>
      </c>
      <c r="F857" s="9" t="s">
        <v>21</v>
      </c>
      <c r="G857" s="13" t="s">
        <v>22</v>
      </c>
      <c r="H857" s="11" t="s">
        <v>283</v>
      </c>
      <c r="I857" s="7">
        <v>31</v>
      </c>
      <c r="J857" s="15">
        <v>9.8676064716975116</v>
      </c>
      <c r="K857" s="7">
        <v>7</v>
      </c>
      <c r="L857" s="7">
        <v>12</v>
      </c>
      <c r="M857" s="7"/>
      <c r="N857" s="12" t="s">
        <v>20</v>
      </c>
      <c r="O857" s="12" t="s">
        <v>16</v>
      </c>
      <c r="P857" s="57" t="str">
        <f t="shared" si="39"/>
        <v>un fuste</v>
      </c>
      <c r="Q857">
        <f t="shared" si="40"/>
        <v>12.5</v>
      </c>
      <c r="R857">
        <f t="shared" si="41"/>
        <v>10</v>
      </c>
    </row>
    <row r="858" spans="1:21" x14ac:dyDescent="0.25">
      <c r="A858" s="7">
        <v>11</v>
      </c>
      <c r="B858" s="7">
        <v>5</v>
      </c>
      <c r="C858" s="7"/>
      <c r="D858" s="8">
        <v>4</v>
      </c>
      <c r="E858" s="7">
        <v>4</v>
      </c>
      <c r="F858" s="9" t="s">
        <v>21</v>
      </c>
      <c r="G858" s="13" t="s">
        <v>22</v>
      </c>
      <c r="H858" s="14" t="s">
        <v>283</v>
      </c>
      <c r="I858" s="7"/>
      <c r="J858" s="7"/>
      <c r="K858" s="7"/>
      <c r="L858" s="7">
        <v>1.6</v>
      </c>
      <c r="M858" s="7" t="e">
        <v>#REF!</v>
      </c>
      <c r="N858" s="12"/>
      <c r="O858" s="12" t="s">
        <v>16</v>
      </c>
      <c r="P858" s="57" t="str">
        <f t="shared" si="39"/>
        <v>un fuste</v>
      </c>
      <c r="Q858">
        <f t="shared" si="40"/>
        <v>2.5</v>
      </c>
      <c r="R858">
        <f t="shared" si="41"/>
        <v>5</v>
      </c>
    </row>
    <row r="859" spans="1:21" x14ac:dyDescent="0.25">
      <c r="A859" s="7">
        <v>11</v>
      </c>
      <c r="B859" s="7">
        <v>5</v>
      </c>
      <c r="C859" s="8"/>
      <c r="D859" s="8">
        <v>5</v>
      </c>
      <c r="E859" s="8">
        <v>5</v>
      </c>
      <c r="F859" s="9" t="s">
        <v>30</v>
      </c>
      <c r="G859" s="10" t="s">
        <v>31</v>
      </c>
      <c r="H859" s="11" t="s">
        <v>32</v>
      </c>
      <c r="I859" s="7"/>
      <c r="J859" s="7"/>
      <c r="K859" s="7"/>
      <c r="L859" s="8">
        <v>1.2</v>
      </c>
      <c r="M859" s="7" t="e">
        <v>#REF!</v>
      </c>
      <c r="N859" s="12"/>
      <c r="O859" s="12" t="s">
        <v>16</v>
      </c>
      <c r="P859" s="57" t="str">
        <f t="shared" si="39"/>
        <v>un fuste</v>
      </c>
      <c r="Q859">
        <f t="shared" si="40"/>
        <v>2.5</v>
      </c>
      <c r="R859">
        <f t="shared" si="41"/>
        <v>5</v>
      </c>
    </row>
    <row r="860" spans="1:21" x14ac:dyDescent="0.25">
      <c r="A860" s="7">
        <v>4</v>
      </c>
      <c r="B860" s="7">
        <v>500</v>
      </c>
      <c r="C860" s="8">
        <v>1</v>
      </c>
      <c r="D860" s="8">
        <v>5</v>
      </c>
      <c r="E860" s="8">
        <v>5</v>
      </c>
      <c r="F860" s="17" t="s">
        <v>21</v>
      </c>
      <c r="G860" s="10" t="s">
        <v>22</v>
      </c>
      <c r="H860" s="11" t="s">
        <v>283</v>
      </c>
      <c r="I860" s="7">
        <v>48.5</v>
      </c>
      <c r="J860" s="15">
        <v>15.438029479913848</v>
      </c>
      <c r="K860" s="7">
        <v>6</v>
      </c>
      <c r="L860" s="8">
        <v>11</v>
      </c>
      <c r="M860" s="7"/>
      <c r="N860" s="12" t="s">
        <v>20</v>
      </c>
      <c r="O860" s="12" t="s">
        <v>16</v>
      </c>
      <c r="P860" s="57" t="str">
        <f t="shared" si="39"/>
        <v>un fuste</v>
      </c>
      <c r="Q860">
        <f t="shared" si="40"/>
        <v>10</v>
      </c>
      <c r="R860">
        <f t="shared" si="41"/>
        <v>15</v>
      </c>
      <c r="S860">
        <v>17</v>
      </c>
      <c r="T860" t="s">
        <v>273</v>
      </c>
      <c r="U860">
        <v>0.12440565313674383</v>
      </c>
    </row>
    <row r="861" spans="1:21" x14ac:dyDescent="0.25">
      <c r="A861" s="7">
        <v>5</v>
      </c>
      <c r="B861" s="7">
        <v>500</v>
      </c>
      <c r="C861" s="8">
        <v>1</v>
      </c>
      <c r="D861" s="8">
        <v>5</v>
      </c>
      <c r="E861" s="8">
        <v>5</v>
      </c>
      <c r="F861" s="17" t="s">
        <v>21</v>
      </c>
      <c r="G861" s="18" t="s">
        <v>22</v>
      </c>
      <c r="H861" s="11" t="s">
        <v>283</v>
      </c>
      <c r="I861" s="7">
        <v>37</v>
      </c>
      <c r="J861" s="15">
        <v>11.777465788800255</v>
      </c>
      <c r="K861" s="7">
        <v>5.5</v>
      </c>
      <c r="L861" s="8">
        <v>10</v>
      </c>
      <c r="M861" s="7"/>
      <c r="N861" s="12" t="s">
        <v>20</v>
      </c>
      <c r="O861" s="12" t="s">
        <v>16</v>
      </c>
      <c r="P861" s="57" t="str">
        <f t="shared" si="39"/>
        <v>un fuste</v>
      </c>
      <c r="Q861">
        <f t="shared" si="40"/>
        <v>10</v>
      </c>
      <c r="R861">
        <f t="shared" si="41"/>
        <v>10</v>
      </c>
      <c r="S861">
        <v>17</v>
      </c>
      <c r="T861" t="s">
        <v>273</v>
      </c>
      <c r="U861">
        <v>6.8991137736137118E-2</v>
      </c>
    </row>
    <row r="862" spans="1:21" x14ac:dyDescent="0.25">
      <c r="A862" s="7">
        <v>7</v>
      </c>
      <c r="B862" s="7">
        <v>500</v>
      </c>
      <c r="C862" s="8">
        <v>1</v>
      </c>
      <c r="D862" s="8" t="s">
        <v>192</v>
      </c>
      <c r="E862" s="8">
        <v>5</v>
      </c>
      <c r="F862" s="9" t="s">
        <v>21</v>
      </c>
      <c r="G862" s="13" t="s">
        <v>22</v>
      </c>
      <c r="H862" s="11" t="s">
        <v>283</v>
      </c>
      <c r="I862" s="8">
        <v>39</v>
      </c>
      <c r="J862" s="15">
        <v>12.414085561167836</v>
      </c>
      <c r="K862" s="8">
        <v>6.5</v>
      </c>
      <c r="L862" s="8">
        <v>10</v>
      </c>
      <c r="M862" s="7"/>
      <c r="N862" s="12" t="s">
        <v>20</v>
      </c>
      <c r="O862" s="12" t="s">
        <v>16</v>
      </c>
      <c r="P862" s="31" t="e">
        <f t="shared" si="39"/>
        <v>#VALUE!</v>
      </c>
      <c r="Q862">
        <f t="shared" si="40"/>
        <v>10</v>
      </c>
      <c r="R862">
        <f t="shared" si="41"/>
        <v>10</v>
      </c>
      <c r="S862">
        <v>17</v>
      </c>
      <c r="T862" t="s">
        <v>273</v>
      </c>
      <c r="U862">
        <v>7.5910406574124872E-2</v>
      </c>
    </row>
    <row r="863" spans="1:21" x14ac:dyDescent="0.25">
      <c r="A863" s="7">
        <v>1</v>
      </c>
      <c r="B863" s="7">
        <v>100</v>
      </c>
      <c r="C863" s="8">
        <v>1</v>
      </c>
      <c r="D863" s="8">
        <v>5</v>
      </c>
      <c r="E863" s="8">
        <v>5</v>
      </c>
      <c r="F863" s="9" t="s">
        <v>21</v>
      </c>
      <c r="G863" s="10" t="s">
        <v>22</v>
      </c>
      <c r="H863" s="11" t="s">
        <v>283</v>
      </c>
      <c r="I863" s="7">
        <v>16</v>
      </c>
      <c r="J863" s="15">
        <v>5.0929581789406511</v>
      </c>
      <c r="K863" s="7">
        <v>2</v>
      </c>
      <c r="L863" s="7">
        <v>4</v>
      </c>
      <c r="M863" s="7"/>
      <c r="N863" s="12" t="s">
        <v>20</v>
      </c>
      <c r="O863" s="12" t="s">
        <v>39</v>
      </c>
      <c r="P863" s="57" t="str">
        <f t="shared" si="39"/>
        <v>un fuste</v>
      </c>
      <c r="Q863">
        <f t="shared" si="40"/>
        <v>5</v>
      </c>
      <c r="R863">
        <f t="shared" si="41"/>
        <v>5</v>
      </c>
    </row>
    <row r="864" spans="1:21" x14ac:dyDescent="0.25">
      <c r="A864" s="7">
        <v>4</v>
      </c>
      <c r="B864" s="7">
        <v>100</v>
      </c>
      <c r="C864" s="8">
        <v>1</v>
      </c>
      <c r="D864" s="8">
        <v>5</v>
      </c>
      <c r="E864" s="8">
        <v>5</v>
      </c>
      <c r="F864" s="9" t="s">
        <v>21</v>
      </c>
      <c r="G864" s="10" t="s">
        <v>22</v>
      </c>
      <c r="H864" s="11" t="s">
        <v>283</v>
      </c>
      <c r="I864" s="7">
        <v>24.5</v>
      </c>
      <c r="J864" s="15">
        <v>7.7985922115028714</v>
      </c>
      <c r="K864" s="7">
        <v>6</v>
      </c>
      <c r="L864" s="7">
        <v>9</v>
      </c>
      <c r="M864" s="7"/>
      <c r="N864" s="12" t="s">
        <v>29</v>
      </c>
      <c r="O864" s="12" t="s">
        <v>16</v>
      </c>
      <c r="P864" s="57" t="str">
        <f t="shared" si="39"/>
        <v>un fuste</v>
      </c>
      <c r="Q864">
        <f t="shared" si="40"/>
        <v>10</v>
      </c>
      <c r="R864">
        <f t="shared" si="41"/>
        <v>10</v>
      </c>
    </row>
    <row r="865" spans="1:18" x14ac:dyDescent="0.25">
      <c r="A865" s="7">
        <v>6</v>
      </c>
      <c r="B865" s="7">
        <v>100</v>
      </c>
      <c r="C865" s="8">
        <v>1</v>
      </c>
      <c r="D865" s="8">
        <v>5</v>
      </c>
      <c r="E865" s="8">
        <v>5</v>
      </c>
      <c r="F865" s="9" t="s">
        <v>21</v>
      </c>
      <c r="G865" s="13" t="s">
        <v>22</v>
      </c>
      <c r="H865" s="14" t="s">
        <v>283</v>
      </c>
      <c r="I865" s="8">
        <v>23.5</v>
      </c>
      <c r="J865" s="15">
        <v>7.4802823253190809</v>
      </c>
      <c r="K865" s="8">
        <v>6</v>
      </c>
      <c r="L865" s="8">
        <v>9</v>
      </c>
      <c r="M865" s="7"/>
      <c r="N865" s="12" t="s">
        <v>20</v>
      </c>
      <c r="O865" s="12" t="s">
        <v>16</v>
      </c>
      <c r="P865" s="57" t="str">
        <f t="shared" si="39"/>
        <v>un fuste</v>
      </c>
      <c r="Q865">
        <f t="shared" si="40"/>
        <v>10</v>
      </c>
      <c r="R865">
        <f t="shared" si="41"/>
        <v>5</v>
      </c>
    </row>
    <row r="866" spans="1:18" x14ac:dyDescent="0.25">
      <c r="A866" s="7">
        <v>11</v>
      </c>
      <c r="B866" s="7">
        <v>5</v>
      </c>
      <c r="C866" s="8"/>
      <c r="D866" s="7">
        <v>6</v>
      </c>
      <c r="E866" s="7">
        <v>6</v>
      </c>
      <c r="F866" s="9" t="s">
        <v>21</v>
      </c>
      <c r="G866" s="13" t="s">
        <v>22</v>
      </c>
      <c r="H866" s="11" t="s">
        <v>283</v>
      </c>
      <c r="I866" s="7"/>
      <c r="J866" s="7"/>
      <c r="K866" s="7"/>
      <c r="L866" s="7">
        <v>1.5</v>
      </c>
      <c r="M866" s="7" t="e">
        <v>#REF!</v>
      </c>
      <c r="N866" s="12"/>
      <c r="O866" s="12" t="s">
        <v>16</v>
      </c>
      <c r="P866" s="57" t="str">
        <f t="shared" si="39"/>
        <v>un fuste</v>
      </c>
      <c r="Q866">
        <f t="shared" si="40"/>
        <v>2.5</v>
      </c>
      <c r="R866">
        <f t="shared" si="41"/>
        <v>5</v>
      </c>
    </row>
    <row r="867" spans="1:18" x14ac:dyDescent="0.25">
      <c r="A867" s="7">
        <v>8</v>
      </c>
      <c r="B867" s="7">
        <v>100</v>
      </c>
      <c r="C867" s="8">
        <v>1</v>
      </c>
      <c r="D867" s="8">
        <v>6</v>
      </c>
      <c r="E867" s="8">
        <v>6</v>
      </c>
      <c r="F867" s="9" t="s">
        <v>198</v>
      </c>
      <c r="G867" s="10" t="s">
        <v>199</v>
      </c>
      <c r="H867" s="11" t="s">
        <v>200</v>
      </c>
      <c r="I867" s="7">
        <v>17.5</v>
      </c>
      <c r="J867" s="15">
        <v>5.5704230082163368</v>
      </c>
      <c r="K867" s="7">
        <v>1.6</v>
      </c>
      <c r="L867" s="7">
        <v>7</v>
      </c>
      <c r="M867" s="7"/>
      <c r="N867" s="12" t="s">
        <v>20</v>
      </c>
      <c r="O867" s="12" t="s">
        <v>16</v>
      </c>
      <c r="P867" s="57" t="str">
        <f t="shared" si="39"/>
        <v>un fuste</v>
      </c>
      <c r="Q867">
        <f t="shared" si="40"/>
        <v>7.5</v>
      </c>
      <c r="R867">
        <f t="shared" si="41"/>
        <v>5</v>
      </c>
    </row>
    <row r="868" spans="1:18" x14ac:dyDescent="0.25">
      <c r="A868" s="7">
        <v>8</v>
      </c>
      <c r="B868" s="7">
        <v>100</v>
      </c>
      <c r="C868" s="7">
        <v>1</v>
      </c>
      <c r="D868" s="8">
        <v>8</v>
      </c>
      <c r="E868" s="7">
        <v>8</v>
      </c>
      <c r="F868" s="9" t="s">
        <v>198</v>
      </c>
      <c r="G868" s="10" t="s">
        <v>199</v>
      </c>
      <c r="H868" s="11" t="s">
        <v>200</v>
      </c>
      <c r="I868" s="7">
        <v>29</v>
      </c>
      <c r="J868" s="15">
        <v>9.2309866993299305</v>
      </c>
      <c r="K868" s="7">
        <v>6</v>
      </c>
      <c r="L868" s="7">
        <v>10</v>
      </c>
      <c r="M868" s="7"/>
      <c r="N868" s="12" t="s">
        <v>20</v>
      </c>
      <c r="O868" s="12" t="s">
        <v>16</v>
      </c>
      <c r="P868" s="57" t="str">
        <f t="shared" si="39"/>
        <v>un fuste</v>
      </c>
      <c r="Q868">
        <f t="shared" si="40"/>
        <v>10</v>
      </c>
      <c r="R868">
        <f t="shared" si="41"/>
        <v>10</v>
      </c>
    </row>
    <row r="869" spans="1:18" x14ac:dyDescent="0.25">
      <c r="A869" s="7">
        <v>3</v>
      </c>
      <c r="B869" s="7">
        <v>100</v>
      </c>
      <c r="C869" s="7">
        <v>2</v>
      </c>
      <c r="D869" s="8">
        <v>10</v>
      </c>
      <c r="E869" s="7">
        <v>10</v>
      </c>
      <c r="F869" s="9" t="s">
        <v>43</v>
      </c>
      <c r="G869" s="10" t="s">
        <v>128</v>
      </c>
      <c r="H869" s="11" t="s">
        <v>185</v>
      </c>
      <c r="I869" s="7">
        <v>17</v>
      </c>
      <c r="J869" s="15">
        <v>5.4112680651244416</v>
      </c>
      <c r="K869" s="7">
        <v>5</v>
      </c>
      <c r="L869" s="7">
        <v>8</v>
      </c>
      <c r="M869" s="7"/>
      <c r="N869" s="12" t="s">
        <v>20</v>
      </c>
      <c r="O869" s="12" t="s">
        <v>16</v>
      </c>
      <c r="P869" s="57" t="str">
        <f t="shared" si="39"/>
        <v>un fuste</v>
      </c>
      <c r="Q869">
        <f t="shared" si="40"/>
        <v>7.5</v>
      </c>
      <c r="R869">
        <f t="shared" si="41"/>
        <v>5</v>
      </c>
    </row>
    <row r="870" spans="1:18" x14ac:dyDescent="0.25">
      <c r="A870" s="7">
        <v>7</v>
      </c>
      <c r="B870" s="7">
        <v>100</v>
      </c>
      <c r="C870" s="7">
        <v>3</v>
      </c>
      <c r="D870" s="8">
        <v>4</v>
      </c>
      <c r="E870" s="7">
        <v>4</v>
      </c>
      <c r="F870" s="9" t="s">
        <v>43</v>
      </c>
      <c r="G870" s="10" t="s">
        <v>128</v>
      </c>
      <c r="H870" s="11" t="s">
        <v>185</v>
      </c>
      <c r="I870" s="7">
        <v>16</v>
      </c>
      <c r="J870" s="15">
        <v>5.0929581789406511</v>
      </c>
      <c r="K870" s="7">
        <v>5.5</v>
      </c>
      <c r="L870" s="7">
        <v>9</v>
      </c>
      <c r="M870" s="7"/>
      <c r="N870" s="12" t="s">
        <v>20</v>
      </c>
      <c r="O870" s="12" t="s">
        <v>16</v>
      </c>
      <c r="P870" s="57" t="str">
        <f t="shared" si="39"/>
        <v>un fuste</v>
      </c>
      <c r="Q870">
        <f t="shared" si="40"/>
        <v>10</v>
      </c>
      <c r="R870">
        <f t="shared" si="41"/>
        <v>5</v>
      </c>
    </row>
    <row r="871" spans="1:18" x14ac:dyDescent="0.25">
      <c r="A871" s="7">
        <v>7</v>
      </c>
      <c r="B871" s="7">
        <v>100</v>
      </c>
      <c r="C871" s="7">
        <v>3</v>
      </c>
      <c r="D871" s="8">
        <v>7</v>
      </c>
      <c r="E871" s="8">
        <v>7</v>
      </c>
      <c r="F871" s="9" t="s">
        <v>43</v>
      </c>
      <c r="G871" s="13" t="s">
        <v>128</v>
      </c>
      <c r="H871" s="11" t="s">
        <v>185</v>
      </c>
      <c r="I871" s="7">
        <v>18.5</v>
      </c>
      <c r="J871" s="15">
        <v>5.8887328944001274</v>
      </c>
      <c r="K871" s="7">
        <v>3</v>
      </c>
      <c r="L871" s="7">
        <v>9</v>
      </c>
      <c r="M871" s="7"/>
      <c r="N871" s="12" t="s">
        <v>20</v>
      </c>
      <c r="O871" s="12" t="s">
        <v>16</v>
      </c>
      <c r="P871" s="57" t="str">
        <f t="shared" si="39"/>
        <v>un fuste</v>
      </c>
      <c r="Q871">
        <f t="shared" si="40"/>
        <v>10</v>
      </c>
      <c r="R871">
        <f t="shared" si="41"/>
        <v>5</v>
      </c>
    </row>
    <row r="872" spans="1:18" x14ac:dyDescent="0.25">
      <c r="A872" s="7">
        <v>11</v>
      </c>
      <c r="B872" s="7">
        <v>5</v>
      </c>
      <c r="C872" s="8"/>
      <c r="D872" s="8">
        <v>7</v>
      </c>
      <c r="E872" s="8">
        <v>7</v>
      </c>
      <c r="F872" s="9" t="s">
        <v>26</v>
      </c>
      <c r="G872" s="13" t="s">
        <v>27</v>
      </c>
      <c r="H872" s="11" t="s">
        <v>28</v>
      </c>
      <c r="I872" s="7"/>
      <c r="J872" s="7"/>
      <c r="K872" s="7"/>
      <c r="L872" s="8">
        <v>0.9</v>
      </c>
      <c r="M872" s="7" t="e">
        <v>#REF!</v>
      </c>
      <c r="N872" s="12"/>
      <c r="O872" s="12" t="s">
        <v>16</v>
      </c>
      <c r="P872" s="57" t="str">
        <f t="shared" si="39"/>
        <v>un fuste</v>
      </c>
      <c r="Q872">
        <f t="shared" si="40"/>
        <v>2.5</v>
      </c>
      <c r="R872">
        <f t="shared" si="41"/>
        <v>5</v>
      </c>
    </row>
    <row r="873" spans="1:18" x14ac:dyDescent="0.25">
      <c r="A873" s="7">
        <v>11</v>
      </c>
      <c r="B873" s="7">
        <v>5</v>
      </c>
      <c r="C873" s="7"/>
      <c r="D873" s="8">
        <v>8</v>
      </c>
      <c r="E873" s="7">
        <v>8</v>
      </c>
      <c r="F873" s="9" t="s">
        <v>87</v>
      </c>
      <c r="G873" s="13" t="s">
        <v>88</v>
      </c>
      <c r="H873" s="11" t="s">
        <v>89</v>
      </c>
      <c r="I873" s="7"/>
      <c r="J873" s="7"/>
      <c r="K873" s="7"/>
      <c r="L873" s="7">
        <v>1.2</v>
      </c>
      <c r="M873" s="7" t="e">
        <v>#REF!</v>
      </c>
      <c r="N873" s="12"/>
      <c r="O873" s="12" t="s">
        <v>16</v>
      </c>
      <c r="P873" s="57" t="str">
        <f t="shared" si="39"/>
        <v>un fuste</v>
      </c>
      <c r="Q873">
        <f t="shared" si="40"/>
        <v>2.5</v>
      </c>
      <c r="R873">
        <f t="shared" si="41"/>
        <v>5</v>
      </c>
    </row>
    <row r="874" spans="1:18" x14ac:dyDescent="0.25">
      <c r="A874" s="7">
        <v>11</v>
      </c>
      <c r="B874" s="7">
        <v>5</v>
      </c>
      <c r="C874" s="8"/>
      <c r="D874" s="8">
        <v>9</v>
      </c>
      <c r="E874" s="8">
        <v>9</v>
      </c>
      <c r="F874" s="17" t="s">
        <v>13</v>
      </c>
      <c r="G874" s="10" t="s">
        <v>14</v>
      </c>
      <c r="H874" s="11" t="s">
        <v>15</v>
      </c>
      <c r="I874" s="7"/>
      <c r="J874" s="7"/>
      <c r="K874" s="7"/>
      <c r="L874" s="8">
        <v>0.7</v>
      </c>
      <c r="M874" s="7" t="e">
        <v>#REF!</v>
      </c>
      <c r="N874" s="12"/>
      <c r="O874" s="12" t="s">
        <v>16</v>
      </c>
      <c r="P874" s="57" t="str">
        <f t="shared" si="39"/>
        <v>un fuste</v>
      </c>
      <c r="Q874">
        <f t="shared" si="40"/>
        <v>2.5</v>
      </c>
      <c r="R874">
        <f t="shared" si="41"/>
        <v>5</v>
      </c>
    </row>
    <row r="875" spans="1:18" x14ac:dyDescent="0.25">
      <c r="A875" s="7">
        <v>11</v>
      </c>
      <c r="B875" s="7">
        <v>5</v>
      </c>
      <c r="C875" s="8"/>
      <c r="D875" s="8">
        <v>10</v>
      </c>
      <c r="E875" s="8">
        <v>10</v>
      </c>
      <c r="F875" s="17" t="s">
        <v>87</v>
      </c>
      <c r="G875" s="10" t="s">
        <v>88</v>
      </c>
      <c r="H875" s="11" t="s">
        <v>89</v>
      </c>
      <c r="I875" s="7"/>
      <c r="J875" s="7"/>
      <c r="K875" s="7"/>
      <c r="L875" s="8">
        <v>0.8</v>
      </c>
      <c r="M875" s="7" t="e">
        <v>#REF!</v>
      </c>
      <c r="N875" s="12"/>
      <c r="O875" s="12" t="s">
        <v>16</v>
      </c>
      <c r="P875" s="57" t="str">
        <f t="shared" si="39"/>
        <v>un fuste</v>
      </c>
      <c r="Q875">
        <f t="shared" si="40"/>
        <v>2.5</v>
      </c>
      <c r="R875">
        <f t="shared" si="41"/>
        <v>5</v>
      </c>
    </row>
    <row r="876" spans="1:18" x14ac:dyDescent="0.25">
      <c r="A876" s="7">
        <v>11</v>
      </c>
      <c r="B876" s="7">
        <v>5</v>
      </c>
      <c r="C876" s="8"/>
      <c r="D876" s="8">
        <v>11</v>
      </c>
      <c r="E876" s="8">
        <v>11</v>
      </c>
      <c r="F876" s="9" t="s">
        <v>87</v>
      </c>
      <c r="G876" s="13" t="s">
        <v>88</v>
      </c>
      <c r="H876" s="11" t="s">
        <v>89</v>
      </c>
      <c r="I876" s="7"/>
      <c r="J876" s="7"/>
      <c r="K876" s="7"/>
      <c r="L876" s="8">
        <v>0.9</v>
      </c>
      <c r="M876" s="7" t="e">
        <v>#REF!</v>
      </c>
      <c r="N876" s="12"/>
      <c r="O876" s="12" t="s">
        <v>16</v>
      </c>
      <c r="P876" s="57" t="str">
        <f t="shared" si="39"/>
        <v>un fuste</v>
      </c>
      <c r="Q876">
        <f t="shared" si="40"/>
        <v>2.5</v>
      </c>
      <c r="R876">
        <f t="shared" si="41"/>
        <v>5</v>
      </c>
    </row>
    <row r="877" spans="1:18" x14ac:dyDescent="0.25">
      <c r="A877" s="7">
        <v>2</v>
      </c>
      <c r="B877" s="7">
        <v>100</v>
      </c>
      <c r="C877" s="8">
        <v>3</v>
      </c>
      <c r="D877" s="8">
        <v>11</v>
      </c>
      <c r="E877" s="8">
        <v>11</v>
      </c>
      <c r="F877" s="9" t="s">
        <v>43</v>
      </c>
      <c r="G877" s="10" t="s">
        <v>99</v>
      </c>
      <c r="H877" s="11" t="s">
        <v>100</v>
      </c>
      <c r="I877" s="7">
        <v>19</v>
      </c>
      <c r="J877" s="15">
        <v>6.0478878374920226</v>
      </c>
      <c r="K877" s="7">
        <v>1.3</v>
      </c>
      <c r="L877" s="7">
        <v>3.5</v>
      </c>
      <c r="M877" s="7"/>
      <c r="N877" s="12" t="s">
        <v>20</v>
      </c>
      <c r="O877" s="12" t="s">
        <v>16</v>
      </c>
      <c r="P877" s="57" t="str">
        <f t="shared" si="39"/>
        <v>un fuste</v>
      </c>
      <c r="Q877">
        <f t="shared" si="40"/>
        <v>2.5</v>
      </c>
      <c r="R877">
        <f t="shared" si="41"/>
        <v>5</v>
      </c>
    </row>
    <row r="878" spans="1:18" x14ac:dyDescent="0.25">
      <c r="A878" s="7">
        <v>11</v>
      </c>
      <c r="B878" s="7">
        <v>5</v>
      </c>
      <c r="C878" s="8"/>
      <c r="D878" s="8">
        <v>12</v>
      </c>
      <c r="E878" s="8">
        <v>12</v>
      </c>
      <c r="F878" s="9" t="s">
        <v>87</v>
      </c>
      <c r="G878" s="13" t="s">
        <v>88</v>
      </c>
      <c r="H878" s="11" t="s">
        <v>89</v>
      </c>
      <c r="I878" s="8"/>
      <c r="J878" s="7"/>
      <c r="K878" s="8"/>
      <c r="L878" s="8">
        <v>4</v>
      </c>
      <c r="M878" s="7" t="e">
        <v>#REF!</v>
      </c>
      <c r="N878" s="12"/>
      <c r="O878" s="12" t="s">
        <v>16</v>
      </c>
      <c r="P878" s="57" t="str">
        <f t="shared" si="39"/>
        <v>un fuste</v>
      </c>
      <c r="Q878">
        <f t="shared" si="40"/>
        <v>5</v>
      </c>
      <c r="R878">
        <f t="shared" si="41"/>
        <v>5</v>
      </c>
    </row>
    <row r="879" spans="1:18" x14ac:dyDescent="0.25">
      <c r="A879" s="7">
        <v>11</v>
      </c>
      <c r="B879" s="7">
        <v>5</v>
      </c>
      <c r="C879" s="8"/>
      <c r="D879" s="8">
        <v>13</v>
      </c>
      <c r="E879" s="8">
        <v>13</v>
      </c>
      <c r="F879" s="9" t="s">
        <v>90</v>
      </c>
      <c r="G879" s="13" t="s">
        <v>91</v>
      </c>
      <c r="H879" s="14" t="s">
        <v>92</v>
      </c>
      <c r="I879" s="8"/>
      <c r="J879" s="7"/>
      <c r="K879" s="8"/>
      <c r="L879" s="8">
        <v>1.2</v>
      </c>
      <c r="M879" s="7" t="e">
        <v>#REF!</v>
      </c>
      <c r="N879" s="12"/>
      <c r="O879" s="12" t="s">
        <v>16</v>
      </c>
      <c r="P879" s="57" t="str">
        <f t="shared" si="39"/>
        <v>un fuste</v>
      </c>
      <c r="Q879">
        <f t="shared" si="40"/>
        <v>2.5</v>
      </c>
      <c r="R879">
        <f t="shared" si="41"/>
        <v>5</v>
      </c>
    </row>
    <row r="880" spans="1:18" x14ac:dyDescent="0.25">
      <c r="A880" s="7">
        <v>11</v>
      </c>
      <c r="B880" s="7">
        <v>5</v>
      </c>
      <c r="C880" s="8"/>
      <c r="D880" s="7">
        <v>14</v>
      </c>
      <c r="E880" s="7">
        <v>14</v>
      </c>
      <c r="F880" s="9" t="s">
        <v>87</v>
      </c>
      <c r="G880" s="13" t="s">
        <v>88</v>
      </c>
      <c r="H880" s="11" t="s">
        <v>89</v>
      </c>
      <c r="I880" s="7"/>
      <c r="J880" s="7"/>
      <c r="K880" s="7"/>
      <c r="L880" s="7">
        <v>4</v>
      </c>
      <c r="M880" s="7" t="e">
        <v>#REF!</v>
      </c>
      <c r="N880" s="12"/>
      <c r="O880" s="12" t="s">
        <v>16</v>
      </c>
      <c r="P880" s="57" t="str">
        <f t="shared" si="39"/>
        <v>un fuste</v>
      </c>
      <c r="Q880">
        <f t="shared" si="40"/>
        <v>5</v>
      </c>
      <c r="R880">
        <f t="shared" si="41"/>
        <v>5</v>
      </c>
    </row>
    <row r="881" spans="1:21" x14ac:dyDescent="0.25">
      <c r="A881" s="7">
        <v>11</v>
      </c>
      <c r="B881" s="7">
        <v>5</v>
      </c>
      <c r="C881" s="8"/>
      <c r="D881" s="8">
        <v>15</v>
      </c>
      <c r="E881" s="8">
        <v>15</v>
      </c>
      <c r="F881" s="9" t="s">
        <v>168</v>
      </c>
      <c r="G881" s="10" t="s">
        <v>224</v>
      </c>
      <c r="H881" s="11" t="s">
        <v>225</v>
      </c>
      <c r="I881" s="7"/>
      <c r="J881" s="7"/>
      <c r="K881" s="7"/>
      <c r="L881" s="7">
        <v>12</v>
      </c>
      <c r="M881" s="7" t="e">
        <v>#REF!</v>
      </c>
      <c r="N881" s="12"/>
      <c r="O881" s="12" t="s">
        <v>16</v>
      </c>
      <c r="P881" s="57" t="str">
        <f t="shared" si="39"/>
        <v>un fuste</v>
      </c>
      <c r="Q881">
        <f t="shared" si="40"/>
        <v>12.5</v>
      </c>
      <c r="R881">
        <f t="shared" si="41"/>
        <v>5</v>
      </c>
    </row>
    <row r="882" spans="1:21" x14ac:dyDescent="0.25">
      <c r="A882" s="7">
        <v>1</v>
      </c>
      <c r="B882" s="7">
        <v>500</v>
      </c>
      <c r="C882" s="7">
        <v>2</v>
      </c>
      <c r="D882" s="8">
        <v>14</v>
      </c>
      <c r="E882" s="7">
        <v>17</v>
      </c>
      <c r="F882" s="17" t="s">
        <v>62</v>
      </c>
      <c r="G882" s="18" t="s">
        <v>292</v>
      </c>
      <c r="H882" s="11" t="s">
        <v>70</v>
      </c>
      <c r="I882" s="7">
        <v>34</v>
      </c>
      <c r="J882" s="15">
        <v>10.822536130248883</v>
      </c>
      <c r="K882" s="7">
        <v>3</v>
      </c>
      <c r="L882" s="7">
        <v>10</v>
      </c>
      <c r="M882" s="7"/>
      <c r="N882" s="12" t="s">
        <v>20</v>
      </c>
      <c r="O882" s="12" t="s">
        <v>16</v>
      </c>
      <c r="P882" s="57" t="str">
        <f t="shared" si="39"/>
        <v>un fuste</v>
      </c>
      <c r="Q882">
        <f t="shared" si="40"/>
        <v>10</v>
      </c>
      <c r="R882">
        <f t="shared" si="41"/>
        <v>10</v>
      </c>
      <c r="S882">
        <v>5</v>
      </c>
      <c r="T882" t="s">
        <v>271</v>
      </c>
      <c r="U882">
        <v>5.581297126300383E-2</v>
      </c>
    </row>
    <row r="883" spans="1:21" x14ac:dyDescent="0.25">
      <c r="A883" s="7">
        <v>4</v>
      </c>
      <c r="B883" s="7">
        <v>500</v>
      </c>
      <c r="C883" s="7">
        <v>1</v>
      </c>
      <c r="D883" s="8">
        <v>10</v>
      </c>
      <c r="E883" s="8">
        <v>10</v>
      </c>
      <c r="F883" s="9" t="s">
        <v>155</v>
      </c>
      <c r="G883" s="10" t="s">
        <v>156</v>
      </c>
      <c r="H883" s="11" t="s">
        <v>157</v>
      </c>
      <c r="I883" s="7">
        <v>36.5</v>
      </c>
      <c r="J883" s="15">
        <v>11.618310845708359</v>
      </c>
      <c r="K883" s="7">
        <v>7</v>
      </c>
      <c r="L883" s="7">
        <v>13</v>
      </c>
      <c r="M883" s="7"/>
      <c r="N883" s="12" t="s">
        <v>20</v>
      </c>
      <c r="O883" s="12" t="s">
        <v>16</v>
      </c>
      <c r="P883" s="57" t="str">
        <f t="shared" si="39"/>
        <v>un fuste</v>
      </c>
      <c r="Q883">
        <f t="shared" si="40"/>
        <v>12.5</v>
      </c>
      <c r="R883">
        <f t="shared" si="41"/>
        <v>10</v>
      </c>
      <c r="S883">
        <v>17</v>
      </c>
      <c r="T883" t="s">
        <v>273</v>
      </c>
      <c r="U883">
        <v>8.8200646686277084E-2</v>
      </c>
    </row>
    <row r="884" spans="1:21" x14ac:dyDescent="0.25">
      <c r="A884" s="7">
        <v>10</v>
      </c>
      <c r="B884" s="7">
        <v>100</v>
      </c>
      <c r="C884" s="7">
        <v>3</v>
      </c>
      <c r="D884" s="8">
        <v>29</v>
      </c>
      <c r="E884" s="7">
        <v>29</v>
      </c>
      <c r="F884" s="9" t="s">
        <v>155</v>
      </c>
      <c r="G884" s="13" t="s">
        <v>156</v>
      </c>
      <c r="H884" s="11" t="s">
        <v>157</v>
      </c>
      <c r="I884" s="7">
        <v>17</v>
      </c>
      <c r="J884" s="15">
        <v>5.4112680651244416</v>
      </c>
      <c r="K884" s="7">
        <v>8</v>
      </c>
      <c r="L884" s="7">
        <v>10</v>
      </c>
      <c r="M884" s="7"/>
      <c r="N884" s="12" t="s">
        <v>20</v>
      </c>
      <c r="O884" s="12" t="s">
        <v>16</v>
      </c>
      <c r="P884" s="57" t="str">
        <f t="shared" si="39"/>
        <v>un fuste</v>
      </c>
      <c r="Q884">
        <f t="shared" si="40"/>
        <v>10</v>
      </c>
      <c r="R884">
        <f t="shared" si="41"/>
        <v>5</v>
      </c>
    </row>
    <row r="885" spans="1:21" x14ac:dyDescent="0.25">
      <c r="A885" s="7">
        <v>11</v>
      </c>
      <c r="B885" s="7">
        <v>5</v>
      </c>
      <c r="C885" s="7"/>
      <c r="D885" s="8">
        <v>16</v>
      </c>
      <c r="E885" s="7">
        <v>16</v>
      </c>
      <c r="F885" s="9" t="s">
        <v>17</v>
      </c>
      <c r="G885" s="13" t="s">
        <v>65</v>
      </c>
      <c r="H885" s="11" t="s">
        <v>66</v>
      </c>
      <c r="I885" s="7"/>
      <c r="J885" s="7"/>
      <c r="K885" s="7"/>
      <c r="L885" s="7">
        <v>7</v>
      </c>
      <c r="M885" s="7" t="e">
        <v>#REF!</v>
      </c>
      <c r="N885" s="12"/>
      <c r="O885" s="12" t="s">
        <v>16</v>
      </c>
      <c r="P885" s="57" t="str">
        <f t="shared" si="39"/>
        <v>un fuste</v>
      </c>
      <c r="Q885">
        <f t="shared" si="40"/>
        <v>7.5</v>
      </c>
      <c r="R885">
        <f t="shared" si="41"/>
        <v>5</v>
      </c>
    </row>
    <row r="886" spans="1:21" x14ac:dyDescent="0.25">
      <c r="A886" s="7">
        <v>11</v>
      </c>
      <c r="B886" s="7">
        <v>5</v>
      </c>
      <c r="C886" s="7"/>
      <c r="D886" s="8">
        <v>17</v>
      </c>
      <c r="E886" s="7">
        <v>17</v>
      </c>
      <c r="F886" s="9" t="s">
        <v>17</v>
      </c>
      <c r="G886" s="10" t="s">
        <v>65</v>
      </c>
      <c r="H886" s="11" t="s">
        <v>66</v>
      </c>
      <c r="I886" s="7"/>
      <c r="J886" s="7"/>
      <c r="K886" s="7"/>
      <c r="L886" s="7">
        <v>1.7</v>
      </c>
      <c r="M886" s="7" t="e">
        <v>#REF!</v>
      </c>
      <c r="N886" s="12"/>
      <c r="O886" s="12" t="s">
        <v>16</v>
      </c>
      <c r="P886" s="57" t="str">
        <f t="shared" si="39"/>
        <v>un fuste</v>
      </c>
      <c r="Q886">
        <f t="shared" si="40"/>
        <v>2.5</v>
      </c>
      <c r="R886">
        <f t="shared" si="41"/>
        <v>5</v>
      </c>
    </row>
    <row r="887" spans="1:21" x14ac:dyDescent="0.25">
      <c r="A887" s="7">
        <v>11</v>
      </c>
      <c r="B887" s="7">
        <v>5</v>
      </c>
      <c r="C887" s="8"/>
      <c r="D887" s="8">
        <v>18</v>
      </c>
      <c r="E887" s="8">
        <v>18</v>
      </c>
      <c r="F887" s="9" t="s">
        <v>90</v>
      </c>
      <c r="G887" s="13" t="s">
        <v>91</v>
      </c>
      <c r="H887" s="11" t="s">
        <v>92</v>
      </c>
      <c r="I887" s="7"/>
      <c r="J887" s="7"/>
      <c r="K887" s="7"/>
      <c r="L887" s="8">
        <v>2</v>
      </c>
      <c r="M887" s="7" t="e">
        <v>#REF!</v>
      </c>
      <c r="N887" s="12"/>
      <c r="O887" s="12" t="s">
        <v>16</v>
      </c>
      <c r="P887" s="57" t="str">
        <f t="shared" si="39"/>
        <v>un fuste</v>
      </c>
      <c r="Q887">
        <f t="shared" si="40"/>
        <v>2.5</v>
      </c>
      <c r="R887">
        <f t="shared" si="41"/>
        <v>5</v>
      </c>
    </row>
    <row r="888" spans="1:21" x14ac:dyDescent="0.25">
      <c r="A888" s="7">
        <v>2</v>
      </c>
      <c r="B888" s="7">
        <v>100</v>
      </c>
      <c r="C888" s="8">
        <v>1</v>
      </c>
      <c r="D888" s="8">
        <v>7</v>
      </c>
      <c r="E888" s="8">
        <v>7</v>
      </c>
      <c r="F888" s="9" t="s">
        <v>93</v>
      </c>
      <c r="G888" s="13" t="s">
        <v>94</v>
      </c>
      <c r="H888" s="14" t="s">
        <v>95</v>
      </c>
      <c r="I888" s="7">
        <v>16</v>
      </c>
      <c r="J888" s="15">
        <v>5.0929581789406511</v>
      </c>
      <c r="K888" s="7">
        <v>4</v>
      </c>
      <c r="L888" s="7">
        <v>8</v>
      </c>
      <c r="M888" s="7"/>
      <c r="N888" s="12" t="s">
        <v>20</v>
      </c>
      <c r="O888" s="12" t="s">
        <v>16</v>
      </c>
      <c r="P888" s="57" t="str">
        <f t="shared" si="39"/>
        <v>un fuste</v>
      </c>
      <c r="Q888">
        <f t="shared" si="40"/>
        <v>7.5</v>
      </c>
      <c r="R888">
        <f t="shared" si="41"/>
        <v>5</v>
      </c>
    </row>
    <row r="889" spans="1:21" x14ac:dyDescent="0.25">
      <c r="A889" s="7">
        <v>11</v>
      </c>
      <c r="B889" s="7">
        <v>5</v>
      </c>
      <c r="C889" s="8"/>
      <c r="D889" s="8">
        <v>19</v>
      </c>
      <c r="E889" s="8">
        <v>19</v>
      </c>
      <c r="F889" s="17" t="s">
        <v>90</v>
      </c>
      <c r="G889" s="10" t="s">
        <v>91</v>
      </c>
      <c r="H889" s="11" t="s">
        <v>92</v>
      </c>
      <c r="I889" s="7"/>
      <c r="J889" s="7"/>
      <c r="K889" s="7"/>
      <c r="L889" s="8">
        <v>2</v>
      </c>
      <c r="M889" s="7" t="e">
        <v>#REF!</v>
      </c>
      <c r="N889" s="12"/>
      <c r="O889" s="12" t="s">
        <v>16</v>
      </c>
      <c r="P889" s="57" t="str">
        <f t="shared" si="39"/>
        <v>un fuste</v>
      </c>
      <c r="Q889">
        <f t="shared" si="40"/>
        <v>2.5</v>
      </c>
      <c r="R889">
        <f t="shared" si="41"/>
        <v>5</v>
      </c>
    </row>
    <row r="890" spans="1:21" x14ac:dyDescent="0.25">
      <c r="A890" s="7">
        <v>3</v>
      </c>
      <c r="B890" s="7">
        <v>500</v>
      </c>
      <c r="C890" s="8">
        <v>2</v>
      </c>
      <c r="D890" s="8">
        <v>19</v>
      </c>
      <c r="E890" s="8">
        <v>19</v>
      </c>
      <c r="F890" s="9" t="s">
        <v>129</v>
      </c>
      <c r="G890" s="10" t="s">
        <v>130</v>
      </c>
      <c r="H890" s="11" t="s">
        <v>131</v>
      </c>
      <c r="I890" s="7">
        <v>34.5</v>
      </c>
      <c r="J890" s="15">
        <v>10.981691073340778</v>
      </c>
      <c r="K890" s="7">
        <v>8</v>
      </c>
      <c r="L890" s="8">
        <v>13</v>
      </c>
      <c r="M890" s="7"/>
      <c r="N890" s="12" t="s">
        <v>20</v>
      </c>
      <c r="O890" s="12" t="s">
        <v>16</v>
      </c>
      <c r="P890" s="57" t="str">
        <f t="shared" si="39"/>
        <v>un fuste</v>
      </c>
      <c r="Q890">
        <f t="shared" si="40"/>
        <v>12.5</v>
      </c>
      <c r="R890">
        <f t="shared" si="41"/>
        <v>10</v>
      </c>
      <c r="S890">
        <v>17</v>
      </c>
      <c r="T890" t="s">
        <v>273</v>
      </c>
      <c r="U890">
        <v>7.9623114841205614E-2</v>
      </c>
    </row>
    <row r="891" spans="1:21" x14ac:dyDescent="0.25">
      <c r="A891" s="7">
        <v>8</v>
      </c>
      <c r="B891" s="7">
        <v>100</v>
      </c>
      <c r="C891" s="8">
        <v>4</v>
      </c>
      <c r="D891" s="8">
        <v>24</v>
      </c>
      <c r="E891" s="8">
        <v>24</v>
      </c>
      <c r="F891" s="9" t="s">
        <v>129</v>
      </c>
      <c r="G891" s="10" t="s">
        <v>130</v>
      </c>
      <c r="H891" s="11" t="s">
        <v>131</v>
      </c>
      <c r="I891" s="8">
        <v>18</v>
      </c>
      <c r="J891" s="15">
        <v>5.7295779513082321</v>
      </c>
      <c r="K891" s="8">
        <v>3</v>
      </c>
      <c r="L891" s="8">
        <v>7</v>
      </c>
      <c r="M891" s="7"/>
      <c r="N891" s="12" t="s">
        <v>20</v>
      </c>
      <c r="O891" s="12" t="s">
        <v>16</v>
      </c>
      <c r="P891" s="57" t="str">
        <f t="shared" si="39"/>
        <v>un fuste</v>
      </c>
      <c r="Q891">
        <f t="shared" si="40"/>
        <v>7.5</v>
      </c>
      <c r="R891">
        <f t="shared" si="41"/>
        <v>5</v>
      </c>
    </row>
    <row r="892" spans="1:21" x14ac:dyDescent="0.25">
      <c r="A892" s="7">
        <v>8</v>
      </c>
      <c r="B892" s="7">
        <v>100</v>
      </c>
      <c r="C892" s="8">
        <v>4</v>
      </c>
      <c r="D892" s="7">
        <v>25</v>
      </c>
      <c r="E892" s="7">
        <v>25</v>
      </c>
      <c r="F892" s="17" t="s">
        <v>129</v>
      </c>
      <c r="G892" s="10" t="s">
        <v>130</v>
      </c>
      <c r="H892" s="11" t="s">
        <v>131</v>
      </c>
      <c r="I892" s="7">
        <v>16</v>
      </c>
      <c r="J892" s="15">
        <v>5.0929581789406511</v>
      </c>
      <c r="K892" s="7">
        <v>3</v>
      </c>
      <c r="L892" s="7">
        <v>7</v>
      </c>
      <c r="M892" s="7"/>
      <c r="N892" s="12" t="s">
        <v>20</v>
      </c>
      <c r="O892" s="12" t="s">
        <v>16</v>
      </c>
      <c r="P892" s="57" t="str">
        <f t="shared" si="39"/>
        <v>un fuste</v>
      </c>
      <c r="Q892">
        <f t="shared" si="40"/>
        <v>7.5</v>
      </c>
      <c r="R892">
        <f t="shared" si="41"/>
        <v>5</v>
      </c>
    </row>
    <row r="893" spans="1:21" x14ac:dyDescent="0.25">
      <c r="A893" s="7">
        <v>7</v>
      </c>
      <c r="B893" s="7">
        <v>500</v>
      </c>
      <c r="C893" s="8">
        <v>4</v>
      </c>
      <c r="D893" s="8">
        <v>39</v>
      </c>
      <c r="E893" s="8">
        <v>42</v>
      </c>
      <c r="F893" s="9" t="s">
        <v>129</v>
      </c>
      <c r="G893" s="10" t="s">
        <v>130</v>
      </c>
      <c r="H893" s="11" t="s">
        <v>131</v>
      </c>
      <c r="I893" s="7">
        <v>32</v>
      </c>
      <c r="J893" s="15">
        <v>10.185916357881302</v>
      </c>
      <c r="K893" s="7">
        <v>8</v>
      </c>
      <c r="L893" s="7">
        <v>12</v>
      </c>
      <c r="M893" s="7"/>
      <c r="N893" s="12" t="s">
        <v>20</v>
      </c>
      <c r="O893" s="12" t="s">
        <v>16</v>
      </c>
      <c r="P893" s="57" t="str">
        <f t="shared" si="39"/>
        <v>un fuste</v>
      </c>
      <c r="Q893">
        <f t="shared" si="40"/>
        <v>12.5</v>
      </c>
      <c r="R893">
        <f t="shared" si="41"/>
        <v>10</v>
      </c>
      <c r="S893">
        <v>17</v>
      </c>
      <c r="T893" t="s">
        <v>273</v>
      </c>
      <c r="U893">
        <v>6.3960111229385122E-2</v>
      </c>
    </row>
    <row r="894" spans="1:21" x14ac:dyDescent="0.25">
      <c r="A894" s="7">
        <v>8</v>
      </c>
      <c r="B894" s="7">
        <v>100</v>
      </c>
      <c r="C894" s="8">
        <v>1</v>
      </c>
      <c r="D894" s="8">
        <v>2</v>
      </c>
      <c r="E894" s="8">
        <v>2</v>
      </c>
      <c r="F894" s="9" t="s">
        <v>90</v>
      </c>
      <c r="G894" s="10" t="s">
        <v>282</v>
      </c>
      <c r="H894" s="11" t="s">
        <v>124</v>
      </c>
      <c r="I894" s="7">
        <v>23</v>
      </c>
      <c r="J894" s="15">
        <v>7.3211273822271856</v>
      </c>
      <c r="K894" s="7">
        <v>7</v>
      </c>
      <c r="L894" s="7">
        <v>10</v>
      </c>
      <c r="M894" s="7"/>
      <c r="N894" s="12" t="s">
        <v>20</v>
      </c>
      <c r="O894" s="12" t="s">
        <v>16</v>
      </c>
      <c r="P894" s="57" t="str">
        <f t="shared" si="39"/>
        <v>un fuste</v>
      </c>
      <c r="Q894">
        <f t="shared" si="40"/>
        <v>10</v>
      </c>
      <c r="R894">
        <f t="shared" si="41"/>
        <v>5</v>
      </c>
    </row>
    <row r="895" spans="1:21" x14ac:dyDescent="0.25">
      <c r="A895" s="7">
        <v>11</v>
      </c>
      <c r="B895" s="7">
        <v>5</v>
      </c>
      <c r="C895" s="8"/>
      <c r="D895" s="8">
        <v>20</v>
      </c>
      <c r="E895" s="8">
        <v>20</v>
      </c>
      <c r="F895" s="9" t="s">
        <v>90</v>
      </c>
      <c r="G895" s="13" t="s">
        <v>91</v>
      </c>
      <c r="H895" s="14" t="s">
        <v>92</v>
      </c>
      <c r="I895" s="8"/>
      <c r="J895" s="7"/>
      <c r="K895" s="8"/>
      <c r="L895" s="8">
        <v>2</v>
      </c>
      <c r="M895" s="7" t="e">
        <v>#REF!</v>
      </c>
      <c r="N895" s="12"/>
      <c r="O895" s="12" t="s">
        <v>16</v>
      </c>
      <c r="P895" s="57" t="str">
        <f t="shared" si="39"/>
        <v>un fuste</v>
      </c>
      <c r="Q895">
        <f t="shared" si="40"/>
        <v>2.5</v>
      </c>
      <c r="R895">
        <f t="shared" si="41"/>
        <v>5</v>
      </c>
    </row>
    <row r="896" spans="1:21" x14ac:dyDescent="0.25">
      <c r="A896" s="7">
        <v>11</v>
      </c>
      <c r="B896" s="7">
        <v>5</v>
      </c>
      <c r="C896" s="7"/>
      <c r="D896" s="8">
        <v>21</v>
      </c>
      <c r="E896" s="7">
        <v>21</v>
      </c>
      <c r="F896" s="9" t="s">
        <v>90</v>
      </c>
      <c r="G896" s="10" t="s">
        <v>91</v>
      </c>
      <c r="H896" s="11" t="s">
        <v>92</v>
      </c>
      <c r="I896" s="7"/>
      <c r="J896" s="7"/>
      <c r="K896" s="7"/>
      <c r="L896" s="7">
        <v>2</v>
      </c>
      <c r="M896" s="7" t="e">
        <v>#REF!</v>
      </c>
      <c r="N896" s="12"/>
      <c r="O896" s="12" t="s">
        <v>16</v>
      </c>
      <c r="P896" s="57" t="str">
        <f t="shared" si="39"/>
        <v>un fuste</v>
      </c>
      <c r="Q896">
        <f t="shared" si="40"/>
        <v>2.5</v>
      </c>
      <c r="R896">
        <f t="shared" si="41"/>
        <v>5</v>
      </c>
    </row>
    <row r="897" spans="1:21" x14ac:dyDescent="0.25">
      <c r="A897" s="7">
        <v>11</v>
      </c>
      <c r="B897" s="7">
        <v>5</v>
      </c>
      <c r="C897" s="7"/>
      <c r="D897" s="8">
        <v>22</v>
      </c>
      <c r="E897" s="8">
        <v>22</v>
      </c>
      <c r="F897" s="9" t="s">
        <v>90</v>
      </c>
      <c r="G897" s="13" t="s">
        <v>91</v>
      </c>
      <c r="H897" s="11" t="s">
        <v>92</v>
      </c>
      <c r="I897" s="7"/>
      <c r="J897" s="7"/>
      <c r="K897" s="7"/>
      <c r="L897" s="7">
        <v>2</v>
      </c>
      <c r="M897" s="7" t="e">
        <v>#REF!</v>
      </c>
      <c r="N897" s="12"/>
      <c r="O897" s="12" t="s">
        <v>16</v>
      </c>
      <c r="P897" s="57" t="str">
        <f t="shared" si="39"/>
        <v>un fuste</v>
      </c>
      <c r="Q897">
        <f t="shared" si="40"/>
        <v>2.5</v>
      </c>
      <c r="R897">
        <f t="shared" si="41"/>
        <v>5</v>
      </c>
    </row>
    <row r="898" spans="1:21" x14ac:dyDescent="0.25">
      <c r="A898" s="7">
        <v>11</v>
      </c>
      <c r="B898" s="7">
        <v>5</v>
      </c>
      <c r="C898" s="8"/>
      <c r="D898" s="8">
        <v>23</v>
      </c>
      <c r="E898" s="8">
        <v>23</v>
      </c>
      <c r="F898" s="9" t="s">
        <v>90</v>
      </c>
      <c r="G898" s="13" t="s">
        <v>91</v>
      </c>
      <c r="H898" s="11" t="s">
        <v>92</v>
      </c>
      <c r="I898" s="7"/>
      <c r="J898" s="7"/>
      <c r="K898" s="7"/>
      <c r="L898" s="7">
        <v>2</v>
      </c>
      <c r="M898" s="7" t="e">
        <v>#REF!</v>
      </c>
      <c r="N898" s="12"/>
      <c r="O898" s="12" t="s">
        <v>16</v>
      </c>
      <c r="P898" s="57" t="str">
        <f t="shared" si="39"/>
        <v>un fuste</v>
      </c>
      <c r="Q898">
        <f t="shared" si="40"/>
        <v>2.5</v>
      </c>
      <c r="R898">
        <f t="shared" si="41"/>
        <v>5</v>
      </c>
    </row>
    <row r="899" spans="1:21" x14ac:dyDescent="0.25">
      <c r="A899" s="7">
        <v>3</v>
      </c>
      <c r="B899" s="7">
        <v>100</v>
      </c>
      <c r="C899" s="7">
        <v>1</v>
      </c>
      <c r="D899" s="8">
        <v>5</v>
      </c>
      <c r="E899" s="7">
        <v>5</v>
      </c>
      <c r="F899" s="9" t="s">
        <v>90</v>
      </c>
      <c r="G899" s="10" t="s">
        <v>282</v>
      </c>
      <c r="H899" s="11" t="s">
        <v>124</v>
      </c>
      <c r="I899" s="7">
        <v>21.5</v>
      </c>
      <c r="J899" s="15">
        <v>6.8436625529514998</v>
      </c>
      <c r="K899" s="7">
        <v>5</v>
      </c>
      <c r="L899" s="7">
        <v>8</v>
      </c>
      <c r="M899" s="7"/>
      <c r="N899" s="12" t="s">
        <v>20</v>
      </c>
      <c r="O899" s="12" t="s">
        <v>16</v>
      </c>
      <c r="P899" s="57" t="str">
        <f t="shared" ref="P899:P962" si="42">IF((D899/D899)=1,"un fuste","bifurcado")</f>
        <v>un fuste</v>
      </c>
      <c r="Q899">
        <f t="shared" ref="Q899:Q962" si="43">IF(L899&lt;3.75,2.5,IF(L899&lt;6.25,5,IF(L899&lt;8.74,7.5,IF(L899&lt;11.24,10,IF(L899&lt;13.75,12.5,IF(L899&lt;16.25,15,IF(L899&lt;18.75,17.5,IF(L899&lt;21.25,20,IF(L899&lt;23.75,22.5,IF(L899&lt;26.25,25,IF(L899&lt;28.75,27.5,IF(L899&lt;31.25,30,IF(L899&lt;33.75,32.5,IF(L899&lt;36.25,35,IF(L899&lt;38.75,37.5,IF(L899&lt;41.24,40,IF(L899&lt;43.75,42.5,IF(L899&lt;46.25,45," "))))))))))))))))))</f>
        <v>7.5</v>
      </c>
      <c r="R899">
        <f t="shared" ref="R899:R962" si="44">IF(J899&lt;7.5,5,IF(J899&lt;12.5,10,IF(J899&lt;17.5,15,IF(J899&lt;22.5,20,IF(J899&lt;27.5,25,IF(J899&lt;32.5,30,IF(J899&lt;37.5,35,IF(J899&lt;42.5,40,IF(J899&lt;47.5,45,IF(J899&lt;52.5,50,IF(J899&lt;57.5,55,0)))))))))))</f>
        <v>5</v>
      </c>
    </row>
    <row r="900" spans="1:21" x14ac:dyDescent="0.25">
      <c r="A900" s="7">
        <v>3</v>
      </c>
      <c r="B900" s="7">
        <v>100</v>
      </c>
      <c r="C900" s="7">
        <v>2</v>
      </c>
      <c r="D900" s="8">
        <v>7</v>
      </c>
      <c r="E900" s="7">
        <v>7</v>
      </c>
      <c r="F900" s="9" t="s">
        <v>90</v>
      </c>
      <c r="G900" s="13" t="s">
        <v>282</v>
      </c>
      <c r="H900" s="11" t="s">
        <v>124</v>
      </c>
      <c r="I900" s="7">
        <v>17</v>
      </c>
      <c r="J900" s="15">
        <v>5.4112680651244416</v>
      </c>
      <c r="K900" s="7">
        <v>4</v>
      </c>
      <c r="L900" s="7">
        <v>6</v>
      </c>
      <c r="M900" s="7"/>
      <c r="N900" s="12" t="s">
        <v>20</v>
      </c>
      <c r="O900" s="12" t="s">
        <v>16</v>
      </c>
      <c r="P900" s="57" t="str">
        <f t="shared" si="42"/>
        <v>un fuste</v>
      </c>
      <c r="Q900">
        <f t="shared" si="43"/>
        <v>5</v>
      </c>
      <c r="R900">
        <f t="shared" si="44"/>
        <v>5</v>
      </c>
    </row>
    <row r="901" spans="1:21" x14ac:dyDescent="0.25">
      <c r="A901" s="7">
        <v>4</v>
      </c>
      <c r="B901" s="7">
        <v>100</v>
      </c>
      <c r="C901" s="8">
        <v>1</v>
      </c>
      <c r="D901" s="8">
        <v>6</v>
      </c>
      <c r="E901" s="8">
        <v>7</v>
      </c>
      <c r="F901" s="9" t="s">
        <v>90</v>
      </c>
      <c r="G901" s="10" t="s">
        <v>282</v>
      </c>
      <c r="H901" s="11" t="s">
        <v>124</v>
      </c>
      <c r="I901" s="7">
        <v>27</v>
      </c>
      <c r="J901" s="15">
        <v>8.5943669269623477</v>
      </c>
      <c r="K901" s="7">
        <v>6</v>
      </c>
      <c r="L901" s="8">
        <v>9</v>
      </c>
      <c r="M901" s="7"/>
      <c r="N901" s="12" t="s">
        <v>20</v>
      </c>
      <c r="O901" s="12" t="s">
        <v>16</v>
      </c>
      <c r="P901" s="57" t="str">
        <f t="shared" si="42"/>
        <v>un fuste</v>
      </c>
      <c r="Q901">
        <f t="shared" si="43"/>
        <v>10</v>
      </c>
      <c r="R901">
        <f t="shared" si="44"/>
        <v>10</v>
      </c>
    </row>
    <row r="902" spans="1:21" x14ac:dyDescent="0.25">
      <c r="A902" s="7">
        <v>4</v>
      </c>
      <c r="B902" s="7">
        <v>500</v>
      </c>
      <c r="C902" s="8">
        <v>1</v>
      </c>
      <c r="D902" s="8">
        <v>8</v>
      </c>
      <c r="E902" s="8">
        <v>8</v>
      </c>
      <c r="F902" s="17" t="s">
        <v>90</v>
      </c>
      <c r="G902" s="10" t="s">
        <v>282</v>
      </c>
      <c r="H902" s="11" t="s">
        <v>124</v>
      </c>
      <c r="I902" s="7">
        <v>31.5</v>
      </c>
      <c r="J902" s="15">
        <v>10.026761414789407</v>
      </c>
      <c r="K902" s="7">
        <v>6</v>
      </c>
      <c r="L902" s="8">
        <v>10</v>
      </c>
      <c r="M902" s="7"/>
      <c r="N902" s="12" t="s">
        <v>20</v>
      </c>
      <c r="O902" s="12" t="s">
        <v>16</v>
      </c>
      <c r="P902" s="57" t="str">
        <f t="shared" si="42"/>
        <v>un fuste</v>
      </c>
      <c r="Q902">
        <f t="shared" si="43"/>
        <v>10</v>
      </c>
      <c r="R902">
        <f t="shared" si="44"/>
        <v>10</v>
      </c>
      <c r="S902">
        <v>17</v>
      </c>
      <c r="T902" t="s">
        <v>273</v>
      </c>
      <c r="U902">
        <v>5.1511538639336003E-2</v>
      </c>
    </row>
    <row r="903" spans="1:21" x14ac:dyDescent="0.25">
      <c r="A903" s="7">
        <v>3</v>
      </c>
      <c r="B903" s="7">
        <v>100</v>
      </c>
      <c r="C903" s="8">
        <v>2</v>
      </c>
      <c r="D903" s="8">
        <v>9</v>
      </c>
      <c r="E903" s="8">
        <v>9</v>
      </c>
      <c r="F903" s="17" t="s">
        <v>90</v>
      </c>
      <c r="G903" s="18" t="s">
        <v>282</v>
      </c>
      <c r="H903" s="11" t="s">
        <v>124</v>
      </c>
      <c r="I903" s="7">
        <v>16.5</v>
      </c>
      <c r="J903" s="15">
        <v>5.2521131220325463</v>
      </c>
      <c r="K903" s="7">
        <v>3.5</v>
      </c>
      <c r="L903" s="8">
        <v>7</v>
      </c>
      <c r="M903" s="7"/>
      <c r="N903" s="12" t="s">
        <v>20</v>
      </c>
      <c r="O903" s="12" t="s">
        <v>16</v>
      </c>
      <c r="P903" s="57" t="str">
        <f t="shared" si="42"/>
        <v>un fuste</v>
      </c>
      <c r="Q903">
        <f t="shared" si="43"/>
        <v>7.5</v>
      </c>
      <c r="R903">
        <f t="shared" si="44"/>
        <v>5</v>
      </c>
    </row>
    <row r="904" spans="1:21" x14ac:dyDescent="0.25">
      <c r="A904" s="7">
        <v>4</v>
      </c>
      <c r="B904" s="7">
        <v>100</v>
      </c>
      <c r="C904" s="8">
        <v>2</v>
      </c>
      <c r="D904" s="8">
        <v>9</v>
      </c>
      <c r="E904" s="8">
        <v>10</v>
      </c>
      <c r="F904" s="9" t="s">
        <v>90</v>
      </c>
      <c r="G904" s="13" t="s">
        <v>282</v>
      </c>
      <c r="H904" s="14" t="s">
        <v>124</v>
      </c>
      <c r="I904" s="8">
        <v>26.5</v>
      </c>
      <c r="J904" s="15">
        <v>8.4352119838704525</v>
      </c>
      <c r="K904" s="8">
        <v>5</v>
      </c>
      <c r="L904" s="8">
        <v>9</v>
      </c>
      <c r="M904" s="7"/>
      <c r="N904" s="12" t="s">
        <v>20</v>
      </c>
      <c r="O904" s="12" t="s">
        <v>16</v>
      </c>
      <c r="P904" s="57" t="str">
        <f t="shared" si="42"/>
        <v>un fuste</v>
      </c>
      <c r="Q904">
        <f t="shared" si="43"/>
        <v>10</v>
      </c>
      <c r="R904">
        <f t="shared" si="44"/>
        <v>10</v>
      </c>
    </row>
    <row r="905" spans="1:21" x14ac:dyDescent="0.25">
      <c r="A905" s="7">
        <v>11</v>
      </c>
      <c r="B905" s="7">
        <v>5</v>
      </c>
      <c r="C905" s="8"/>
      <c r="D905" s="7">
        <v>24</v>
      </c>
      <c r="E905" s="7">
        <v>24</v>
      </c>
      <c r="F905" s="9" t="s">
        <v>43</v>
      </c>
      <c r="G905" s="10" t="s">
        <v>146</v>
      </c>
      <c r="H905" s="11" t="s">
        <v>147</v>
      </c>
      <c r="I905" s="7"/>
      <c r="J905" s="7"/>
      <c r="K905" s="7"/>
      <c r="L905" s="7">
        <v>8</v>
      </c>
      <c r="M905" s="7" t="e">
        <v>#REF!</v>
      </c>
      <c r="N905" s="12"/>
      <c r="O905" s="12" t="s">
        <v>16</v>
      </c>
      <c r="P905" s="57" t="str">
        <f t="shared" si="42"/>
        <v>un fuste</v>
      </c>
      <c r="Q905">
        <f t="shared" si="43"/>
        <v>7.5</v>
      </c>
      <c r="R905">
        <f t="shared" si="44"/>
        <v>5</v>
      </c>
    </row>
    <row r="906" spans="1:21" x14ac:dyDescent="0.25">
      <c r="A906" s="7">
        <v>8</v>
      </c>
      <c r="B906" s="7">
        <v>100</v>
      </c>
      <c r="C906" s="8">
        <v>2</v>
      </c>
      <c r="D906" s="8">
        <v>12</v>
      </c>
      <c r="E906" s="8">
        <v>12</v>
      </c>
      <c r="F906" s="9" t="s">
        <v>90</v>
      </c>
      <c r="G906" s="13" t="s">
        <v>282</v>
      </c>
      <c r="H906" s="11" t="s">
        <v>124</v>
      </c>
      <c r="I906" s="7">
        <v>17</v>
      </c>
      <c r="J906" s="15">
        <v>5.4112680651244416</v>
      </c>
      <c r="K906" s="7">
        <v>3.5</v>
      </c>
      <c r="L906" s="7">
        <v>6</v>
      </c>
      <c r="M906" s="7"/>
      <c r="N906" s="12" t="s">
        <v>20</v>
      </c>
      <c r="O906" s="12" t="s">
        <v>16</v>
      </c>
      <c r="P906" s="57" t="str">
        <f t="shared" si="42"/>
        <v>un fuste</v>
      </c>
      <c r="Q906">
        <f t="shared" si="43"/>
        <v>5</v>
      </c>
      <c r="R906">
        <f t="shared" si="44"/>
        <v>5</v>
      </c>
    </row>
    <row r="907" spans="1:21" x14ac:dyDescent="0.25">
      <c r="A907" s="7">
        <v>4</v>
      </c>
      <c r="B907" s="7">
        <v>500</v>
      </c>
      <c r="C907" s="8">
        <v>2</v>
      </c>
      <c r="D907" s="8">
        <v>17</v>
      </c>
      <c r="E907" s="8">
        <v>17</v>
      </c>
      <c r="F907" s="9" t="s">
        <v>90</v>
      </c>
      <c r="G907" s="10" t="s">
        <v>282</v>
      </c>
      <c r="H907" s="11" t="s">
        <v>124</v>
      </c>
      <c r="I907" s="8">
        <v>32</v>
      </c>
      <c r="J907" s="15">
        <v>10.185916357881302</v>
      </c>
      <c r="K907" s="8">
        <v>6</v>
      </c>
      <c r="L907" s="8">
        <v>13</v>
      </c>
      <c r="M907" s="7"/>
      <c r="N907" s="12" t="s">
        <v>20</v>
      </c>
      <c r="O907" s="12" t="s">
        <v>16</v>
      </c>
      <c r="P907" s="57" t="str">
        <f t="shared" si="42"/>
        <v>un fuste</v>
      </c>
      <c r="Q907">
        <f t="shared" si="43"/>
        <v>12.5</v>
      </c>
      <c r="R907">
        <f t="shared" si="44"/>
        <v>10</v>
      </c>
      <c r="S907">
        <v>17</v>
      </c>
      <c r="T907" t="s">
        <v>273</v>
      </c>
      <c r="U907">
        <v>6.9458874789219013E-2</v>
      </c>
    </row>
    <row r="908" spans="1:21" x14ac:dyDescent="0.25">
      <c r="A908" s="7">
        <v>5</v>
      </c>
      <c r="B908" s="7">
        <v>100</v>
      </c>
      <c r="C908" s="8">
        <v>2</v>
      </c>
      <c r="D908" s="8">
        <v>16</v>
      </c>
      <c r="E908" s="8">
        <v>17</v>
      </c>
      <c r="F908" s="9" t="s">
        <v>90</v>
      </c>
      <c r="G908" s="13" t="s">
        <v>282</v>
      </c>
      <c r="H908" s="11" t="s">
        <v>124</v>
      </c>
      <c r="I908" s="7">
        <v>21</v>
      </c>
      <c r="J908" s="15">
        <v>6.6845076098596046</v>
      </c>
      <c r="K908" s="7">
        <v>3</v>
      </c>
      <c r="L908" s="7">
        <v>9</v>
      </c>
      <c r="M908" s="7"/>
      <c r="N908" s="12" t="s">
        <v>20</v>
      </c>
      <c r="O908" s="12" t="s">
        <v>16</v>
      </c>
      <c r="P908" s="57" t="str">
        <f t="shared" si="42"/>
        <v>un fuste</v>
      </c>
      <c r="Q908">
        <f t="shared" si="43"/>
        <v>10</v>
      </c>
      <c r="R908">
        <f t="shared" si="44"/>
        <v>5</v>
      </c>
    </row>
    <row r="909" spans="1:21" x14ac:dyDescent="0.25">
      <c r="A909" s="7">
        <v>5</v>
      </c>
      <c r="B909" s="7">
        <v>100</v>
      </c>
      <c r="C909" s="8">
        <v>3</v>
      </c>
      <c r="D909" s="8">
        <v>17</v>
      </c>
      <c r="E909" s="8">
        <v>18</v>
      </c>
      <c r="F909" s="9" t="s">
        <v>90</v>
      </c>
      <c r="G909" s="13" t="s">
        <v>282</v>
      </c>
      <c r="H909" s="11" t="s">
        <v>124</v>
      </c>
      <c r="I909" s="7">
        <v>20</v>
      </c>
      <c r="J909" s="15">
        <v>6.366197723675814</v>
      </c>
      <c r="K909" s="7">
        <v>5</v>
      </c>
      <c r="L909" s="7">
        <v>9</v>
      </c>
      <c r="M909" s="7"/>
      <c r="N909" s="12" t="s">
        <v>20</v>
      </c>
      <c r="O909" s="12" t="s">
        <v>16</v>
      </c>
      <c r="P909" s="57" t="str">
        <f t="shared" si="42"/>
        <v>un fuste</v>
      </c>
      <c r="Q909">
        <f t="shared" si="43"/>
        <v>10</v>
      </c>
      <c r="R909">
        <f t="shared" si="44"/>
        <v>5</v>
      </c>
    </row>
    <row r="910" spans="1:21" x14ac:dyDescent="0.25">
      <c r="A910" s="7">
        <v>11</v>
      </c>
      <c r="B910" s="7">
        <v>5</v>
      </c>
      <c r="C910" s="7"/>
      <c r="D910" s="8">
        <v>25</v>
      </c>
      <c r="E910" s="7">
        <v>25</v>
      </c>
      <c r="F910" s="9" t="s">
        <v>108</v>
      </c>
      <c r="G910" s="10" t="s">
        <v>122</v>
      </c>
      <c r="H910" s="11" t="s">
        <v>123</v>
      </c>
      <c r="I910" s="7"/>
      <c r="J910" s="7"/>
      <c r="K910" s="7"/>
      <c r="L910" s="7">
        <v>1</v>
      </c>
      <c r="M910" s="7" t="e">
        <v>#REF!</v>
      </c>
      <c r="N910" s="12"/>
      <c r="O910" s="12" t="s">
        <v>16</v>
      </c>
      <c r="P910" s="57" t="str">
        <f t="shared" si="42"/>
        <v>un fuste</v>
      </c>
      <c r="Q910">
        <f t="shared" si="43"/>
        <v>2.5</v>
      </c>
      <c r="R910">
        <f t="shared" si="44"/>
        <v>5</v>
      </c>
    </row>
    <row r="911" spans="1:21" x14ac:dyDescent="0.25">
      <c r="A911" s="7">
        <v>5</v>
      </c>
      <c r="B911" s="7">
        <v>100</v>
      </c>
      <c r="C911" s="8">
        <v>3</v>
      </c>
      <c r="D911" s="8">
        <v>19</v>
      </c>
      <c r="E911" s="8">
        <v>20</v>
      </c>
      <c r="F911" s="9" t="s">
        <v>90</v>
      </c>
      <c r="G911" s="13" t="s">
        <v>282</v>
      </c>
      <c r="H911" s="11" t="s">
        <v>124</v>
      </c>
      <c r="I911" s="7">
        <v>16.5</v>
      </c>
      <c r="J911" s="15">
        <v>5.2521131220325463</v>
      </c>
      <c r="K911" s="7">
        <v>5</v>
      </c>
      <c r="L911" s="8">
        <v>9</v>
      </c>
      <c r="M911" s="7"/>
      <c r="N911" s="12" t="s">
        <v>20</v>
      </c>
      <c r="O911" s="12" t="s">
        <v>16</v>
      </c>
      <c r="P911" s="57" t="str">
        <f t="shared" si="42"/>
        <v>un fuste</v>
      </c>
      <c r="Q911">
        <f t="shared" si="43"/>
        <v>10</v>
      </c>
      <c r="R911">
        <f t="shared" si="44"/>
        <v>5</v>
      </c>
    </row>
    <row r="912" spans="1:21" x14ac:dyDescent="0.25">
      <c r="A912" s="7">
        <v>6</v>
      </c>
      <c r="B912" s="7">
        <v>100</v>
      </c>
      <c r="C912" s="7">
        <v>3</v>
      </c>
      <c r="D912" s="8">
        <v>18</v>
      </c>
      <c r="E912" s="7">
        <v>21</v>
      </c>
      <c r="F912" s="9" t="s">
        <v>90</v>
      </c>
      <c r="G912" s="13" t="s">
        <v>282</v>
      </c>
      <c r="H912" s="11" t="s">
        <v>124</v>
      </c>
      <c r="I912" s="7">
        <v>20</v>
      </c>
      <c r="J912" s="15">
        <v>6.366197723675814</v>
      </c>
      <c r="K912" s="7">
        <v>2.7</v>
      </c>
      <c r="L912" s="7">
        <v>7</v>
      </c>
      <c r="M912" s="7"/>
      <c r="N912" s="12" t="s">
        <v>20</v>
      </c>
      <c r="O912" s="12" t="s">
        <v>16</v>
      </c>
      <c r="P912" s="57" t="str">
        <f t="shared" si="42"/>
        <v>un fuste</v>
      </c>
      <c r="Q912">
        <f t="shared" si="43"/>
        <v>7.5</v>
      </c>
      <c r="R912">
        <f t="shared" si="44"/>
        <v>5</v>
      </c>
    </row>
    <row r="913" spans="1:21" x14ac:dyDescent="0.25">
      <c r="A913" s="7">
        <v>10</v>
      </c>
      <c r="B913" s="7">
        <v>100</v>
      </c>
      <c r="C913" s="7">
        <v>2</v>
      </c>
      <c r="D913" s="8">
        <v>23</v>
      </c>
      <c r="E913" s="8">
        <v>23</v>
      </c>
      <c r="F913" s="9" t="s">
        <v>90</v>
      </c>
      <c r="G913" s="13" t="s">
        <v>282</v>
      </c>
      <c r="H913" s="14" t="s">
        <v>124</v>
      </c>
      <c r="I913" s="7">
        <v>23</v>
      </c>
      <c r="J913" s="15">
        <v>7.3211273822271856</v>
      </c>
      <c r="K913" s="7">
        <v>5</v>
      </c>
      <c r="L913" s="7">
        <v>9</v>
      </c>
      <c r="M913" s="7"/>
      <c r="N913" s="12" t="s">
        <v>20</v>
      </c>
      <c r="O913" s="12" t="s">
        <v>16</v>
      </c>
      <c r="P913" s="57" t="str">
        <f t="shared" si="42"/>
        <v>un fuste</v>
      </c>
      <c r="Q913">
        <f t="shared" si="43"/>
        <v>10</v>
      </c>
      <c r="R913">
        <f t="shared" si="44"/>
        <v>5</v>
      </c>
    </row>
    <row r="914" spans="1:21" x14ac:dyDescent="0.25">
      <c r="A914" s="7">
        <v>10</v>
      </c>
      <c r="B914" s="7">
        <v>100</v>
      </c>
      <c r="C914" s="7">
        <v>3</v>
      </c>
      <c r="D914" s="8">
        <v>27</v>
      </c>
      <c r="E914" s="7">
        <v>27</v>
      </c>
      <c r="F914" s="9" t="s">
        <v>90</v>
      </c>
      <c r="G914" s="13" t="s">
        <v>282</v>
      </c>
      <c r="H914" s="11" t="s">
        <v>124</v>
      </c>
      <c r="I914" s="7">
        <v>18</v>
      </c>
      <c r="J914" s="15">
        <v>5.7295779513082321</v>
      </c>
      <c r="K914" s="7">
        <v>4</v>
      </c>
      <c r="L914" s="7">
        <v>8</v>
      </c>
      <c r="M914" s="7"/>
      <c r="N914" s="12" t="s">
        <v>20</v>
      </c>
      <c r="O914" s="12" t="s">
        <v>16</v>
      </c>
      <c r="P914" s="57" t="str">
        <f t="shared" si="42"/>
        <v>un fuste</v>
      </c>
      <c r="Q914">
        <f t="shared" si="43"/>
        <v>7.5</v>
      </c>
      <c r="R914">
        <f t="shared" si="44"/>
        <v>5</v>
      </c>
    </row>
    <row r="915" spans="1:21" x14ac:dyDescent="0.25">
      <c r="A915" s="7">
        <v>4</v>
      </c>
      <c r="B915" s="7">
        <v>500</v>
      </c>
      <c r="C915" s="8">
        <v>2</v>
      </c>
      <c r="D915" s="8">
        <v>29</v>
      </c>
      <c r="E915" s="8">
        <v>30</v>
      </c>
      <c r="F915" s="17" t="s">
        <v>90</v>
      </c>
      <c r="G915" s="10" t="s">
        <v>282</v>
      </c>
      <c r="H915" s="11" t="s">
        <v>124</v>
      </c>
      <c r="I915" s="7">
        <v>32</v>
      </c>
      <c r="J915" s="15">
        <v>10.185916357881302</v>
      </c>
      <c r="K915" s="7">
        <v>7.5</v>
      </c>
      <c r="L915" s="8">
        <v>12</v>
      </c>
      <c r="M915" s="7"/>
      <c r="N915" s="12" t="s">
        <v>20</v>
      </c>
      <c r="O915" s="12" t="s">
        <v>16</v>
      </c>
      <c r="P915" s="57" t="str">
        <f t="shared" si="42"/>
        <v>un fuste</v>
      </c>
      <c r="Q915">
        <f t="shared" si="43"/>
        <v>12.5</v>
      </c>
      <c r="R915">
        <f t="shared" si="44"/>
        <v>10</v>
      </c>
      <c r="S915">
        <v>17</v>
      </c>
      <c r="T915" t="s">
        <v>273</v>
      </c>
      <c r="U915">
        <v>6.3960111229385122E-2</v>
      </c>
    </row>
    <row r="916" spans="1:21" x14ac:dyDescent="0.25">
      <c r="A916" s="7">
        <v>10</v>
      </c>
      <c r="B916" s="7">
        <v>100</v>
      </c>
      <c r="C916" s="8">
        <v>3</v>
      </c>
      <c r="D916" s="8">
        <v>32</v>
      </c>
      <c r="E916" s="8">
        <v>32</v>
      </c>
      <c r="F916" s="9" t="s">
        <v>90</v>
      </c>
      <c r="G916" s="13" t="s">
        <v>282</v>
      </c>
      <c r="H916" s="11" t="s">
        <v>124</v>
      </c>
      <c r="I916" s="7">
        <v>19.5</v>
      </c>
      <c r="J916" s="15">
        <v>6.2070427805839179</v>
      </c>
      <c r="K916" s="7">
        <v>3.5</v>
      </c>
      <c r="L916" s="8">
        <v>8</v>
      </c>
      <c r="M916" s="7"/>
      <c r="N916" s="12" t="s">
        <v>20</v>
      </c>
      <c r="O916" s="12" t="s">
        <v>16</v>
      </c>
      <c r="P916" s="57" t="str">
        <f t="shared" si="42"/>
        <v>un fuste</v>
      </c>
      <c r="Q916">
        <f t="shared" si="43"/>
        <v>7.5</v>
      </c>
      <c r="R916">
        <f t="shared" si="44"/>
        <v>5</v>
      </c>
    </row>
    <row r="917" spans="1:21" x14ac:dyDescent="0.25">
      <c r="A917" s="7">
        <v>11</v>
      </c>
      <c r="B917" s="7">
        <v>5</v>
      </c>
      <c r="C917" s="8"/>
      <c r="D917" s="8">
        <v>26</v>
      </c>
      <c r="E917" s="8">
        <v>26</v>
      </c>
      <c r="F917" s="9" t="s">
        <v>168</v>
      </c>
      <c r="G917" s="10" t="s">
        <v>169</v>
      </c>
      <c r="H917" s="11" t="s">
        <v>170</v>
      </c>
      <c r="I917" s="8"/>
      <c r="J917" s="7"/>
      <c r="K917" s="8"/>
      <c r="L917" s="8">
        <v>0.6</v>
      </c>
      <c r="M917" s="7" t="e">
        <v>#REF!</v>
      </c>
      <c r="N917" s="12"/>
      <c r="O917" s="12" t="s">
        <v>16</v>
      </c>
      <c r="P917" s="57" t="str">
        <f t="shared" si="42"/>
        <v>un fuste</v>
      </c>
      <c r="Q917">
        <f t="shared" si="43"/>
        <v>2.5</v>
      </c>
      <c r="R917">
        <f t="shared" si="44"/>
        <v>5</v>
      </c>
    </row>
    <row r="918" spans="1:21" x14ac:dyDescent="0.25">
      <c r="A918" s="7">
        <v>11</v>
      </c>
      <c r="B918" s="7">
        <v>5</v>
      </c>
      <c r="C918" s="8"/>
      <c r="D918" s="8">
        <v>27</v>
      </c>
      <c r="E918" s="8">
        <v>27</v>
      </c>
      <c r="F918" s="9" t="s">
        <v>168</v>
      </c>
      <c r="G918" s="13" t="s">
        <v>169</v>
      </c>
      <c r="H918" s="11" t="s">
        <v>170</v>
      </c>
      <c r="I918" s="7"/>
      <c r="J918" s="7"/>
      <c r="K918" s="7"/>
      <c r="L918" s="7">
        <v>0.6</v>
      </c>
      <c r="M918" s="7" t="e">
        <v>#REF!</v>
      </c>
      <c r="N918" s="12"/>
      <c r="O918" s="12" t="s">
        <v>16</v>
      </c>
      <c r="P918" s="57" t="str">
        <f t="shared" si="42"/>
        <v>un fuste</v>
      </c>
      <c r="Q918">
        <f t="shared" si="43"/>
        <v>2.5</v>
      </c>
      <c r="R918">
        <f t="shared" si="44"/>
        <v>5</v>
      </c>
    </row>
    <row r="919" spans="1:21" x14ac:dyDescent="0.25">
      <c r="A919" s="7">
        <v>11</v>
      </c>
      <c r="B919" s="7">
        <v>5</v>
      </c>
      <c r="C919" s="8"/>
      <c r="D919" s="7">
        <v>28</v>
      </c>
      <c r="E919" s="7">
        <v>28</v>
      </c>
      <c r="F919" s="9" t="s">
        <v>168</v>
      </c>
      <c r="G919" s="13" t="s">
        <v>169</v>
      </c>
      <c r="H919" s="11" t="s">
        <v>170</v>
      </c>
      <c r="I919" s="7"/>
      <c r="J919" s="7"/>
      <c r="K919" s="7"/>
      <c r="L919" s="7">
        <v>0.6</v>
      </c>
      <c r="M919" s="7" t="e">
        <v>#REF!</v>
      </c>
      <c r="N919" s="12"/>
      <c r="O919" s="12" t="s">
        <v>16</v>
      </c>
      <c r="P919" s="57" t="str">
        <f t="shared" si="42"/>
        <v>un fuste</v>
      </c>
      <c r="Q919">
        <f t="shared" si="43"/>
        <v>2.5</v>
      </c>
      <c r="R919">
        <f t="shared" si="44"/>
        <v>5</v>
      </c>
    </row>
    <row r="920" spans="1:21" x14ac:dyDescent="0.25">
      <c r="A920" s="7">
        <v>12</v>
      </c>
      <c r="B920" s="7">
        <v>5</v>
      </c>
      <c r="C920" s="8"/>
      <c r="D920" s="8">
        <v>1</v>
      </c>
      <c r="E920" s="8">
        <v>1</v>
      </c>
      <c r="F920" s="9" t="s">
        <v>13</v>
      </c>
      <c r="G920" s="13" t="s">
        <v>14</v>
      </c>
      <c r="H920" s="11" t="s">
        <v>15</v>
      </c>
      <c r="I920" s="8"/>
      <c r="J920" s="7"/>
      <c r="K920" s="8"/>
      <c r="L920" s="8">
        <v>8</v>
      </c>
      <c r="M920" s="7" t="e">
        <v>#REF!</v>
      </c>
      <c r="N920" s="12"/>
      <c r="O920" s="12" t="s">
        <v>16</v>
      </c>
      <c r="P920" s="57" t="str">
        <f t="shared" si="42"/>
        <v>un fuste</v>
      </c>
      <c r="Q920">
        <f t="shared" si="43"/>
        <v>7.5</v>
      </c>
      <c r="R920">
        <f t="shared" si="44"/>
        <v>5</v>
      </c>
    </row>
    <row r="921" spans="1:21" x14ac:dyDescent="0.25">
      <c r="A921" s="7">
        <v>12</v>
      </c>
      <c r="B921" s="7">
        <v>5</v>
      </c>
      <c r="C921" s="8"/>
      <c r="D921" s="8">
        <v>2</v>
      </c>
      <c r="E921" s="8">
        <v>2</v>
      </c>
      <c r="F921" s="9" t="s">
        <v>13</v>
      </c>
      <c r="G921" s="10" t="s">
        <v>14</v>
      </c>
      <c r="H921" s="11" t="s">
        <v>15</v>
      </c>
      <c r="I921" s="7"/>
      <c r="J921" s="7"/>
      <c r="K921" s="7"/>
      <c r="L921" s="7">
        <v>7</v>
      </c>
      <c r="M921" s="7" t="e">
        <v>#REF!</v>
      </c>
      <c r="N921" s="12"/>
      <c r="O921" s="12" t="s">
        <v>16</v>
      </c>
      <c r="P921" s="57" t="str">
        <f t="shared" si="42"/>
        <v>un fuste</v>
      </c>
      <c r="Q921">
        <f t="shared" si="43"/>
        <v>7.5</v>
      </c>
      <c r="R921">
        <f t="shared" si="44"/>
        <v>5</v>
      </c>
    </row>
    <row r="922" spans="1:21" x14ac:dyDescent="0.25">
      <c r="A922" s="7">
        <v>12</v>
      </c>
      <c r="B922" s="7">
        <v>5</v>
      </c>
      <c r="C922" s="7"/>
      <c r="D922" s="8">
        <v>3</v>
      </c>
      <c r="E922" s="7">
        <v>3</v>
      </c>
      <c r="F922" s="9" t="s">
        <v>13</v>
      </c>
      <c r="G922" s="10" t="s">
        <v>14</v>
      </c>
      <c r="H922" s="11" t="s">
        <v>15</v>
      </c>
      <c r="I922" s="7"/>
      <c r="J922" s="7"/>
      <c r="K922" s="7"/>
      <c r="L922" s="7">
        <v>2.5</v>
      </c>
      <c r="M922" s="7" t="e">
        <v>#REF!</v>
      </c>
      <c r="N922" s="12"/>
      <c r="O922" s="12" t="s">
        <v>16</v>
      </c>
      <c r="P922" s="57" t="str">
        <f t="shared" si="42"/>
        <v>un fuste</v>
      </c>
      <c r="Q922">
        <f t="shared" si="43"/>
        <v>2.5</v>
      </c>
      <c r="R922">
        <f t="shared" si="44"/>
        <v>5</v>
      </c>
    </row>
    <row r="923" spans="1:21" x14ac:dyDescent="0.25">
      <c r="A923" s="7">
        <v>12</v>
      </c>
      <c r="B923" s="7">
        <v>5</v>
      </c>
      <c r="C923" s="8"/>
      <c r="D923" s="8">
        <v>4</v>
      </c>
      <c r="E923" s="8">
        <v>4</v>
      </c>
      <c r="F923" s="9" t="s">
        <v>26</v>
      </c>
      <c r="G923" s="10" t="s">
        <v>27</v>
      </c>
      <c r="H923" s="11" t="s">
        <v>28</v>
      </c>
      <c r="I923" s="7"/>
      <c r="J923" s="7"/>
      <c r="K923" s="7"/>
      <c r="L923" s="8">
        <v>5.5</v>
      </c>
      <c r="M923" s="7" t="e">
        <v>#REF!</v>
      </c>
      <c r="N923" s="12"/>
      <c r="O923" s="12" t="s">
        <v>16</v>
      </c>
      <c r="P923" s="57" t="str">
        <f t="shared" si="42"/>
        <v>un fuste</v>
      </c>
      <c r="Q923">
        <f t="shared" si="43"/>
        <v>5</v>
      </c>
      <c r="R923">
        <f t="shared" si="44"/>
        <v>5</v>
      </c>
    </row>
    <row r="924" spans="1:21" x14ac:dyDescent="0.25">
      <c r="A924" s="7">
        <v>8</v>
      </c>
      <c r="B924" s="7">
        <v>500</v>
      </c>
      <c r="C924" s="8">
        <v>3</v>
      </c>
      <c r="D924" s="8">
        <v>42</v>
      </c>
      <c r="E924" s="8">
        <v>47</v>
      </c>
      <c r="F924" s="9" t="s">
        <v>17</v>
      </c>
      <c r="G924" s="13" t="s">
        <v>210</v>
      </c>
      <c r="H924" s="11" t="s">
        <v>211</v>
      </c>
      <c r="I924" s="7">
        <v>32</v>
      </c>
      <c r="J924" s="15">
        <v>10.185916357881302</v>
      </c>
      <c r="K924" s="7">
        <v>8</v>
      </c>
      <c r="L924" s="7">
        <v>12</v>
      </c>
      <c r="M924" s="7"/>
      <c r="N924" s="12" t="s">
        <v>20</v>
      </c>
      <c r="O924" s="12" t="s">
        <v>16</v>
      </c>
      <c r="P924" s="57" t="str">
        <f t="shared" si="42"/>
        <v>un fuste</v>
      </c>
      <c r="Q924">
        <f t="shared" si="43"/>
        <v>12.5</v>
      </c>
      <c r="R924">
        <f t="shared" si="44"/>
        <v>10</v>
      </c>
      <c r="S924">
        <v>17</v>
      </c>
      <c r="T924" t="s">
        <v>273</v>
      </c>
      <c r="U924">
        <v>6.3960111229385122E-2</v>
      </c>
    </row>
    <row r="925" spans="1:21" x14ac:dyDescent="0.25">
      <c r="A925" s="7">
        <v>8</v>
      </c>
      <c r="B925" s="7">
        <v>500</v>
      </c>
      <c r="C925" s="7">
        <v>3</v>
      </c>
      <c r="D925" s="8">
        <v>43</v>
      </c>
      <c r="E925" s="7">
        <v>48</v>
      </c>
      <c r="F925" s="9" t="s">
        <v>17</v>
      </c>
      <c r="G925" s="10" t="s">
        <v>210</v>
      </c>
      <c r="H925" s="11" t="s">
        <v>211</v>
      </c>
      <c r="I925" s="7">
        <v>31.5</v>
      </c>
      <c r="J925" s="15">
        <v>10.026761414789407</v>
      </c>
      <c r="K925" s="7">
        <v>5</v>
      </c>
      <c r="L925" s="7">
        <v>12</v>
      </c>
      <c r="M925" s="7"/>
      <c r="N925" s="12" t="s">
        <v>20</v>
      </c>
      <c r="O925" s="12" t="s">
        <v>16</v>
      </c>
      <c r="P925" s="57" t="str">
        <f t="shared" si="42"/>
        <v>un fuste</v>
      </c>
      <c r="Q925">
        <f t="shared" si="43"/>
        <v>12.5</v>
      </c>
      <c r="R925">
        <f t="shared" si="44"/>
        <v>10</v>
      </c>
      <c r="S925">
        <v>17</v>
      </c>
      <c r="T925" t="s">
        <v>273</v>
      </c>
      <c r="U925">
        <v>6.2157294315506713E-2</v>
      </c>
    </row>
    <row r="926" spans="1:21" x14ac:dyDescent="0.25">
      <c r="A926" s="7">
        <v>12</v>
      </c>
      <c r="B926" s="7">
        <v>5</v>
      </c>
      <c r="C926" s="7"/>
      <c r="D926" s="8">
        <v>5</v>
      </c>
      <c r="E926" s="7">
        <v>5</v>
      </c>
      <c r="F926" s="9" t="s">
        <v>26</v>
      </c>
      <c r="G926" s="13" t="s">
        <v>27</v>
      </c>
      <c r="H926" s="11" t="s">
        <v>28</v>
      </c>
      <c r="I926" s="7"/>
      <c r="J926" s="7"/>
      <c r="K926" s="7"/>
      <c r="L926" s="7">
        <v>4.5</v>
      </c>
      <c r="M926" s="7" t="e">
        <v>#REF!</v>
      </c>
      <c r="N926" s="12"/>
      <c r="O926" s="12" t="s">
        <v>16</v>
      </c>
      <c r="P926" s="57" t="str">
        <f t="shared" si="42"/>
        <v>un fuste</v>
      </c>
      <c r="Q926">
        <f t="shared" si="43"/>
        <v>5</v>
      </c>
      <c r="R926">
        <f t="shared" si="44"/>
        <v>5</v>
      </c>
    </row>
    <row r="927" spans="1:21" x14ac:dyDescent="0.25">
      <c r="A927" s="7">
        <v>6</v>
      </c>
      <c r="B927" s="7">
        <v>500</v>
      </c>
      <c r="C927" s="7">
        <v>1</v>
      </c>
      <c r="D927" s="8">
        <v>1</v>
      </c>
      <c r="E927" s="8">
        <v>1</v>
      </c>
      <c r="F927" s="9" t="s">
        <v>17</v>
      </c>
      <c r="G927" s="13" t="s">
        <v>60</v>
      </c>
      <c r="H927" s="14" t="s">
        <v>61</v>
      </c>
      <c r="I927" s="7">
        <v>48.5</v>
      </c>
      <c r="J927" s="15">
        <v>15.438029479913848</v>
      </c>
      <c r="K927" s="7">
        <v>2.6</v>
      </c>
      <c r="L927" s="7">
        <v>12</v>
      </c>
      <c r="M927" s="7"/>
      <c r="N927" s="12" t="s">
        <v>20</v>
      </c>
      <c r="O927" s="12" t="s">
        <v>16</v>
      </c>
      <c r="P927" s="57" t="str">
        <f t="shared" si="42"/>
        <v>un fuste</v>
      </c>
      <c r="Q927">
        <f t="shared" si="43"/>
        <v>12.5</v>
      </c>
      <c r="R927">
        <f t="shared" si="44"/>
        <v>15</v>
      </c>
      <c r="S927">
        <v>3</v>
      </c>
      <c r="T927" t="s">
        <v>278</v>
      </c>
      <c r="U927">
        <v>0.12003226734670126</v>
      </c>
    </row>
    <row r="928" spans="1:21" x14ac:dyDescent="0.25">
      <c r="A928" s="7">
        <v>7</v>
      </c>
      <c r="B928" s="7">
        <v>500</v>
      </c>
      <c r="C928" s="8">
        <v>1</v>
      </c>
      <c r="D928" s="8">
        <v>1</v>
      </c>
      <c r="E928" s="8">
        <v>1</v>
      </c>
      <c r="F928" s="17" t="s">
        <v>17</v>
      </c>
      <c r="G928" s="10" t="s">
        <v>60</v>
      </c>
      <c r="H928" s="11" t="s">
        <v>61</v>
      </c>
      <c r="I928" s="7">
        <v>96</v>
      </c>
      <c r="J928" s="15">
        <v>30.557749073643905</v>
      </c>
      <c r="K928" s="7">
        <v>3</v>
      </c>
      <c r="L928" s="8">
        <v>14</v>
      </c>
      <c r="M928" s="7"/>
      <c r="N928" s="12" t="s">
        <v>20</v>
      </c>
      <c r="O928" s="12" t="s">
        <v>16</v>
      </c>
      <c r="P928" s="57" t="str">
        <f t="shared" si="42"/>
        <v>un fuste</v>
      </c>
      <c r="Q928">
        <f t="shared" si="43"/>
        <v>15</v>
      </c>
      <c r="R928">
        <f t="shared" si="44"/>
        <v>30</v>
      </c>
      <c r="S928">
        <v>3</v>
      </c>
      <c r="T928" t="s">
        <v>278</v>
      </c>
      <c r="U928">
        <v>0.52926497995563737</v>
      </c>
    </row>
    <row r="929" spans="1:21" x14ac:dyDescent="0.25">
      <c r="A929" s="7">
        <v>10</v>
      </c>
      <c r="B929" s="7">
        <v>500</v>
      </c>
      <c r="C929" s="8">
        <v>1</v>
      </c>
      <c r="D929" s="8">
        <v>1</v>
      </c>
      <c r="E929" s="8">
        <v>1</v>
      </c>
      <c r="F929" s="9" t="s">
        <v>17</v>
      </c>
      <c r="G929" s="13" t="s">
        <v>60</v>
      </c>
      <c r="H929" s="11" t="s">
        <v>61</v>
      </c>
      <c r="I929" s="7">
        <v>35</v>
      </c>
      <c r="J929" s="15">
        <v>11.140846016432674</v>
      </c>
      <c r="K929" s="7">
        <v>3</v>
      </c>
      <c r="L929" s="8">
        <v>10</v>
      </c>
      <c r="M929" s="7"/>
      <c r="N929" s="12" t="s">
        <v>20</v>
      </c>
      <c r="O929" s="12" t="s">
        <v>16</v>
      </c>
      <c r="P929" s="57" t="str">
        <f t="shared" si="42"/>
        <v>un fuste</v>
      </c>
      <c r="Q929">
        <f t="shared" si="43"/>
        <v>10</v>
      </c>
      <c r="R929">
        <f t="shared" si="44"/>
        <v>10</v>
      </c>
      <c r="S929">
        <v>3</v>
      </c>
      <c r="T929" t="s">
        <v>278</v>
      </c>
      <c r="U929">
        <v>5.2553575416116598E-2</v>
      </c>
    </row>
    <row r="930" spans="1:21" x14ac:dyDescent="0.25">
      <c r="A930" s="7">
        <v>12</v>
      </c>
      <c r="B930" s="7">
        <v>500</v>
      </c>
      <c r="C930" s="8">
        <v>1</v>
      </c>
      <c r="D930" s="8">
        <v>1</v>
      </c>
      <c r="E930" s="8">
        <v>1</v>
      </c>
      <c r="F930" s="9" t="s">
        <v>17</v>
      </c>
      <c r="G930" s="13" t="s">
        <v>60</v>
      </c>
      <c r="H930" s="14" t="s">
        <v>61</v>
      </c>
      <c r="I930" s="8">
        <v>42</v>
      </c>
      <c r="J930" s="15">
        <v>13.369015219719209</v>
      </c>
      <c r="K930" s="8">
        <v>2.2999999999999998</v>
      </c>
      <c r="L930" s="8">
        <v>9</v>
      </c>
      <c r="M930" s="7"/>
      <c r="N930" s="12" t="s">
        <v>20</v>
      </c>
      <c r="O930" s="12" t="s">
        <v>16</v>
      </c>
      <c r="P930" s="57" t="str">
        <f t="shared" si="42"/>
        <v>un fuste</v>
      </c>
      <c r="Q930">
        <f t="shared" si="43"/>
        <v>10</v>
      </c>
      <c r="R930">
        <f t="shared" si="44"/>
        <v>15</v>
      </c>
      <c r="S930">
        <v>3</v>
      </c>
      <c r="T930" t="s">
        <v>278</v>
      </c>
      <c r="U930">
        <v>6.6701012410433178E-2</v>
      </c>
    </row>
    <row r="931" spans="1:21" x14ac:dyDescent="0.25">
      <c r="A931" s="7">
        <v>12</v>
      </c>
      <c r="B931" s="7">
        <v>100</v>
      </c>
      <c r="C931" s="8">
        <v>1</v>
      </c>
      <c r="D931" s="8">
        <v>1</v>
      </c>
      <c r="E931" s="8">
        <v>1</v>
      </c>
      <c r="F931" s="9" t="s">
        <v>17</v>
      </c>
      <c r="G931" s="10" t="s">
        <v>60</v>
      </c>
      <c r="H931" s="11" t="s">
        <v>61</v>
      </c>
      <c r="I931" s="7">
        <v>20.5</v>
      </c>
      <c r="J931" s="15">
        <v>6.5253526667677093</v>
      </c>
      <c r="K931" s="7">
        <v>2.7</v>
      </c>
      <c r="L931" s="7">
        <v>9</v>
      </c>
      <c r="M931" s="7"/>
      <c r="N931" s="12" t="s">
        <v>29</v>
      </c>
      <c r="O931" s="12" t="s">
        <v>16</v>
      </c>
      <c r="P931" s="57" t="str">
        <f t="shared" si="42"/>
        <v>un fuste</v>
      </c>
      <c r="Q931">
        <f t="shared" si="43"/>
        <v>10</v>
      </c>
      <c r="R931">
        <f t="shared" si="44"/>
        <v>5</v>
      </c>
    </row>
    <row r="932" spans="1:21" x14ac:dyDescent="0.25">
      <c r="A932" s="7">
        <v>8</v>
      </c>
      <c r="B932" s="7">
        <v>500</v>
      </c>
      <c r="C932" s="8">
        <v>1</v>
      </c>
      <c r="D932" s="8">
        <v>2</v>
      </c>
      <c r="E932" s="8">
        <v>2</v>
      </c>
      <c r="F932" s="9" t="s">
        <v>17</v>
      </c>
      <c r="G932" s="10" t="s">
        <v>60</v>
      </c>
      <c r="H932" s="11" t="s">
        <v>61</v>
      </c>
      <c r="I932" s="8">
        <v>57</v>
      </c>
      <c r="J932" s="15">
        <v>18.143663512476071</v>
      </c>
      <c r="K932" s="8">
        <v>8</v>
      </c>
      <c r="L932" s="8">
        <v>13</v>
      </c>
      <c r="M932" s="7"/>
      <c r="N932" s="12" t="s">
        <v>20</v>
      </c>
      <c r="O932" s="12" t="s">
        <v>16</v>
      </c>
      <c r="P932" s="57" t="str">
        <f t="shared" si="42"/>
        <v>un fuste</v>
      </c>
      <c r="Q932">
        <f t="shared" si="43"/>
        <v>12.5</v>
      </c>
      <c r="R932">
        <f t="shared" si="44"/>
        <v>20</v>
      </c>
      <c r="S932">
        <v>3</v>
      </c>
      <c r="T932" t="s">
        <v>278</v>
      </c>
      <c r="U932">
        <v>0.17868469143083901</v>
      </c>
    </row>
    <row r="933" spans="1:21" x14ac:dyDescent="0.25">
      <c r="A933" s="7">
        <v>12</v>
      </c>
      <c r="B933" s="7">
        <v>500</v>
      </c>
      <c r="C933" s="8">
        <v>1</v>
      </c>
      <c r="D933" s="7">
        <v>2</v>
      </c>
      <c r="E933" s="7">
        <v>2</v>
      </c>
      <c r="F933" s="9" t="s">
        <v>17</v>
      </c>
      <c r="G933" s="13" t="s">
        <v>60</v>
      </c>
      <c r="H933" s="11" t="s">
        <v>61</v>
      </c>
      <c r="I933" s="7">
        <v>34</v>
      </c>
      <c r="J933" s="15">
        <v>10.822536130248883</v>
      </c>
      <c r="K933" s="7">
        <v>1.4</v>
      </c>
      <c r="L933" s="7">
        <v>12</v>
      </c>
      <c r="M933" s="7"/>
      <c r="N933" s="12" t="s">
        <v>20</v>
      </c>
      <c r="O933" s="12" t="s">
        <v>16</v>
      </c>
      <c r="P933" s="57" t="str">
        <f t="shared" si="42"/>
        <v>un fuste</v>
      </c>
      <c r="Q933">
        <f t="shared" si="43"/>
        <v>12.5</v>
      </c>
      <c r="R933">
        <f t="shared" si="44"/>
        <v>10</v>
      </c>
      <c r="S933">
        <v>3</v>
      </c>
      <c r="T933" t="s">
        <v>278</v>
      </c>
      <c r="U933">
        <v>6.0476443880539972E-2</v>
      </c>
    </row>
    <row r="934" spans="1:21" x14ac:dyDescent="0.25">
      <c r="A934" s="7">
        <v>12</v>
      </c>
      <c r="B934" s="7">
        <v>100</v>
      </c>
      <c r="C934" s="7">
        <v>1</v>
      </c>
      <c r="D934" s="8" t="s">
        <v>172</v>
      </c>
      <c r="E934" s="8">
        <v>2</v>
      </c>
      <c r="F934" s="9" t="s">
        <v>17</v>
      </c>
      <c r="G934" s="10" t="s">
        <v>60</v>
      </c>
      <c r="H934" s="11" t="s">
        <v>61</v>
      </c>
      <c r="I934" s="7">
        <v>19</v>
      </c>
      <c r="J934" s="15">
        <v>6.0478878374920226</v>
      </c>
      <c r="K934" s="7">
        <v>2.4</v>
      </c>
      <c r="L934" s="7">
        <v>7</v>
      </c>
      <c r="M934" s="7"/>
      <c r="N934" s="12" t="s">
        <v>20</v>
      </c>
      <c r="O934" s="12" t="s">
        <v>16</v>
      </c>
      <c r="P934" s="31" t="e">
        <f t="shared" si="42"/>
        <v>#VALUE!</v>
      </c>
      <c r="Q934">
        <f t="shared" si="43"/>
        <v>7.5</v>
      </c>
      <c r="R934">
        <f t="shared" si="44"/>
        <v>5</v>
      </c>
    </row>
    <row r="935" spans="1:21" x14ac:dyDescent="0.25">
      <c r="A935" s="7">
        <v>12</v>
      </c>
      <c r="B935" s="7">
        <v>500</v>
      </c>
      <c r="C935" s="8">
        <v>1</v>
      </c>
      <c r="D935" s="8">
        <v>3</v>
      </c>
      <c r="E935" s="8">
        <v>3</v>
      </c>
      <c r="F935" s="9" t="s">
        <v>17</v>
      </c>
      <c r="G935" s="13" t="s">
        <v>60</v>
      </c>
      <c r="H935" s="11" t="s">
        <v>61</v>
      </c>
      <c r="I935" s="7">
        <v>35</v>
      </c>
      <c r="J935" s="15">
        <v>11.140846016432674</v>
      </c>
      <c r="K935" s="7">
        <v>3.2</v>
      </c>
      <c r="L935" s="7">
        <v>10</v>
      </c>
      <c r="M935" s="7"/>
      <c r="N935" s="12" t="s">
        <v>20</v>
      </c>
      <c r="O935" s="12" t="s">
        <v>16</v>
      </c>
      <c r="P935" s="57" t="str">
        <f t="shared" si="42"/>
        <v>un fuste</v>
      </c>
      <c r="Q935">
        <f t="shared" si="43"/>
        <v>10</v>
      </c>
      <c r="R935">
        <f t="shared" si="44"/>
        <v>10</v>
      </c>
      <c r="S935">
        <v>3</v>
      </c>
      <c r="T935" t="s">
        <v>278</v>
      </c>
      <c r="U935">
        <v>5.2553575416116598E-2</v>
      </c>
    </row>
    <row r="936" spans="1:21" x14ac:dyDescent="0.25">
      <c r="A936" s="7">
        <v>12</v>
      </c>
      <c r="B936" s="7">
        <v>100</v>
      </c>
      <c r="C936" s="7">
        <v>1</v>
      </c>
      <c r="D936" s="8">
        <v>2</v>
      </c>
      <c r="E936" s="7">
        <v>3</v>
      </c>
      <c r="F936" s="9" t="s">
        <v>17</v>
      </c>
      <c r="G936" s="10" t="s">
        <v>60</v>
      </c>
      <c r="H936" s="11" t="s">
        <v>61</v>
      </c>
      <c r="I936" s="7">
        <v>17</v>
      </c>
      <c r="J936" s="15">
        <v>5.4112680651244416</v>
      </c>
      <c r="K936" s="7">
        <v>2.2000000000000002</v>
      </c>
      <c r="L936" s="7">
        <v>9</v>
      </c>
      <c r="M936" s="7"/>
      <c r="N936" s="12" t="s">
        <v>20</v>
      </c>
      <c r="O936" s="12" t="s">
        <v>16</v>
      </c>
      <c r="P936" s="57" t="str">
        <f t="shared" si="42"/>
        <v>un fuste</v>
      </c>
      <c r="Q936">
        <f t="shared" si="43"/>
        <v>10</v>
      </c>
      <c r="R936">
        <f t="shared" si="44"/>
        <v>5</v>
      </c>
    </row>
    <row r="937" spans="1:21" x14ac:dyDescent="0.25">
      <c r="A937" s="7">
        <v>8</v>
      </c>
      <c r="B937" s="7">
        <v>500</v>
      </c>
      <c r="C937" s="8">
        <v>1</v>
      </c>
      <c r="D937" s="8">
        <v>4</v>
      </c>
      <c r="E937" s="8">
        <v>4</v>
      </c>
      <c r="F937" s="9" t="s">
        <v>17</v>
      </c>
      <c r="G937" s="10" t="s">
        <v>60</v>
      </c>
      <c r="H937" s="11" t="s">
        <v>61</v>
      </c>
      <c r="I937" s="7">
        <v>87.5</v>
      </c>
      <c r="J937" s="15">
        <v>27.852115041081685</v>
      </c>
      <c r="K937" s="7">
        <v>8</v>
      </c>
      <c r="L937" s="8">
        <v>14</v>
      </c>
      <c r="M937" s="7"/>
      <c r="N937" s="12" t="s">
        <v>29</v>
      </c>
      <c r="O937" s="12" t="s">
        <v>16</v>
      </c>
      <c r="P937" s="57" t="str">
        <f t="shared" si="42"/>
        <v>un fuste</v>
      </c>
      <c r="Q937">
        <f t="shared" si="43"/>
        <v>15</v>
      </c>
      <c r="R937">
        <f t="shared" si="44"/>
        <v>30</v>
      </c>
      <c r="S937">
        <v>3</v>
      </c>
      <c r="T937" t="s">
        <v>278</v>
      </c>
      <c r="U937">
        <v>0.44255704867997447</v>
      </c>
    </row>
    <row r="938" spans="1:21" x14ac:dyDescent="0.25">
      <c r="A938" s="7">
        <v>12</v>
      </c>
      <c r="B938" s="7">
        <v>500</v>
      </c>
      <c r="C938" s="7">
        <v>2</v>
      </c>
      <c r="D938" s="8">
        <v>4</v>
      </c>
      <c r="E938" s="7">
        <v>4</v>
      </c>
      <c r="F938" s="9" t="s">
        <v>17</v>
      </c>
      <c r="G938" s="10" t="s">
        <v>60</v>
      </c>
      <c r="H938" s="11" t="s">
        <v>61</v>
      </c>
      <c r="I938" s="7">
        <v>38</v>
      </c>
      <c r="J938" s="15">
        <v>12.095775674984045</v>
      </c>
      <c r="K938" s="7">
        <v>3</v>
      </c>
      <c r="L938" s="7">
        <v>9</v>
      </c>
      <c r="M938" s="7"/>
      <c r="N938" s="12" t="s">
        <v>29</v>
      </c>
      <c r="O938" s="12" t="s">
        <v>16</v>
      </c>
      <c r="P938" s="57" t="str">
        <f t="shared" si="42"/>
        <v>un fuste</v>
      </c>
      <c r="Q938">
        <f t="shared" si="43"/>
        <v>10</v>
      </c>
      <c r="R938">
        <f t="shared" si="44"/>
        <v>10</v>
      </c>
      <c r="S938">
        <v>3</v>
      </c>
      <c r="T938" t="s">
        <v>278</v>
      </c>
      <c r="U938">
        <v>5.4985477270311188E-2</v>
      </c>
    </row>
    <row r="939" spans="1:21" x14ac:dyDescent="0.25">
      <c r="A939" s="7">
        <v>12</v>
      </c>
      <c r="B939" s="7">
        <v>100</v>
      </c>
      <c r="C939" s="7">
        <v>1</v>
      </c>
      <c r="D939" s="8">
        <v>3</v>
      </c>
      <c r="E939" s="7">
        <v>4</v>
      </c>
      <c r="F939" s="9" t="s">
        <v>17</v>
      </c>
      <c r="G939" s="13" t="s">
        <v>60</v>
      </c>
      <c r="H939" s="11" t="s">
        <v>61</v>
      </c>
      <c r="I939" s="7">
        <v>19</v>
      </c>
      <c r="J939" s="15">
        <v>6.0478878374920226</v>
      </c>
      <c r="K939" s="7">
        <v>7.5</v>
      </c>
      <c r="L939" s="7">
        <v>10</v>
      </c>
      <c r="M939" s="7"/>
      <c r="N939" s="12" t="s">
        <v>20</v>
      </c>
      <c r="O939" s="12" t="s">
        <v>16</v>
      </c>
      <c r="P939" s="57" t="str">
        <f t="shared" si="42"/>
        <v>un fuste</v>
      </c>
      <c r="Q939">
        <f t="shared" si="43"/>
        <v>10</v>
      </c>
      <c r="R939">
        <f t="shared" si="44"/>
        <v>5</v>
      </c>
    </row>
    <row r="940" spans="1:21" x14ac:dyDescent="0.25">
      <c r="A940" s="7">
        <v>8</v>
      </c>
      <c r="B940" s="7">
        <v>500</v>
      </c>
      <c r="C940" s="8">
        <v>1</v>
      </c>
      <c r="D940" s="8" t="s">
        <v>192</v>
      </c>
      <c r="E940" s="8">
        <v>5</v>
      </c>
      <c r="F940" s="17" t="s">
        <v>17</v>
      </c>
      <c r="G940" s="10" t="s">
        <v>60</v>
      </c>
      <c r="H940" s="11" t="s">
        <v>61</v>
      </c>
      <c r="I940" s="7">
        <v>72</v>
      </c>
      <c r="J940" s="15">
        <v>22.918311805232928</v>
      </c>
      <c r="K940" s="7">
        <v>8</v>
      </c>
      <c r="L940" s="8">
        <v>14</v>
      </c>
      <c r="M940" s="7"/>
      <c r="N940" s="12" t="s">
        <v>20</v>
      </c>
      <c r="O940" s="12" t="s">
        <v>16</v>
      </c>
      <c r="P940" s="31" t="e">
        <f t="shared" si="42"/>
        <v>#VALUE!</v>
      </c>
      <c r="Q940">
        <f t="shared" si="43"/>
        <v>15</v>
      </c>
      <c r="R940">
        <f t="shared" si="44"/>
        <v>25</v>
      </c>
      <c r="S940">
        <v>3</v>
      </c>
      <c r="T940" t="s">
        <v>278</v>
      </c>
      <c r="U940">
        <v>0.30377633353897893</v>
      </c>
    </row>
    <row r="941" spans="1:21" x14ac:dyDescent="0.25">
      <c r="A941" s="7">
        <v>12</v>
      </c>
      <c r="B941" s="7">
        <v>500</v>
      </c>
      <c r="C941" s="8">
        <v>2</v>
      </c>
      <c r="D941" s="8" t="s">
        <v>192</v>
      </c>
      <c r="E941" s="8">
        <v>5</v>
      </c>
      <c r="F941" s="17" t="s">
        <v>17</v>
      </c>
      <c r="G941" s="18" t="s">
        <v>60</v>
      </c>
      <c r="H941" s="11" t="s">
        <v>61</v>
      </c>
      <c r="I941" s="7">
        <v>37.5</v>
      </c>
      <c r="J941" s="15">
        <v>11.93662073189215</v>
      </c>
      <c r="K941" s="7">
        <v>1.8</v>
      </c>
      <c r="L941" s="8">
        <v>9</v>
      </c>
      <c r="M941" s="7"/>
      <c r="N941" s="12" t="s">
        <v>20</v>
      </c>
      <c r="O941" s="12" t="s">
        <v>16</v>
      </c>
      <c r="P941" s="31" t="e">
        <f t="shared" si="42"/>
        <v>#VALUE!</v>
      </c>
      <c r="Q941">
        <f t="shared" si="43"/>
        <v>10</v>
      </c>
      <c r="R941">
        <f t="shared" si="44"/>
        <v>10</v>
      </c>
      <c r="S941">
        <v>3</v>
      </c>
      <c r="T941" t="s">
        <v>278</v>
      </c>
      <c r="U941">
        <v>5.3597752830722822E-2</v>
      </c>
    </row>
    <row r="942" spans="1:21" x14ac:dyDescent="0.25">
      <c r="A942" s="7">
        <v>12</v>
      </c>
      <c r="B942" s="7">
        <v>100</v>
      </c>
      <c r="C942" s="8">
        <v>1</v>
      </c>
      <c r="D942" s="8">
        <v>4</v>
      </c>
      <c r="E942" s="8">
        <v>5</v>
      </c>
      <c r="F942" s="9" t="s">
        <v>17</v>
      </c>
      <c r="G942" s="13" t="s">
        <v>60</v>
      </c>
      <c r="H942" s="11" t="s">
        <v>61</v>
      </c>
      <c r="I942" s="8">
        <v>19.5</v>
      </c>
      <c r="J942" s="15">
        <v>6.2070427805839179</v>
      </c>
      <c r="K942" s="8">
        <v>4</v>
      </c>
      <c r="L942" s="8">
        <v>8</v>
      </c>
      <c r="M942" s="7"/>
      <c r="N942" s="12" t="s">
        <v>20</v>
      </c>
      <c r="O942" s="12" t="s">
        <v>16</v>
      </c>
      <c r="P942" s="57" t="str">
        <f t="shared" si="42"/>
        <v>un fuste</v>
      </c>
      <c r="Q942">
        <f t="shared" si="43"/>
        <v>7.5</v>
      </c>
      <c r="R942">
        <f t="shared" si="44"/>
        <v>5</v>
      </c>
    </row>
    <row r="943" spans="1:21" x14ac:dyDescent="0.25">
      <c r="A943" s="7">
        <v>5</v>
      </c>
      <c r="B943" s="7">
        <v>500</v>
      </c>
      <c r="C943" s="8">
        <v>1</v>
      </c>
      <c r="D943" s="8">
        <v>6</v>
      </c>
      <c r="E943" s="8">
        <v>6</v>
      </c>
      <c r="F943" s="9" t="s">
        <v>17</v>
      </c>
      <c r="G943" s="10" t="s">
        <v>60</v>
      </c>
      <c r="H943" s="11" t="s">
        <v>61</v>
      </c>
      <c r="I943" s="7">
        <v>57.5</v>
      </c>
      <c r="J943" s="15">
        <v>18.302818455567966</v>
      </c>
      <c r="K943" s="7">
        <v>6</v>
      </c>
      <c r="L943" s="7">
        <v>12</v>
      </c>
      <c r="M943" s="7"/>
      <c r="N943" s="12" t="s">
        <v>20</v>
      </c>
      <c r="O943" s="12" t="s">
        <v>16</v>
      </c>
      <c r="P943" s="57" t="str">
        <f t="shared" si="42"/>
        <v>un fuste</v>
      </c>
      <c r="Q943">
        <f t="shared" si="43"/>
        <v>12.5</v>
      </c>
      <c r="R943">
        <f t="shared" si="44"/>
        <v>20</v>
      </c>
      <c r="S943">
        <v>3</v>
      </c>
      <c r="T943" t="s">
        <v>278</v>
      </c>
      <c r="U943">
        <v>0.16671242749319176</v>
      </c>
    </row>
    <row r="944" spans="1:21" x14ac:dyDescent="0.25">
      <c r="A944" s="7">
        <v>11</v>
      </c>
      <c r="B944" s="7">
        <v>500</v>
      </c>
      <c r="C944" s="8">
        <v>1</v>
      </c>
      <c r="D944" s="7">
        <v>5</v>
      </c>
      <c r="E944" s="7">
        <v>6</v>
      </c>
      <c r="F944" s="9" t="s">
        <v>17</v>
      </c>
      <c r="G944" s="10" t="s">
        <v>60</v>
      </c>
      <c r="H944" s="11" t="s">
        <v>61</v>
      </c>
      <c r="I944" s="7">
        <v>56.5</v>
      </c>
      <c r="J944" s="15">
        <v>17.984508569384175</v>
      </c>
      <c r="K944" s="7">
        <v>2</v>
      </c>
      <c r="L944" s="7">
        <v>11</v>
      </c>
      <c r="M944" s="7"/>
      <c r="N944" s="12" t="s">
        <v>20</v>
      </c>
      <c r="O944" s="12" t="s">
        <v>16</v>
      </c>
      <c r="P944" s="57" t="str">
        <f t="shared" si="42"/>
        <v>un fuste</v>
      </c>
      <c r="Q944">
        <f t="shared" si="43"/>
        <v>10</v>
      </c>
      <c r="R944">
        <f t="shared" si="44"/>
        <v>20</v>
      </c>
      <c r="S944">
        <v>3</v>
      </c>
      <c r="T944" t="s">
        <v>278</v>
      </c>
      <c r="U944">
        <v>0.1467453318250006</v>
      </c>
    </row>
    <row r="945" spans="1:21" x14ac:dyDescent="0.25">
      <c r="A945" s="7">
        <v>12</v>
      </c>
      <c r="B945" s="7">
        <v>500</v>
      </c>
      <c r="C945" s="8">
        <v>2</v>
      </c>
      <c r="D945" s="8">
        <v>5</v>
      </c>
      <c r="E945" s="8">
        <v>6</v>
      </c>
      <c r="F945" s="9" t="s">
        <v>17</v>
      </c>
      <c r="G945" s="13" t="s">
        <v>60</v>
      </c>
      <c r="H945" s="14" t="s">
        <v>61</v>
      </c>
      <c r="I945" s="8">
        <v>34</v>
      </c>
      <c r="J945" s="15">
        <v>10.822536130248883</v>
      </c>
      <c r="K945" s="8">
        <v>5</v>
      </c>
      <c r="L945" s="8">
        <v>10</v>
      </c>
      <c r="M945" s="7"/>
      <c r="N945" s="12" t="s">
        <v>20</v>
      </c>
      <c r="O945" s="12" t="s">
        <v>16</v>
      </c>
      <c r="P945" s="57" t="str">
        <f t="shared" si="42"/>
        <v>un fuste</v>
      </c>
      <c r="Q945">
        <f t="shared" si="43"/>
        <v>10</v>
      </c>
      <c r="R945">
        <f t="shared" si="44"/>
        <v>10</v>
      </c>
      <c r="S945">
        <v>3</v>
      </c>
      <c r="T945" t="s">
        <v>278</v>
      </c>
      <c r="U945">
        <v>4.9694292943476354E-2</v>
      </c>
    </row>
    <row r="946" spans="1:21" x14ac:dyDescent="0.25">
      <c r="A946" s="7">
        <v>9</v>
      </c>
      <c r="B946" s="7">
        <v>500</v>
      </c>
      <c r="C946" s="8">
        <v>2</v>
      </c>
      <c r="D946" s="8">
        <v>7</v>
      </c>
      <c r="E946" s="8">
        <v>7</v>
      </c>
      <c r="F946" s="9" t="s">
        <v>17</v>
      </c>
      <c r="G946" s="10" t="s">
        <v>60</v>
      </c>
      <c r="H946" s="11" t="s">
        <v>61</v>
      </c>
      <c r="I946" s="7">
        <v>55</v>
      </c>
      <c r="J946" s="15">
        <v>17.507043740108486</v>
      </c>
      <c r="K946" s="7">
        <v>2.2999999999999998</v>
      </c>
      <c r="L946" s="8">
        <v>11</v>
      </c>
      <c r="M946" s="7"/>
      <c r="N946" s="12" t="s">
        <v>20</v>
      </c>
      <c r="O946" s="12" t="s">
        <v>16</v>
      </c>
      <c r="P946" s="57" t="str">
        <f t="shared" si="42"/>
        <v>un fuste</v>
      </c>
      <c r="Q946">
        <f t="shared" si="43"/>
        <v>10</v>
      </c>
      <c r="R946">
        <f t="shared" si="44"/>
        <v>20</v>
      </c>
      <c r="S946">
        <v>3</v>
      </c>
      <c r="T946" t="s">
        <v>278</v>
      </c>
      <c r="U946">
        <v>0.13931951497347062</v>
      </c>
    </row>
    <row r="947" spans="1:21" x14ac:dyDescent="0.25">
      <c r="A947" s="7">
        <v>10</v>
      </c>
      <c r="B947" s="7">
        <v>500</v>
      </c>
      <c r="C947" s="7">
        <v>2</v>
      </c>
      <c r="D947" s="8">
        <v>7</v>
      </c>
      <c r="E947" s="7">
        <v>7</v>
      </c>
      <c r="F947" s="9" t="s">
        <v>17</v>
      </c>
      <c r="G947" s="10" t="s">
        <v>60</v>
      </c>
      <c r="H947" s="11" t="s">
        <v>61</v>
      </c>
      <c r="I947" s="7">
        <v>48.5</v>
      </c>
      <c r="J947" s="15">
        <v>15.438029479913848</v>
      </c>
      <c r="K947" s="7">
        <v>4</v>
      </c>
      <c r="L947" s="7">
        <v>11</v>
      </c>
      <c r="M947" s="7"/>
      <c r="N947" s="12" t="s">
        <v>20</v>
      </c>
      <c r="O947" s="12" t="s">
        <v>16</v>
      </c>
      <c r="P947" s="57" t="str">
        <f t="shared" si="42"/>
        <v>un fuste</v>
      </c>
      <c r="Q947">
        <f t="shared" si="43"/>
        <v>10</v>
      </c>
      <c r="R947">
        <f t="shared" si="44"/>
        <v>15</v>
      </c>
      <c r="S947">
        <v>3</v>
      </c>
      <c r="T947" t="s">
        <v>278</v>
      </c>
      <c r="U947">
        <v>0.10929467434213644</v>
      </c>
    </row>
    <row r="948" spans="1:21" x14ac:dyDescent="0.25">
      <c r="A948" s="7">
        <v>12</v>
      </c>
      <c r="B948" s="7">
        <v>500</v>
      </c>
      <c r="C948" s="7">
        <v>3</v>
      </c>
      <c r="D948" s="8">
        <v>6</v>
      </c>
      <c r="E948" s="8">
        <v>7</v>
      </c>
      <c r="F948" s="9" t="s">
        <v>17</v>
      </c>
      <c r="G948" s="13" t="s">
        <v>60</v>
      </c>
      <c r="H948" s="11" t="s">
        <v>61</v>
      </c>
      <c r="I948" s="7">
        <v>36</v>
      </c>
      <c r="J948" s="15">
        <v>11.459155902616464</v>
      </c>
      <c r="K948" s="7">
        <v>2.2000000000000002</v>
      </c>
      <c r="L948" s="7">
        <v>10</v>
      </c>
      <c r="M948" s="7"/>
      <c r="N948" s="12" t="s">
        <v>20</v>
      </c>
      <c r="O948" s="12" t="s">
        <v>16</v>
      </c>
      <c r="P948" s="57" t="str">
        <f t="shared" si="42"/>
        <v>un fuste</v>
      </c>
      <c r="Q948">
        <f t="shared" si="43"/>
        <v>10</v>
      </c>
      <c r="R948">
        <f t="shared" si="44"/>
        <v>10</v>
      </c>
      <c r="S948">
        <v>3</v>
      </c>
      <c r="T948" t="s">
        <v>278</v>
      </c>
      <c r="U948">
        <v>5.5489848754045175E-2</v>
      </c>
    </row>
    <row r="949" spans="1:21" x14ac:dyDescent="0.25">
      <c r="A949" s="7">
        <v>12</v>
      </c>
      <c r="B949" s="7">
        <v>100</v>
      </c>
      <c r="C949" s="8">
        <v>1</v>
      </c>
      <c r="D949" s="8">
        <v>6</v>
      </c>
      <c r="E949" s="8">
        <v>7</v>
      </c>
      <c r="F949" s="9" t="s">
        <v>17</v>
      </c>
      <c r="G949" s="13" t="s">
        <v>60</v>
      </c>
      <c r="H949" s="11" t="s">
        <v>61</v>
      </c>
      <c r="I949" s="7">
        <v>19</v>
      </c>
      <c r="J949" s="15">
        <v>6.0478878374920226</v>
      </c>
      <c r="K949" s="7">
        <v>7</v>
      </c>
      <c r="L949" s="7">
        <v>9</v>
      </c>
      <c r="M949" s="7"/>
      <c r="N949" s="12" t="s">
        <v>20</v>
      </c>
      <c r="O949" s="12" t="s">
        <v>16</v>
      </c>
      <c r="P949" s="57" t="str">
        <f t="shared" si="42"/>
        <v>un fuste</v>
      </c>
      <c r="Q949">
        <f t="shared" si="43"/>
        <v>10</v>
      </c>
      <c r="R949">
        <f t="shared" si="44"/>
        <v>5</v>
      </c>
    </row>
    <row r="950" spans="1:21" x14ac:dyDescent="0.25">
      <c r="A950" s="7">
        <v>9</v>
      </c>
      <c r="B950" s="7">
        <v>500</v>
      </c>
      <c r="C950" s="7">
        <v>2</v>
      </c>
      <c r="D950" s="8">
        <v>8</v>
      </c>
      <c r="E950" s="7">
        <v>8</v>
      </c>
      <c r="F950" s="9" t="s">
        <v>17</v>
      </c>
      <c r="G950" s="13" t="s">
        <v>60</v>
      </c>
      <c r="H950" s="14" t="s">
        <v>61</v>
      </c>
      <c r="I950" s="7">
        <v>56.5</v>
      </c>
      <c r="J950" s="15">
        <v>17.984508569384175</v>
      </c>
      <c r="K950" s="7">
        <v>3.5</v>
      </c>
      <c r="L950" s="7">
        <v>12</v>
      </c>
      <c r="M950" s="7"/>
      <c r="N950" s="12" t="s">
        <v>20</v>
      </c>
      <c r="O950" s="12" t="s">
        <v>16</v>
      </c>
      <c r="P950" s="57" t="str">
        <f t="shared" si="42"/>
        <v>un fuste</v>
      </c>
      <c r="Q950">
        <f t="shared" si="43"/>
        <v>12.5</v>
      </c>
      <c r="R950">
        <f t="shared" si="44"/>
        <v>20</v>
      </c>
      <c r="S950">
        <v>3</v>
      </c>
      <c r="T950" t="s">
        <v>278</v>
      </c>
      <c r="U950">
        <v>0.16116224333455983</v>
      </c>
    </row>
    <row r="951" spans="1:21" x14ac:dyDescent="0.25">
      <c r="A951" s="7">
        <v>12</v>
      </c>
      <c r="B951" s="7">
        <v>100</v>
      </c>
      <c r="C951" s="7">
        <v>1</v>
      </c>
      <c r="D951" s="8">
        <v>7</v>
      </c>
      <c r="E951" s="7">
        <v>8</v>
      </c>
      <c r="F951" s="9" t="s">
        <v>17</v>
      </c>
      <c r="G951" s="10" t="s">
        <v>60</v>
      </c>
      <c r="H951" s="11" t="s">
        <v>61</v>
      </c>
      <c r="I951" s="7">
        <v>23.5</v>
      </c>
      <c r="J951" s="15">
        <v>7.4802823253190809</v>
      </c>
      <c r="K951" s="7">
        <v>8</v>
      </c>
      <c r="L951" s="7">
        <v>10</v>
      </c>
      <c r="M951" s="7"/>
      <c r="N951" s="12" t="s">
        <v>20</v>
      </c>
      <c r="O951" s="12" t="s">
        <v>16</v>
      </c>
      <c r="P951" s="57" t="str">
        <f t="shared" si="42"/>
        <v>un fuste</v>
      </c>
      <c r="Q951">
        <f t="shared" si="43"/>
        <v>10</v>
      </c>
      <c r="R951">
        <f t="shared" si="44"/>
        <v>5</v>
      </c>
    </row>
    <row r="952" spans="1:21" x14ac:dyDescent="0.25">
      <c r="A952" s="7">
        <v>6</v>
      </c>
      <c r="B952" s="7">
        <v>500</v>
      </c>
      <c r="C952" s="8">
        <v>3</v>
      </c>
      <c r="D952" s="8">
        <v>8</v>
      </c>
      <c r="E952" s="8">
        <v>9</v>
      </c>
      <c r="F952" s="17" t="s">
        <v>17</v>
      </c>
      <c r="G952" s="10" t="s">
        <v>60</v>
      </c>
      <c r="H952" s="11" t="s">
        <v>61</v>
      </c>
      <c r="I952" s="7">
        <v>38</v>
      </c>
      <c r="J952" s="15">
        <v>12.095775674984045</v>
      </c>
      <c r="K952" s="7">
        <v>3</v>
      </c>
      <c r="L952" s="8">
        <v>10</v>
      </c>
      <c r="M952" s="7"/>
      <c r="N952" s="12" t="s">
        <v>20</v>
      </c>
      <c r="O952" s="12" t="s">
        <v>16</v>
      </c>
      <c r="P952" s="57" t="str">
        <f t="shared" si="42"/>
        <v>un fuste</v>
      </c>
      <c r="Q952">
        <f t="shared" si="43"/>
        <v>10</v>
      </c>
      <c r="R952">
        <f t="shared" si="44"/>
        <v>10</v>
      </c>
      <c r="S952">
        <v>3</v>
      </c>
      <c r="T952" t="s">
        <v>278</v>
      </c>
      <c r="U952">
        <v>6.1592764828348724E-2</v>
      </c>
    </row>
    <row r="953" spans="1:21" x14ac:dyDescent="0.25">
      <c r="A953" s="7">
        <v>10</v>
      </c>
      <c r="B953" s="7">
        <v>500</v>
      </c>
      <c r="C953" s="8">
        <v>3</v>
      </c>
      <c r="D953" s="8">
        <v>9</v>
      </c>
      <c r="E953" s="8">
        <v>9</v>
      </c>
      <c r="F953" s="9" t="s">
        <v>17</v>
      </c>
      <c r="G953" s="13" t="s">
        <v>60</v>
      </c>
      <c r="H953" s="11" t="s">
        <v>61</v>
      </c>
      <c r="I953" s="8">
        <v>46.5</v>
      </c>
      <c r="J953" s="15">
        <v>14.801409707546267</v>
      </c>
      <c r="K953" s="8">
        <v>5</v>
      </c>
      <c r="L953" s="8">
        <v>13</v>
      </c>
      <c r="M953" s="7"/>
      <c r="N953" s="12" t="s">
        <v>20</v>
      </c>
      <c r="O953" s="12" t="s">
        <v>16</v>
      </c>
      <c r="P953" s="57" t="str">
        <f t="shared" si="42"/>
        <v>un fuste</v>
      </c>
      <c r="Q953">
        <f t="shared" si="43"/>
        <v>12.5</v>
      </c>
      <c r="R953">
        <f t="shared" si="44"/>
        <v>15</v>
      </c>
      <c r="S953">
        <v>3</v>
      </c>
      <c r="T953" t="s">
        <v>278</v>
      </c>
      <c r="U953">
        <v>0.12062628371070527</v>
      </c>
    </row>
    <row r="954" spans="1:21" x14ac:dyDescent="0.25">
      <c r="A954" s="7">
        <v>12</v>
      </c>
      <c r="B954" s="7">
        <v>500</v>
      </c>
      <c r="C954" s="8">
        <v>3</v>
      </c>
      <c r="D954" s="8">
        <v>8</v>
      </c>
      <c r="E954" s="8">
        <v>9</v>
      </c>
      <c r="F954" s="9" t="s">
        <v>17</v>
      </c>
      <c r="G954" s="13" t="s">
        <v>60</v>
      </c>
      <c r="H954" s="14" t="s">
        <v>61</v>
      </c>
      <c r="I954" s="8">
        <v>31.5</v>
      </c>
      <c r="J954" s="15">
        <v>10.026761414789407</v>
      </c>
      <c r="K954" s="8">
        <v>3.5</v>
      </c>
      <c r="L954" s="8">
        <v>9</v>
      </c>
      <c r="M954" s="7"/>
      <c r="N954" s="12" t="s">
        <v>20</v>
      </c>
      <c r="O954" s="12" t="s">
        <v>16</v>
      </c>
      <c r="P954" s="57" t="str">
        <f t="shared" si="42"/>
        <v>un fuste</v>
      </c>
      <c r="Q954">
        <f t="shared" si="43"/>
        <v>10</v>
      </c>
      <c r="R954">
        <f t="shared" si="44"/>
        <v>10</v>
      </c>
      <c r="S954">
        <v>3</v>
      </c>
      <c r="T954" t="s">
        <v>278</v>
      </c>
      <c r="U954">
        <v>3.8283638178890481E-2</v>
      </c>
    </row>
    <row r="955" spans="1:21" x14ac:dyDescent="0.25">
      <c r="A955" s="7">
        <v>12</v>
      </c>
      <c r="B955" s="7">
        <v>100</v>
      </c>
      <c r="C955" s="8">
        <v>2</v>
      </c>
      <c r="D955" s="8">
        <v>8</v>
      </c>
      <c r="E955" s="8">
        <v>9</v>
      </c>
      <c r="F955" s="17" t="s">
        <v>17</v>
      </c>
      <c r="G955" s="10" t="s">
        <v>60</v>
      </c>
      <c r="H955" s="11" t="s">
        <v>61</v>
      </c>
      <c r="I955" s="7">
        <v>24</v>
      </c>
      <c r="J955" s="15">
        <v>7.6394372684109761</v>
      </c>
      <c r="K955" s="7">
        <v>3.5</v>
      </c>
      <c r="L955" s="7">
        <v>9</v>
      </c>
      <c r="M955" s="7"/>
      <c r="N955" s="12" t="s">
        <v>20</v>
      </c>
      <c r="O955" s="12" t="s">
        <v>16</v>
      </c>
      <c r="P955" s="57" t="str">
        <f t="shared" si="42"/>
        <v>un fuste</v>
      </c>
      <c r="Q955">
        <f t="shared" si="43"/>
        <v>10</v>
      </c>
      <c r="R955">
        <f t="shared" si="44"/>
        <v>10</v>
      </c>
    </row>
    <row r="956" spans="1:21" x14ac:dyDescent="0.25">
      <c r="A956" s="7">
        <v>8</v>
      </c>
      <c r="B956" s="7">
        <v>500</v>
      </c>
      <c r="C956" s="8">
        <v>1</v>
      </c>
      <c r="D956" s="7">
        <v>9</v>
      </c>
      <c r="E956" s="7">
        <v>10</v>
      </c>
      <c r="F956" s="9" t="s">
        <v>17</v>
      </c>
      <c r="G956" s="13" t="s">
        <v>60</v>
      </c>
      <c r="H956" s="11" t="s">
        <v>61</v>
      </c>
      <c r="I956" s="7">
        <v>48</v>
      </c>
      <c r="J956" s="15">
        <v>15.278874536821952</v>
      </c>
      <c r="K956" s="7">
        <v>5.5</v>
      </c>
      <c r="L956" s="7">
        <v>12</v>
      </c>
      <c r="M956" s="7"/>
      <c r="N956" s="12" t="s">
        <v>20</v>
      </c>
      <c r="O956" s="12" t="s">
        <v>16</v>
      </c>
      <c r="P956" s="57" t="str">
        <f t="shared" si="42"/>
        <v>un fuste</v>
      </c>
      <c r="Q956">
        <f t="shared" si="43"/>
        <v>12.5</v>
      </c>
      <c r="R956">
        <f t="shared" si="44"/>
        <v>15</v>
      </c>
      <c r="S956">
        <v>3</v>
      </c>
      <c r="T956" t="s">
        <v>278</v>
      </c>
      <c r="U956">
        <v>0.11765557051225319</v>
      </c>
    </row>
    <row r="957" spans="1:21" x14ac:dyDescent="0.25">
      <c r="A957" s="7">
        <v>9</v>
      </c>
      <c r="B957" s="7">
        <v>500</v>
      </c>
      <c r="C957" s="8">
        <v>2</v>
      </c>
      <c r="D957" s="8">
        <v>10</v>
      </c>
      <c r="E957" s="8">
        <v>10</v>
      </c>
      <c r="F957" s="9" t="s">
        <v>17</v>
      </c>
      <c r="G957" s="10" t="s">
        <v>60</v>
      </c>
      <c r="H957" s="11" t="s">
        <v>61</v>
      </c>
      <c r="I957" s="7">
        <v>41</v>
      </c>
      <c r="J957" s="15">
        <v>13.050705333535419</v>
      </c>
      <c r="K957" s="7">
        <v>7.5</v>
      </c>
      <c r="L957" s="8">
        <v>11</v>
      </c>
      <c r="M957" s="7"/>
      <c r="N957" s="12" t="s">
        <v>20</v>
      </c>
      <c r="O957" s="12" t="s">
        <v>16</v>
      </c>
      <c r="P957" s="57" t="str">
        <f t="shared" si="42"/>
        <v>un fuste</v>
      </c>
      <c r="Q957">
        <f t="shared" si="43"/>
        <v>10</v>
      </c>
      <c r="R957">
        <f t="shared" si="44"/>
        <v>15</v>
      </c>
      <c r="S957">
        <v>3</v>
      </c>
      <c r="T957" t="s">
        <v>278</v>
      </c>
      <c r="U957">
        <v>7.9031024235165448E-2</v>
      </c>
    </row>
    <row r="958" spans="1:21" x14ac:dyDescent="0.25">
      <c r="A958" s="7">
        <v>11</v>
      </c>
      <c r="B958" s="7">
        <v>500</v>
      </c>
      <c r="C958" s="7">
        <v>2</v>
      </c>
      <c r="D958" s="8">
        <v>9</v>
      </c>
      <c r="E958" s="7">
        <v>10</v>
      </c>
      <c r="F958" s="9" t="s">
        <v>17</v>
      </c>
      <c r="G958" s="10" t="s">
        <v>60</v>
      </c>
      <c r="H958" s="11" t="s">
        <v>61</v>
      </c>
      <c r="I958" s="7">
        <v>42.5</v>
      </c>
      <c r="J958" s="15">
        <v>13.528170162811104</v>
      </c>
      <c r="K958" s="7">
        <v>3.5</v>
      </c>
      <c r="L958" s="7">
        <v>9</v>
      </c>
      <c r="M958" s="7"/>
      <c r="N958" s="12" t="s">
        <v>20</v>
      </c>
      <c r="O958" s="12" t="s">
        <v>16</v>
      </c>
      <c r="P958" s="57" t="str">
        <f t="shared" si="42"/>
        <v>un fuste</v>
      </c>
      <c r="Q958">
        <f t="shared" si="43"/>
        <v>10</v>
      </c>
      <c r="R958">
        <f t="shared" si="44"/>
        <v>15</v>
      </c>
      <c r="S958">
        <v>3</v>
      </c>
      <c r="T958" t="s">
        <v>278</v>
      </c>
      <c r="U958">
        <v>6.8241947852802673E-2</v>
      </c>
    </row>
    <row r="959" spans="1:21" x14ac:dyDescent="0.25">
      <c r="A959" s="7">
        <v>12</v>
      </c>
      <c r="B959" s="7">
        <v>100</v>
      </c>
      <c r="C959" s="8">
        <v>2</v>
      </c>
      <c r="D959" s="8">
        <v>9</v>
      </c>
      <c r="E959" s="8">
        <v>10</v>
      </c>
      <c r="F959" s="9" t="s">
        <v>17</v>
      </c>
      <c r="G959" s="10" t="s">
        <v>60</v>
      </c>
      <c r="H959" s="11" t="s">
        <v>61</v>
      </c>
      <c r="I959" s="7">
        <v>22.5</v>
      </c>
      <c r="J959" s="15">
        <v>7.1619724391352904</v>
      </c>
      <c r="K959" s="7">
        <v>2</v>
      </c>
      <c r="L959" s="7">
        <v>10</v>
      </c>
      <c r="M959" s="7"/>
      <c r="N959" s="12" t="s">
        <v>20</v>
      </c>
      <c r="O959" s="12" t="s">
        <v>16</v>
      </c>
      <c r="P959" s="57" t="str">
        <f t="shared" si="42"/>
        <v>un fuste</v>
      </c>
      <c r="Q959">
        <f t="shared" si="43"/>
        <v>10</v>
      </c>
      <c r="R959">
        <f t="shared" si="44"/>
        <v>5</v>
      </c>
    </row>
    <row r="960" spans="1:21" x14ac:dyDescent="0.25">
      <c r="A960" s="7">
        <v>7</v>
      </c>
      <c r="B960" s="7">
        <v>500</v>
      </c>
      <c r="C960" s="7">
        <v>2</v>
      </c>
      <c r="D960" s="8">
        <v>8</v>
      </c>
      <c r="E960" s="7">
        <v>11</v>
      </c>
      <c r="F960" s="9" t="s">
        <v>17</v>
      </c>
      <c r="G960" s="10" t="s">
        <v>60</v>
      </c>
      <c r="H960" s="11" t="s">
        <v>61</v>
      </c>
      <c r="I960" s="7">
        <v>95</v>
      </c>
      <c r="J960" s="15">
        <v>30.239439187460114</v>
      </c>
      <c r="K960" s="7">
        <v>7</v>
      </c>
      <c r="L960" s="7">
        <v>14</v>
      </c>
      <c r="M960" s="7"/>
      <c r="N960" s="12" t="s">
        <v>20</v>
      </c>
      <c r="O960" s="12" t="s">
        <v>16</v>
      </c>
      <c r="P960" s="57" t="str">
        <f t="shared" si="42"/>
        <v>un fuste</v>
      </c>
      <c r="Q960">
        <f t="shared" si="43"/>
        <v>15</v>
      </c>
      <c r="R960">
        <f t="shared" si="44"/>
        <v>30</v>
      </c>
      <c r="S960">
        <v>3</v>
      </c>
      <c r="T960" t="s">
        <v>278</v>
      </c>
      <c r="U960">
        <v>0.51867664581607975</v>
      </c>
    </row>
    <row r="961" spans="1:21" x14ac:dyDescent="0.25">
      <c r="A961" s="7">
        <v>12</v>
      </c>
      <c r="B961" s="7">
        <v>100</v>
      </c>
      <c r="C961" s="7">
        <v>2</v>
      </c>
      <c r="D961" s="8">
        <v>10</v>
      </c>
      <c r="E961" s="8">
        <v>11</v>
      </c>
      <c r="F961" s="9" t="s">
        <v>17</v>
      </c>
      <c r="G961" s="13" t="s">
        <v>60</v>
      </c>
      <c r="H961" s="11" t="s">
        <v>61</v>
      </c>
      <c r="I961" s="7">
        <v>21.5</v>
      </c>
      <c r="J961" s="15">
        <v>6.8436625529514998</v>
      </c>
      <c r="K961" s="7">
        <v>2.2000000000000002</v>
      </c>
      <c r="L961" s="7">
        <v>8</v>
      </c>
      <c r="M961" s="7"/>
      <c r="N961" s="12" t="s">
        <v>29</v>
      </c>
      <c r="O961" s="12" t="s">
        <v>16</v>
      </c>
      <c r="P961" s="57" t="str">
        <f t="shared" si="42"/>
        <v>un fuste</v>
      </c>
      <c r="Q961">
        <f t="shared" si="43"/>
        <v>7.5</v>
      </c>
      <c r="R961">
        <f t="shared" si="44"/>
        <v>5</v>
      </c>
    </row>
    <row r="962" spans="1:21" x14ac:dyDescent="0.25">
      <c r="A962" s="7">
        <v>1</v>
      </c>
      <c r="B962" s="7">
        <v>500</v>
      </c>
      <c r="C962" s="7">
        <v>2</v>
      </c>
      <c r="D962" s="8">
        <v>11</v>
      </c>
      <c r="E962" s="7">
        <v>12</v>
      </c>
      <c r="F962" s="9" t="s">
        <v>17</v>
      </c>
      <c r="G962" s="13" t="s">
        <v>60</v>
      </c>
      <c r="H962" s="11" t="s">
        <v>61</v>
      </c>
      <c r="I962" s="7">
        <v>73</v>
      </c>
      <c r="J962" s="15">
        <v>23.236621691416719</v>
      </c>
      <c r="K962" s="7">
        <v>6</v>
      </c>
      <c r="L962" s="7">
        <v>13</v>
      </c>
      <c r="M962" s="7"/>
      <c r="N962" s="12" t="s">
        <v>29</v>
      </c>
      <c r="O962" s="12" t="s">
        <v>16</v>
      </c>
      <c r="P962" s="57" t="str">
        <f t="shared" si="42"/>
        <v>un fuste</v>
      </c>
      <c r="Q962">
        <f t="shared" si="43"/>
        <v>12.5</v>
      </c>
      <c r="R962">
        <f t="shared" si="44"/>
        <v>25</v>
      </c>
      <c r="S962">
        <v>3</v>
      </c>
      <c r="T962" t="s">
        <v>278</v>
      </c>
      <c r="U962">
        <v>0.28803894503210853</v>
      </c>
    </row>
    <row r="963" spans="1:21" x14ac:dyDescent="0.25">
      <c r="A963" s="7">
        <v>12</v>
      </c>
      <c r="B963" s="7">
        <v>100</v>
      </c>
      <c r="C963" s="8">
        <v>2</v>
      </c>
      <c r="D963" s="8" t="s">
        <v>234</v>
      </c>
      <c r="E963" s="8">
        <v>12</v>
      </c>
      <c r="F963" s="17" t="s">
        <v>17</v>
      </c>
      <c r="G963" s="10" t="s">
        <v>60</v>
      </c>
      <c r="H963" s="11" t="s">
        <v>61</v>
      </c>
      <c r="I963" s="7">
        <v>19</v>
      </c>
      <c r="J963" s="15">
        <v>6.0478878374920226</v>
      </c>
      <c r="K963" s="7">
        <v>6</v>
      </c>
      <c r="L963" s="8">
        <v>8</v>
      </c>
      <c r="M963" s="7"/>
      <c r="N963" s="12" t="s">
        <v>20</v>
      </c>
      <c r="O963" s="12" t="s">
        <v>16</v>
      </c>
      <c r="P963" s="31" t="e">
        <f t="shared" ref="P963:P1026" si="45">IF((D963/D963)=1,"un fuste","bifurcado")</f>
        <v>#VALUE!</v>
      </c>
      <c r="Q963">
        <f t="shared" ref="Q963:Q1026" si="46">IF(L963&lt;3.75,2.5,IF(L963&lt;6.25,5,IF(L963&lt;8.74,7.5,IF(L963&lt;11.24,10,IF(L963&lt;13.75,12.5,IF(L963&lt;16.25,15,IF(L963&lt;18.75,17.5,IF(L963&lt;21.25,20,IF(L963&lt;23.75,22.5,IF(L963&lt;26.25,25,IF(L963&lt;28.75,27.5,IF(L963&lt;31.25,30,IF(L963&lt;33.75,32.5,IF(L963&lt;36.25,35,IF(L963&lt;38.75,37.5,IF(L963&lt;41.24,40,IF(L963&lt;43.75,42.5,IF(L963&lt;46.25,45," "))))))))))))))))))</f>
        <v>7.5</v>
      </c>
      <c r="R963">
        <f t="shared" ref="R963:R1026" si="47">IF(J963&lt;7.5,5,IF(J963&lt;12.5,10,IF(J963&lt;17.5,15,IF(J963&lt;22.5,20,IF(J963&lt;27.5,25,IF(J963&lt;32.5,30,IF(J963&lt;37.5,35,IF(J963&lt;42.5,40,IF(J963&lt;47.5,45,IF(J963&lt;52.5,50,IF(J963&lt;57.5,55,0)))))))))))</f>
        <v>5</v>
      </c>
    </row>
    <row r="964" spans="1:21" x14ac:dyDescent="0.25">
      <c r="A964" s="7">
        <v>1</v>
      </c>
      <c r="B964" s="7">
        <v>500</v>
      </c>
      <c r="C964" s="8">
        <v>2</v>
      </c>
      <c r="D964" s="8" t="s">
        <v>84</v>
      </c>
      <c r="E964" s="8">
        <v>13</v>
      </c>
      <c r="F964" s="9" t="s">
        <v>17</v>
      </c>
      <c r="G964" s="13" t="s">
        <v>60</v>
      </c>
      <c r="H964" s="11" t="s">
        <v>61</v>
      </c>
      <c r="I964" s="8">
        <v>64</v>
      </c>
      <c r="J964" s="15">
        <v>20.371832715762604</v>
      </c>
      <c r="K964" s="8">
        <v>6</v>
      </c>
      <c r="L964" s="8">
        <v>13</v>
      </c>
      <c r="M964" s="7"/>
      <c r="N964" s="12" t="s">
        <v>20</v>
      </c>
      <c r="O964" s="12" t="s">
        <v>16</v>
      </c>
      <c r="P964" s="31" t="e">
        <f t="shared" si="45"/>
        <v>#VALUE!</v>
      </c>
      <c r="Q964">
        <f t="shared" si="46"/>
        <v>12.5</v>
      </c>
      <c r="R964">
        <f t="shared" si="47"/>
        <v>20</v>
      </c>
      <c r="S964">
        <v>3</v>
      </c>
      <c r="T964" t="s">
        <v>278</v>
      </c>
      <c r="U964">
        <v>0.22344527539885364</v>
      </c>
    </row>
    <row r="965" spans="1:21" x14ac:dyDescent="0.25">
      <c r="A965" s="7">
        <v>12</v>
      </c>
      <c r="B965" s="7">
        <v>100</v>
      </c>
      <c r="C965" s="8">
        <v>2</v>
      </c>
      <c r="D965" s="8">
        <v>11</v>
      </c>
      <c r="E965" s="8">
        <v>13</v>
      </c>
      <c r="F965" s="9" t="s">
        <v>17</v>
      </c>
      <c r="G965" s="10" t="s">
        <v>60</v>
      </c>
      <c r="H965" s="11" t="s">
        <v>61</v>
      </c>
      <c r="I965" s="7">
        <v>29.5</v>
      </c>
      <c r="J965" s="15">
        <v>9.3901416424218258</v>
      </c>
      <c r="K965" s="7">
        <v>7</v>
      </c>
      <c r="L965" s="7">
        <v>11</v>
      </c>
      <c r="M965" s="7"/>
      <c r="N965" s="12" t="s">
        <v>29</v>
      </c>
      <c r="O965" s="12" t="s">
        <v>16</v>
      </c>
      <c r="P965" s="57" t="str">
        <f t="shared" si="45"/>
        <v>un fuste</v>
      </c>
      <c r="Q965">
        <f t="shared" si="46"/>
        <v>10</v>
      </c>
      <c r="R965">
        <f t="shared" si="47"/>
        <v>10</v>
      </c>
    </row>
    <row r="966" spans="1:21" x14ac:dyDescent="0.25">
      <c r="A966" s="7">
        <v>1</v>
      </c>
      <c r="B966" s="7">
        <v>500</v>
      </c>
      <c r="C966" s="8">
        <v>2</v>
      </c>
      <c r="D966" s="7" t="s">
        <v>85</v>
      </c>
      <c r="E966" s="7">
        <v>14</v>
      </c>
      <c r="F966" s="9" t="s">
        <v>17</v>
      </c>
      <c r="G966" s="13" t="s">
        <v>60</v>
      </c>
      <c r="H966" s="11" t="s">
        <v>61</v>
      </c>
      <c r="I966" s="7">
        <v>50</v>
      </c>
      <c r="J966" s="15">
        <v>15.915494309189533</v>
      </c>
      <c r="K966" s="7">
        <v>4</v>
      </c>
      <c r="L966" s="7">
        <v>11</v>
      </c>
      <c r="M966" s="7"/>
      <c r="N966" s="12" t="s">
        <v>20</v>
      </c>
      <c r="O966" s="12" t="s">
        <v>16</v>
      </c>
      <c r="P966" s="31" t="e">
        <f t="shared" si="45"/>
        <v>#VALUE!</v>
      </c>
      <c r="Q966">
        <f t="shared" si="46"/>
        <v>10</v>
      </c>
      <c r="R966">
        <f t="shared" si="47"/>
        <v>15</v>
      </c>
      <c r="S966">
        <v>3</v>
      </c>
      <c r="T966" t="s">
        <v>278</v>
      </c>
      <c r="U966">
        <v>0.11591195362313406</v>
      </c>
    </row>
    <row r="967" spans="1:21" x14ac:dyDescent="0.25">
      <c r="A967" s="7">
        <v>7</v>
      </c>
      <c r="B967" s="7">
        <v>500</v>
      </c>
      <c r="C967" s="7">
        <v>2</v>
      </c>
      <c r="D967" s="8">
        <v>11</v>
      </c>
      <c r="E967" s="7">
        <v>14</v>
      </c>
      <c r="F967" s="9" t="s">
        <v>17</v>
      </c>
      <c r="G967" s="22" t="s">
        <v>60</v>
      </c>
      <c r="H967" s="23" t="s">
        <v>61</v>
      </c>
      <c r="I967" s="7">
        <v>60</v>
      </c>
      <c r="J967" s="15">
        <v>19.098593171027442</v>
      </c>
      <c r="K967" s="7">
        <v>2.6</v>
      </c>
      <c r="L967" s="7">
        <v>14</v>
      </c>
      <c r="M967" s="7"/>
      <c r="N967" s="12" t="s">
        <v>20</v>
      </c>
      <c r="O967" s="12" t="s">
        <v>16</v>
      </c>
      <c r="P967" s="57" t="str">
        <f t="shared" si="45"/>
        <v>un fuste</v>
      </c>
      <c r="Q967">
        <f t="shared" si="46"/>
        <v>15</v>
      </c>
      <c r="R967">
        <f t="shared" si="47"/>
        <v>20</v>
      </c>
      <c r="S967">
        <v>3</v>
      </c>
      <c r="T967" t="s">
        <v>278</v>
      </c>
      <c r="U967">
        <v>0.21366927568123606</v>
      </c>
    </row>
    <row r="968" spans="1:21" x14ac:dyDescent="0.25">
      <c r="A968" s="7">
        <v>11</v>
      </c>
      <c r="B968" s="7">
        <v>500</v>
      </c>
      <c r="C968" s="7">
        <v>3</v>
      </c>
      <c r="D968" s="8">
        <v>13</v>
      </c>
      <c r="E968" s="8">
        <v>14</v>
      </c>
      <c r="F968" s="9" t="s">
        <v>17</v>
      </c>
      <c r="G968" s="10" t="s">
        <v>60</v>
      </c>
      <c r="H968" s="11" t="s">
        <v>61</v>
      </c>
      <c r="I968" s="7">
        <v>51</v>
      </c>
      <c r="J968" s="15">
        <v>16.233804195373324</v>
      </c>
      <c r="K968" s="7">
        <v>4</v>
      </c>
      <c r="L968" s="7">
        <v>10</v>
      </c>
      <c r="M968" s="7"/>
      <c r="N968" s="12" t="s">
        <v>20</v>
      </c>
      <c r="O968" s="12" t="s">
        <v>16</v>
      </c>
      <c r="P968" s="57" t="str">
        <f t="shared" si="45"/>
        <v>un fuste</v>
      </c>
      <c r="Q968">
        <f t="shared" si="46"/>
        <v>10</v>
      </c>
      <c r="R968">
        <f t="shared" si="47"/>
        <v>15</v>
      </c>
      <c r="S968">
        <v>3</v>
      </c>
      <c r="T968" t="s">
        <v>278</v>
      </c>
      <c r="U968">
        <v>0.10867883474040876</v>
      </c>
    </row>
    <row r="969" spans="1:21" x14ac:dyDescent="0.25">
      <c r="A969" s="7">
        <v>12</v>
      </c>
      <c r="B969" s="7">
        <v>100</v>
      </c>
      <c r="C969" s="8">
        <v>2</v>
      </c>
      <c r="D969" s="8" t="s">
        <v>84</v>
      </c>
      <c r="E969" s="8">
        <v>14</v>
      </c>
      <c r="F969" s="9" t="s">
        <v>17</v>
      </c>
      <c r="G969" s="10" t="s">
        <v>60</v>
      </c>
      <c r="H969" s="11" t="s">
        <v>61</v>
      </c>
      <c r="I969" s="7">
        <v>21.5</v>
      </c>
      <c r="J969" s="15">
        <v>6.8436625529514998</v>
      </c>
      <c r="K969" s="7">
        <v>6</v>
      </c>
      <c r="L969" s="8">
        <v>9</v>
      </c>
      <c r="M969" s="7"/>
      <c r="N969" s="12" t="s">
        <v>20</v>
      </c>
      <c r="O969" s="12" t="s">
        <v>16</v>
      </c>
      <c r="P969" s="31" t="e">
        <f t="shared" si="45"/>
        <v>#VALUE!</v>
      </c>
      <c r="Q969">
        <f t="shared" si="46"/>
        <v>10</v>
      </c>
      <c r="R969">
        <f t="shared" si="47"/>
        <v>5</v>
      </c>
    </row>
    <row r="970" spans="1:21" x14ac:dyDescent="0.25">
      <c r="A970" s="7">
        <v>7</v>
      </c>
      <c r="B970" s="7">
        <v>500</v>
      </c>
      <c r="C970" s="8">
        <v>2</v>
      </c>
      <c r="D970" s="8">
        <v>12</v>
      </c>
      <c r="E970" s="8">
        <v>15</v>
      </c>
      <c r="F970" s="9" t="s">
        <v>17</v>
      </c>
      <c r="G970" s="10" t="s">
        <v>60</v>
      </c>
      <c r="H970" s="11" t="s">
        <v>61</v>
      </c>
      <c r="I970" s="7">
        <v>66</v>
      </c>
      <c r="J970" s="15">
        <v>21.008452488130185</v>
      </c>
      <c r="K970" s="7">
        <v>6</v>
      </c>
      <c r="L970" s="7">
        <v>14</v>
      </c>
      <c r="M970" s="7"/>
      <c r="N970" s="12" t="s">
        <v>20</v>
      </c>
      <c r="O970" s="12" t="s">
        <v>16</v>
      </c>
      <c r="P970" s="57" t="str">
        <f t="shared" si="45"/>
        <v>un fuste</v>
      </c>
      <c r="Q970">
        <f t="shared" si="46"/>
        <v>15</v>
      </c>
      <c r="R970">
        <f t="shared" si="47"/>
        <v>20</v>
      </c>
      <c r="S970">
        <v>3</v>
      </c>
      <c r="T970" t="s">
        <v>278</v>
      </c>
      <c r="U970">
        <v>0.25681820487150631</v>
      </c>
    </row>
    <row r="971" spans="1:21" x14ac:dyDescent="0.25">
      <c r="A971" s="7">
        <v>11</v>
      </c>
      <c r="B971" s="7">
        <v>500</v>
      </c>
      <c r="C971" s="7">
        <v>3</v>
      </c>
      <c r="D971" s="8">
        <v>14</v>
      </c>
      <c r="E971" s="7">
        <v>15</v>
      </c>
      <c r="F971" s="9" t="s">
        <v>17</v>
      </c>
      <c r="G971" s="13" t="s">
        <v>60</v>
      </c>
      <c r="H971" s="11" t="s">
        <v>61</v>
      </c>
      <c r="I971" s="7">
        <v>39.5</v>
      </c>
      <c r="J971" s="15">
        <v>12.573240504259733</v>
      </c>
      <c r="K971" s="7">
        <v>4.5</v>
      </c>
      <c r="L971" s="7">
        <v>13</v>
      </c>
      <c r="M971" s="7"/>
      <c r="N971" s="12" t="s">
        <v>20</v>
      </c>
      <c r="O971" s="12" t="s">
        <v>16</v>
      </c>
      <c r="P971" s="57" t="str">
        <f t="shared" si="45"/>
        <v>un fuste</v>
      </c>
      <c r="Q971">
        <f t="shared" si="46"/>
        <v>12.5</v>
      </c>
      <c r="R971">
        <f t="shared" si="47"/>
        <v>15</v>
      </c>
      <c r="S971">
        <v>3</v>
      </c>
      <c r="T971" t="s">
        <v>278</v>
      </c>
      <c r="U971">
        <v>8.8043491073533861E-2</v>
      </c>
    </row>
    <row r="972" spans="1:21" x14ac:dyDescent="0.25">
      <c r="A972" s="7">
        <v>12</v>
      </c>
      <c r="B972" s="7">
        <v>100</v>
      </c>
      <c r="C972" s="7">
        <v>2</v>
      </c>
      <c r="D972" s="8" t="s">
        <v>84</v>
      </c>
      <c r="E972" s="7">
        <v>15</v>
      </c>
      <c r="F972" s="9" t="s">
        <v>17</v>
      </c>
      <c r="G972" s="10" t="s">
        <v>60</v>
      </c>
      <c r="H972" s="11" t="s">
        <v>61</v>
      </c>
      <c r="I972" s="7">
        <v>22</v>
      </c>
      <c r="J972" s="15">
        <v>7.0028174960433951</v>
      </c>
      <c r="K972" s="7">
        <v>2.5</v>
      </c>
      <c r="L972" s="7">
        <v>7</v>
      </c>
      <c r="M972" s="7"/>
      <c r="N972" s="12" t="s">
        <v>20</v>
      </c>
      <c r="O972" s="12" t="s">
        <v>16</v>
      </c>
      <c r="P972" s="31" t="e">
        <f t="shared" si="45"/>
        <v>#VALUE!</v>
      </c>
      <c r="Q972">
        <f t="shared" si="46"/>
        <v>7.5</v>
      </c>
      <c r="R972">
        <f t="shared" si="47"/>
        <v>5</v>
      </c>
    </row>
    <row r="973" spans="1:21" x14ac:dyDescent="0.25">
      <c r="A973" s="7">
        <v>7</v>
      </c>
      <c r="B973" s="7">
        <v>500</v>
      </c>
      <c r="C973" s="8">
        <v>2</v>
      </c>
      <c r="D973" s="8">
        <v>13</v>
      </c>
      <c r="E973" s="8">
        <v>16</v>
      </c>
      <c r="F973" s="17" t="s">
        <v>17</v>
      </c>
      <c r="G973" s="10" t="s">
        <v>60</v>
      </c>
      <c r="H973" s="11" t="s">
        <v>61</v>
      </c>
      <c r="I973" s="7">
        <v>66.5</v>
      </c>
      <c r="J973" s="15">
        <v>21.167607431222081</v>
      </c>
      <c r="K973" s="7">
        <v>8</v>
      </c>
      <c r="L973" s="8">
        <v>14</v>
      </c>
      <c r="M973" s="7"/>
      <c r="N973" s="12" t="s">
        <v>20</v>
      </c>
      <c r="O973" s="12" t="s">
        <v>16</v>
      </c>
      <c r="P973" s="57" t="str">
        <f t="shared" si="45"/>
        <v>un fuste</v>
      </c>
      <c r="Q973">
        <f t="shared" si="46"/>
        <v>15</v>
      </c>
      <c r="R973">
        <f t="shared" si="47"/>
        <v>20</v>
      </c>
      <c r="S973">
        <v>3</v>
      </c>
      <c r="T973" t="s">
        <v>278</v>
      </c>
      <c r="U973">
        <v>0.26058622642796037</v>
      </c>
    </row>
    <row r="974" spans="1:21" x14ac:dyDescent="0.25">
      <c r="A974" s="7">
        <v>8</v>
      </c>
      <c r="B974" s="7">
        <v>500</v>
      </c>
      <c r="C974" s="8">
        <v>1</v>
      </c>
      <c r="D974" s="8">
        <v>15</v>
      </c>
      <c r="E974" s="8">
        <v>16</v>
      </c>
      <c r="F974" s="9" t="s">
        <v>17</v>
      </c>
      <c r="G974" s="10" t="s">
        <v>60</v>
      </c>
      <c r="H974" s="11" t="s">
        <v>61</v>
      </c>
      <c r="I974" s="7">
        <v>72</v>
      </c>
      <c r="J974" s="15">
        <v>22.918311805232928</v>
      </c>
      <c r="K974" s="7">
        <v>4.5</v>
      </c>
      <c r="L974" s="7">
        <v>12</v>
      </c>
      <c r="M974" s="7"/>
      <c r="N974" s="12" t="s">
        <v>20</v>
      </c>
      <c r="O974" s="12" t="s">
        <v>16</v>
      </c>
      <c r="P974" s="57" t="str">
        <f t="shared" si="45"/>
        <v>un fuste</v>
      </c>
      <c r="Q974">
        <f t="shared" si="46"/>
        <v>12.5</v>
      </c>
      <c r="R974">
        <f t="shared" si="47"/>
        <v>25</v>
      </c>
      <c r="S974">
        <v>3</v>
      </c>
      <c r="T974" t="s">
        <v>278</v>
      </c>
      <c r="U974">
        <v>0.25730661503793956</v>
      </c>
    </row>
    <row r="975" spans="1:21" x14ac:dyDescent="0.25">
      <c r="A975" s="7">
        <v>9</v>
      </c>
      <c r="B975" s="7">
        <v>500</v>
      </c>
      <c r="C975" s="8">
        <v>4</v>
      </c>
      <c r="D975" s="8">
        <v>16</v>
      </c>
      <c r="E975" s="8">
        <v>16</v>
      </c>
      <c r="F975" s="9" t="s">
        <v>17</v>
      </c>
      <c r="G975" s="10" t="s">
        <v>60</v>
      </c>
      <c r="H975" s="11" t="s">
        <v>61</v>
      </c>
      <c r="I975" s="8">
        <v>51</v>
      </c>
      <c r="J975" s="15">
        <v>16.233804195373324</v>
      </c>
      <c r="K975" s="8">
        <v>5</v>
      </c>
      <c r="L975" s="8">
        <v>12</v>
      </c>
      <c r="M975" s="7"/>
      <c r="N975" s="12" t="s">
        <v>20</v>
      </c>
      <c r="O975" s="12" t="s">
        <v>16</v>
      </c>
      <c r="P975" s="57" t="str">
        <f t="shared" si="45"/>
        <v>un fuste</v>
      </c>
      <c r="Q975">
        <f t="shared" si="46"/>
        <v>12.5</v>
      </c>
      <c r="R975">
        <f t="shared" si="47"/>
        <v>15</v>
      </c>
      <c r="S975">
        <v>3</v>
      </c>
      <c r="T975" t="s">
        <v>278</v>
      </c>
      <c r="U975">
        <v>0.13225883820616102</v>
      </c>
    </row>
    <row r="976" spans="1:21" x14ac:dyDescent="0.25">
      <c r="A976" s="7">
        <v>12</v>
      </c>
      <c r="B976" s="7">
        <v>100</v>
      </c>
      <c r="C976" s="8">
        <v>2</v>
      </c>
      <c r="D976" s="7">
        <v>12</v>
      </c>
      <c r="E976" s="7">
        <v>16</v>
      </c>
      <c r="F976" s="9" t="s">
        <v>17</v>
      </c>
      <c r="G976" s="10" t="s">
        <v>60</v>
      </c>
      <c r="H976" s="11" t="s">
        <v>61</v>
      </c>
      <c r="I976" s="7">
        <v>22</v>
      </c>
      <c r="J976" s="15">
        <v>7.0028174960433951</v>
      </c>
      <c r="K976" s="7">
        <v>6</v>
      </c>
      <c r="L976" s="7">
        <v>9</v>
      </c>
      <c r="M976" s="7"/>
      <c r="N976" s="12" t="s">
        <v>29</v>
      </c>
      <c r="O976" s="12" t="s">
        <v>16</v>
      </c>
      <c r="P976" s="57" t="str">
        <f t="shared" si="45"/>
        <v>un fuste</v>
      </c>
      <c r="Q976">
        <f t="shared" si="46"/>
        <v>10</v>
      </c>
      <c r="R976">
        <f t="shared" si="47"/>
        <v>5</v>
      </c>
    </row>
    <row r="977" spans="1:21" x14ac:dyDescent="0.25">
      <c r="A977" s="7">
        <v>7</v>
      </c>
      <c r="B977" s="7">
        <v>500</v>
      </c>
      <c r="C977" s="7">
        <v>2</v>
      </c>
      <c r="D977" s="8">
        <v>14</v>
      </c>
      <c r="E977" s="7">
        <v>17</v>
      </c>
      <c r="F977" s="9" t="s">
        <v>17</v>
      </c>
      <c r="G977" s="10" t="s">
        <v>60</v>
      </c>
      <c r="H977" s="11" t="s">
        <v>61</v>
      </c>
      <c r="I977" s="7">
        <v>81</v>
      </c>
      <c r="J977" s="15">
        <v>25.783100780887047</v>
      </c>
      <c r="K977" s="7">
        <v>4</v>
      </c>
      <c r="L977" s="7">
        <v>12</v>
      </c>
      <c r="M977" s="7"/>
      <c r="N977" s="12" t="s">
        <v>20</v>
      </c>
      <c r="O977" s="12" t="s">
        <v>16</v>
      </c>
      <c r="P977" s="57" t="str">
        <f t="shared" si="45"/>
        <v>un fuste</v>
      </c>
      <c r="Q977">
        <f t="shared" si="46"/>
        <v>12.5</v>
      </c>
      <c r="R977">
        <f t="shared" si="47"/>
        <v>25</v>
      </c>
      <c r="S977">
        <v>3</v>
      </c>
      <c r="T977" t="s">
        <v>278</v>
      </c>
      <c r="U977">
        <v>0.32297595137543411</v>
      </c>
    </row>
    <row r="978" spans="1:21" x14ac:dyDescent="0.25">
      <c r="A978" s="7">
        <v>8</v>
      </c>
      <c r="B978" s="7">
        <v>500</v>
      </c>
      <c r="C978" s="7">
        <v>2</v>
      </c>
      <c r="D978" s="8">
        <v>16</v>
      </c>
      <c r="E978" s="8">
        <v>17</v>
      </c>
      <c r="F978" s="9" t="s">
        <v>17</v>
      </c>
      <c r="G978" s="13" t="s">
        <v>60</v>
      </c>
      <c r="H978" s="11" t="s">
        <v>61</v>
      </c>
      <c r="I978" s="7">
        <v>64</v>
      </c>
      <c r="J978" s="15">
        <v>20.371832715762604</v>
      </c>
      <c r="K978" s="7">
        <v>7</v>
      </c>
      <c r="L978" s="7">
        <v>12</v>
      </c>
      <c r="M978" s="7"/>
      <c r="N978" s="12" t="s">
        <v>29</v>
      </c>
      <c r="O978" s="12" t="s">
        <v>16</v>
      </c>
      <c r="P978" s="57" t="str">
        <f t="shared" si="45"/>
        <v>un fuste</v>
      </c>
      <c r="Q978">
        <f t="shared" si="46"/>
        <v>12.5</v>
      </c>
      <c r="R978">
        <f t="shared" si="47"/>
        <v>20</v>
      </c>
      <c r="S978">
        <v>3</v>
      </c>
      <c r="T978" t="s">
        <v>278</v>
      </c>
      <c r="U978">
        <v>0.20498954755093329</v>
      </c>
    </row>
    <row r="979" spans="1:21" x14ac:dyDescent="0.25">
      <c r="A979" s="7">
        <v>12</v>
      </c>
      <c r="B979" s="7">
        <v>100</v>
      </c>
      <c r="C979" s="8">
        <v>2</v>
      </c>
      <c r="D979" s="8" t="s">
        <v>171</v>
      </c>
      <c r="E979" s="8">
        <v>17</v>
      </c>
      <c r="F979" s="9" t="s">
        <v>17</v>
      </c>
      <c r="G979" s="13" t="s">
        <v>60</v>
      </c>
      <c r="H979" s="11" t="s">
        <v>61</v>
      </c>
      <c r="I979" s="7">
        <v>17</v>
      </c>
      <c r="J979" s="15">
        <v>5.4112680651244416</v>
      </c>
      <c r="K979" s="7">
        <v>6</v>
      </c>
      <c r="L979" s="7">
        <v>9</v>
      </c>
      <c r="M979" s="7"/>
      <c r="N979" s="12" t="s">
        <v>20</v>
      </c>
      <c r="O979" s="12" t="s">
        <v>16</v>
      </c>
      <c r="P979" s="31" t="e">
        <f t="shared" si="45"/>
        <v>#VALUE!</v>
      </c>
      <c r="Q979">
        <f t="shared" si="46"/>
        <v>10</v>
      </c>
      <c r="R979">
        <f t="shared" si="47"/>
        <v>5</v>
      </c>
    </row>
    <row r="980" spans="1:21" x14ac:dyDescent="0.25">
      <c r="A980" s="7">
        <v>8</v>
      </c>
      <c r="B980" s="7">
        <v>500</v>
      </c>
      <c r="C980" s="7">
        <v>2</v>
      </c>
      <c r="D980" s="8" t="s">
        <v>212</v>
      </c>
      <c r="E980" s="7">
        <v>18</v>
      </c>
      <c r="F980" s="9" t="s">
        <v>17</v>
      </c>
      <c r="G980" s="13" t="s">
        <v>60</v>
      </c>
      <c r="H980" s="11" t="s">
        <v>61</v>
      </c>
      <c r="I980" s="7">
        <v>42</v>
      </c>
      <c r="J980" s="15">
        <v>13.369015219719209</v>
      </c>
      <c r="K980" s="7">
        <v>5.5</v>
      </c>
      <c r="L980" s="7">
        <v>12</v>
      </c>
      <c r="M980" s="7"/>
      <c r="N980" s="12" t="s">
        <v>20</v>
      </c>
      <c r="O980" s="12" t="s">
        <v>16</v>
      </c>
      <c r="P980" s="31" t="e">
        <f t="shared" si="45"/>
        <v>#VALUE!</v>
      </c>
      <c r="Q980">
        <f t="shared" si="46"/>
        <v>12.5</v>
      </c>
      <c r="R980">
        <f t="shared" si="47"/>
        <v>15</v>
      </c>
      <c r="S980">
        <v>3</v>
      </c>
      <c r="T980" t="s">
        <v>278</v>
      </c>
      <c r="U980">
        <v>9.0927208121807365E-2</v>
      </c>
    </row>
    <row r="981" spans="1:21" x14ac:dyDescent="0.25">
      <c r="A981" s="7">
        <v>12</v>
      </c>
      <c r="B981" s="7">
        <v>100</v>
      </c>
      <c r="C981" s="7">
        <v>2</v>
      </c>
      <c r="D981" s="8">
        <v>13</v>
      </c>
      <c r="E981" s="7">
        <v>18</v>
      </c>
      <c r="F981" s="9" t="s">
        <v>17</v>
      </c>
      <c r="G981" s="10" t="s">
        <v>60</v>
      </c>
      <c r="H981" s="11" t="s">
        <v>61</v>
      </c>
      <c r="I981" s="7">
        <v>18.5</v>
      </c>
      <c r="J981" s="15">
        <v>5.8887328944001274</v>
      </c>
      <c r="K981" s="7">
        <v>3.5</v>
      </c>
      <c r="L981" s="7">
        <v>8</v>
      </c>
      <c r="M981" s="7"/>
      <c r="N981" s="12" t="s">
        <v>20</v>
      </c>
      <c r="O981" s="12" t="s">
        <v>16</v>
      </c>
      <c r="P981" s="57" t="str">
        <f t="shared" si="45"/>
        <v>un fuste</v>
      </c>
      <c r="Q981">
        <f t="shared" si="46"/>
        <v>7.5</v>
      </c>
      <c r="R981">
        <f t="shared" si="47"/>
        <v>5</v>
      </c>
    </row>
    <row r="982" spans="1:21" x14ac:dyDescent="0.25">
      <c r="A982" s="7">
        <v>7</v>
      </c>
      <c r="B982" s="7">
        <v>500</v>
      </c>
      <c r="C982" s="8">
        <v>2</v>
      </c>
      <c r="D982" s="8">
        <v>16</v>
      </c>
      <c r="E982" s="8">
        <v>19</v>
      </c>
      <c r="F982" s="9" t="s">
        <v>17</v>
      </c>
      <c r="G982" s="10" t="s">
        <v>60</v>
      </c>
      <c r="H982" s="11" t="s">
        <v>61</v>
      </c>
      <c r="I982" s="7">
        <v>44</v>
      </c>
      <c r="J982" s="15">
        <v>14.00563499208679</v>
      </c>
      <c r="K982" s="7">
        <v>5</v>
      </c>
      <c r="L982" s="8">
        <v>12</v>
      </c>
      <c r="M982" s="7"/>
      <c r="N982" s="12" t="s">
        <v>20</v>
      </c>
      <c r="O982" s="12" t="s">
        <v>16</v>
      </c>
      <c r="P982" s="57" t="str">
        <f t="shared" si="45"/>
        <v>un fuste</v>
      </c>
      <c r="Q982">
        <f t="shared" si="46"/>
        <v>12.5</v>
      </c>
      <c r="R982">
        <f t="shared" si="47"/>
        <v>15</v>
      </c>
      <c r="S982">
        <v>3</v>
      </c>
      <c r="T982" t="s">
        <v>278</v>
      </c>
      <c r="U982">
        <v>9.9468224071552369E-2</v>
      </c>
    </row>
    <row r="983" spans="1:21" x14ac:dyDescent="0.25">
      <c r="A983" s="7">
        <v>7</v>
      </c>
      <c r="B983" s="7">
        <v>500</v>
      </c>
      <c r="C983" s="8">
        <v>2</v>
      </c>
      <c r="D983" s="8">
        <v>17</v>
      </c>
      <c r="E983" s="8">
        <v>20</v>
      </c>
      <c r="F983" s="17" t="s">
        <v>17</v>
      </c>
      <c r="G983" s="10" t="s">
        <v>60</v>
      </c>
      <c r="H983" s="11" t="s">
        <v>61</v>
      </c>
      <c r="I983" s="7">
        <v>40</v>
      </c>
      <c r="J983" s="15">
        <v>12.732395447351628</v>
      </c>
      <c r="K983" s="7">
        <v>7</v>
      </c>
      <c r="L983" s="8">
        <v>13</v>
      </c>
      <c r="M983" s="7"/>
      <c r="N983" s="12" t="s">
        <v>20</v>
      </c>
      <c r="O983" s="12" t="s">
        <v>16</v>
      </c>
      <c r="P983" s="57" t="str">
        <f t="shared" si="45"/>
        <v>un fuste</v>
      </c>
      <c r="Q983">
        <f t="shared" si="46"/>
        <v>12.5</v>
      </c>
      <c r="R983">
        <f t="shared" si="47"/>
        <v>15</v>
      </c>
      <c r="S983">
        <v>3</v>
      </c>
      <c r="T983" t="s">
        <v>278</v>
      </c>
      <c r="U983">
        <v>9.0206969962133579E-2</v>
      </c>
    </row>
    <row r="984" spans="1:21" x14ac:dyDescent="0.25">
      <c r="A984" s="7">
        <v>7</v>
      </c>
      <c r="B984" s="7">
        <v>500</v>
      </c>
      <c r="C984" s="8">
        <v>2</v>
      </c>
      <c r="D984" s="8">
        <v>18</v>
      </c>
      <c r="E984" s="8">
        <v>21</v>
      </c>
      <c r="F984" s="9" t="s">
        <v>17</v>
      </c>
      <c r="G984" s="10" t="s">
        <v>60</v>
      </c>
      <c r="H984" s="11" t="s">
        <v>61</v>
      </c>
      <c r="I984" s="8">
        <v>40</v>
      </c>
      <c r="J984" s="15">
        <v>12.732395447351628</v>
      </c>
      <c r="K984" s="8">
        <v>6.5</v>
      </c>
      <c r="L984" s="8">
        <v>12</v>
      </c>
      <c r="M984" s="7"/>
      <c r="N984" s="12" t="s">
        <v>20</v>
      </c>
      <c r="O984" s="12" t="s">
        <v>16</v>
      </c>
      <c r="P984" s="57" t="str">
        <f t="shared" si="45"/>
        <v>un fuste</v>
      </c>
      <c r="Q984">
        <f t="shared" si="46"/>
        <v>12.5</v>
      </c>
      <c r="R984">
        <f t="shared" si="47"/>
        <v>15</v>
      </c>
      <c r="S984">
        <v>3</v>
      </c>
      <c r="T984" t="s">
        <v>278</v>
      </c>
      <c r="U984">
        <v>8.2756218163354642E-2</v>
      </c>
    </row>
    <row r="985" spans="1:21" x14ac:dyDescent="0.25">
      <c r="A985" s="7">
        <v>12</v>
      </c>
      <c r="B985" s="7">
        <v>100</v>
      </c>
      <c r="C985" s="8">
        <v>3</v>
      </c>
      <c r="D985" s="7">
        <v>16</v>
      </c>
      <c r="E985" s="7">
        <v>21</v>
      </c>
      <c r="F985" s="9" t="s">
        <v>17</v>
      </c>
      <c r="G985" s="13" t="s">
        <v>60</v>
      </c>
      <c r="H985" s="11" t="s">
        <v>61</v>
      </c>
      <c r="I985" s="7">
        <v>25.5</v>
      </c>
      <c r="J985" s="15">
        <v>8.1169020976866619</v>
      </c>
      <c r="K985" s="7">
        <v>1.8</v>
      </c>
      <c r="L985" s="7">
        <v>9</v>
      </c>
      <c r="M985" s="7"/>
      <c r="N985" s="12" t="s">
        <v>29</v>
      </c>
      <c r="O985" s="12" t="s">
        <v>16</v>
      </c>
      <c r="P985" s="57" t="str">
        <f t="shared" si="45"/>
        <v>un fuste</v>
      </c>
      <c r="Q985">
        <f t="shared" si="46"/>
        <v>10</v>
      </c>
      <c r="R985">
        <f t="shared" si="47"/>
        <v>10</v>
      </c>
    </row>
    <row r="986" spans="1:21" x14ac:dyDescent="0.25">
      <c r="A986" s="7">
        <v>1</v>
      </c>
      <c r="B986" s="7">
        <v>500</v>
      </c>
      <c r="C986" s="8">
        <v>4</v>
      </c>
      <c r="D986" s="8">
        <v>19</v>
      </c>
      <c r="E986" s="8">
        <v>22</v>
      </c>
      <c r="F986" s="9" t="s">
        <v>17</v>
      </c>
      <c r="G986" s="13" t="s">
        <v>60</v>
      </c>
      <c r="H986" s="14" t="s">
        <v>61</v>
      </c>
      <c r="I986" s="7">
        <v>37</v>
      </c>
      <c r="J986" s="15">
        <v>11.777465788800255</v>
      </c>
      <c r="K986" s="7">
        <v>6.5</v>
      </c>
      <c r="L986" s="7">
        <v>12</v>
      </c>
      <c r="M986" s="7"/>
      <c r="N986" s="12" t="s">
        <v>20</v>
      </c>
      <c r="O986" s="12" t="s">
        <v>16</v>
      </c>
      <c r="P986" s="57" t="str">
        <f t="shared" si="45"/>
        <v>un fuste</v>
      </c>
      <c r="Q986">
        <f t="shared" si="46"/>
        <v>12.5</v>
      </c>
      <c r="R986">
        <f t="shared" si="47"/>
        <v>10</v>
      </c>
      <c r="S986">
        <v>3</v>
      </c>
      <c r="T986" t="s">
        <v>278</v>
      </c>
      <c r="U986">
        <v>7.1196325189988363E-2</v>
      </c>
    </row>
    <row r="987" spans="1:21" x14ac:dyDescent="0.25">
      <c r="A987" s="7">
        <v>5</v>
      </c>
      <c r="B987" s="7">
        <v>500</v>
      </c>
      <c r="C987" s="7">
        <v>2</v>
      </c>
      <c r="D987" s="8">
        <v>20</v>
      </c>
      <c r="E987" s="8">
        <v>22</v>
      </c>
      <c r="F987" s="9" t="s">
        <v>17</v>
      </c>
      <c r="G987" s="10" t="s">
        <v>60</v>
      </c>
      <c r="H987" s="11" t="s">
        <v>61</v>
      </c>
      <c r="I987" s="7">
        <v>39.5</v>
      </c>
      <c r="J987" s="15">
        <v>12.573240504259733</v>
      </c>
      <c r="K987" s="7">
        <v>3</v>
      </c>
      <c r="L987" s="7">
        <v>12</v>
      </c>
      <c r="M987" s="7"/>
      <c r="N987" s="12" t="s">
        <v>20</v>
      </c>
      <c r="O987" s="12" t="s">
        <v>16</v>
      </c>
      <c r="P987" s="57" t="str">
        <f t="shared" si="45"/>
        <v>un fuste</v>
      </c>
      <c r="Q987">
        <f t="shared" si="46"/>
        <v>12.5</v>
      </c>
      <c r="R987">
        <f t="shared" si="47"/>
        <v>15</v>
      </c>
      <c r="S987">
        <v>3</v>
      </c>
      <c r="T987" t="s">
        <v>278</v>
      </c>
      <c r="U987">
        <v>8.0771434382545651E-2</v>
      </c>
    </row>
    <row r="988" spans="1:21" x14ac:dyDescent="0.25">
      <c r="A988" s="7">
        <v>7</v>
      </c>
      <c r="B988" s="7">
        <v>500</v>
      </c>
      <c r="C988" s="7">
        <v>2</v>
      </c>
      <c r="D988" s="8">
        <v>19</v>
      </c>
      <c r="E988" s="7">
        <v>22</v>
      </c>
      <c r="F988" s="9" t="s">
        <v>17</v>
      </c>
      <c r="G988" s="13" t="s">
        <v>60</v>
      </c>
      <c r="H988" s="11" t="s">
        <v>61</v>
      </c>
      <c r="I988" s="7">
        <v>66.5</v>
      </c>
      <c r="J988" s="15">
        <v>21.167607431222081</v>
      </c>
      <c r="K988" s="7">
        <v>10</v>
      </c>
      <c r="L988" s="7">
        <v>15</v>
      </c>
      <c r="M988" s="7"/>
      <c r="N988" s="12" t="s">
        <v>20</v>
      </c>
      <c r="O988" s="12" t="s">
        <v>16</v>
      </c>
      <c r="P988" s="57" t="str">
        <f t="shared" si="45"/>
        <v>un fuste</v>
      </c>
      <c r="Q988">
        <f t="shared" si="46"/>
        <v>15</v>
      </c>
      <c r="R988">
        <f t="shared" si="47"/>
        <v>20</v>
      </c>
      <c r="S988">
        <v>3</v>
      </c>
      <c r="T988" t="s">
        <v>278</v>
      </c>
      <c r="U988">
        <v>0.28068708269994885</v>
      </c>
    </row>
    <row r="989" spans="1:21" x14ac:dyDescent="0.25">
      <c r="A989" s="7">
        <v>12</v>
      </c>
      <c r="B989" s="7">
        <v>100</v>
      </c>
      <c r="C989" s="8">
        <v>3</v>
      </c>
      <c r="D989" s="8" t="s">
        <v>212</v>
      </c>
      <c r="E989" s="8">
        <v>22</v>
      </c>
      <c r="F989" s="9" t="s">
        <v>17</v>
      </c>
      <c r="G989" s="10" t="s">
        <v>60</v>
      </c>
      <c r="H989" s="11" t="s">
        <v>61</v>
      </c>
      <c r="I989" s="7">
        <v>20</v>
      </c>
      <c r="J989" s="15">
        <v>6.366197723675814</v>
      </c>
      <c r="K989" s="7">
        <v>2.2999999999999998</v>
      </c>
      <c r="L989" s="8">
        <v>9</v>
      </c>
      <c r="M989" s="7"/>
      <c r="N989" s="12" t="s">
        <v>20</v>
      </c>
      <c r="O989" s="12" t="s">
        <v>16</v>
      </c>
      <c r="P989" s="31" t="e">
        <f t="shared" si="45"/>
        <v>#VALUE!</v>
      </c>
      <c r="Q989">
        <f t="shared" si="46"/>
        <v>10</v>
      </c>
      <c r="R989">
        <f t="shared" si="47"/>
        <v>5</v>
      </c>
    </row>
    <row r="990" spans="1:21" x14ac:dyDescent="0.25">
      <c r="A990" s="7">
        <v>7</v>
      </c>
      <c r="B990" s="7">
        <v>500</v>
      </c>
      <c r="C990" s="7">
        <v>2</v>
      </c>
      <c r="D990" s="8">
        <v>20</v>
      </c>
      <c r="E990" s="7">
        <v>23</v>
      </c>
      <c r="F990" s="9" t="s">
        <v>17</v>
      </c>
      <c r="G990" s="10" t="s">
        <v>60</v>
      </c>
      <c r="H990" s="11" t="s">
        <v>61</v>
      </c>
      <c r="I990" s="7">
        <v>80</v>
      </c>
      <c r="J990" s="15">
        <v>25.464790894703256</v>
      </c>
      <c r="K990" s="7">
        <v>7</v>
      </c>
      <c r="L990" s="7">
        <v>13</v>
      </c>
      <c r="M990" s="7"/>
      <c r="N990" s="12" t="s">
        <v>20</v>
      </c>
      <c r="O990" s="12" t="s">
        <v>16</v>
      </c>
      <c r="P990" s="57" t="str">
        <f t="shared" si="45"/>
        <v>un fuste</v>
      </c>
      <c r="Q990">
        <f t="shared" si="46"/>
        <v>12.5</v>
      </c>
      <c r="R990">
        <f t="shared" si="47"/>
        <v>25</v>
      </c>
      <c r="S990">
        <v>3</v>
      </c>
      <c r="T990" t="s">
        <v>278</v>
      </c>
      <c r="U990">
        <v>0.34371443802822454</v>
      </c>
    </row>
    <row r="991" spans="1:21" x14ac:dyDescent="0.25">
      <c r="A991" s="7">
        <v>12</v>
      </c>
      <c r="B991" s="7">
        <v>100</v>
      </c>
      <c r="C991" s="7">
        <v>3</v>
      </c>
      <c r="D991" s="8" t="s">
        <v>235</v>
      </c>
      <c r="E991" s="7">
        <v>23</v>
      </c>
      <c r="F991" s="9" t="s">
        <v>17</v>
      </c>
      <c r="G991" s="13" t="s">
        <v>60</v>
      </c>
      <c r="H991" s="14" t="s">
        <v>61</v>
      </c>
      <c r="I991" s="7">
        <v>17.5</v>
      </c>
      <c r="J991" s="15">
        <v>5.5704230082163368</v>
      </c>
      <c r="K991" s="7">
        <v>3</v>
      </c>
      <c r="L991" s="7">
        <v>7</v>
      </c>
      <c r="M991" s="7"/>
      <c r="N991" s="12" t="s">
        <v>20</v>
      </c>
      <c r="O991" s="12" t="s">
        <v>16</v>
      </c>
      <c r="P991" s="31" t="e">
        <f t="shared" si="45"/>
        <v>#VALUE!</v>
      </c>
      <c r="Q991">
        <f t="shared" si="46"/>
        <v>7.5</v>
      </c>
      <c r="R991">
        <f t="shared" si="47"/>
        <v>5</v>
      </c>
    </row>
    <row r="992" spans="1:21" x14ac:dyDescent="0.25">
      <c r="A992" s="7">
        <v>7</v>
      </c>
      <c r="B992" s="7">
        <v>500</v>
      </c>
      <c r="C992" s="8">
        <v>2</v>
      </c>
      <c r="D992" s="8">
        <v>21</v>
      </c>
      <c r="E992" s="8">
        <v>24</v>
      </c>
      <c r="F992" s="17" t="s">
        <v>17</v>
      </c>
      <c r="G992" s="10" t="s">
        <v>60</v>
      </c>
      <c r="H992" s="11" t="s">
        <v>61</v>
      </c>
      <c r="I992" s="7">
        <v>66</v>
      </c>
      <c r="J992" s="15">
        <v>21.008452488130185</v>
      </c>
      <c r="K992" s="7">
        <v>8</v>
      </c>
      <c r="L992" s="8">
        <v>13</v>
      </c>
      <c r="M992" s="7"/>
      <c r="N992" s="12" t="s">
        <v>20</v>
      </c>
      <c r="O992" s="12" t="s">
        <v>16</v>
      </c>
      <c r="P992" s="57" t="str">
        <f t="shared" si="45"/>
        <v>un fuste</v>
      </c>
      <c r="Q992">
        <f t="shared" si="46"/>
        <v>12.5</v>
      </c>
      <c r="R992">
        <f t="shared" si="47"/>
        <v>20</v>
      </c>
      <c r="S992">
        <v>3</v>
      </c>
      <c r="T992" t="s">
        <v>278</v>
      </c>
      <c r="U992">
        <v>0.23711677569882433</v>
      </c>
    </row>
    <row r="993" spans="1:21" x14ac:dyDescent="0.25">
      <c r="A993" s="7">
        <v>12</v>
      </c>
      <c r="B993" s="7">
        <v>100</v>
      </c>
      <c r="C993" s="8">
        <v>3</v>
      </c>
      <c r="D993" s="8">
        <v>17</v>
      </c>
      <c r="E993" s="8">
        <v>24</v>
      </c>
      <c r="F993" s="9" t="s">
        <v>17</v>
      </c>
      <c r="G993" s="10" t="s">
        <v>60</v>
      </c>
      <c r="H993" s="11" t="s">
        <v>61</v>
      </c>
      <c r="I993" s="8">
        <v>26</v>
      </c>
      <c r="J993" s="15">
        <v>8.2760570407785572</v>
      </c>
      <c r="K993" s="8">
        <v>3.5</v>
      </c>
      <c r="L993" s="8">
        <v>9</v>
      </c>
      <c r="M993" s="7"/>
      <c r="N993" s="12" t="s">
        <v>29</v>
      </c>
      <c r="O993" s="12" t="s">
        <v>16</v>
      </c>
      <c r="P993" s="57" t="str">
        <f t="shared" si="45"/>
        <v>un fuste</v>
      </c>
      <c r="Q993">
        <f t="shared" si="46"/>
        <v>10</v>
      </c>
      <c r="R993">
        <f t="shared" si="47"/>
        <v>10</v>
      </c>
    </row>
    <row r="994" spans="1:21" x14ac:dyDescent="0.25">
      <c r="A994" s="7">
        <v>12</v>
      </c>
      <c r="B994" s="7">
        <v>100</v>
      </c>
      <c r="C994" s="8">
        <v>3</v>
      </c>
      <c r="D994" s="7" t="s">
        <v>236</v>
      </c>
      <c r="E994" s="7">
        <v>25</v>
      </c>
      <c r="F994" s="9" t="s">
        <v>17</v>
      </c>
      <c r="G994" s="13" t="s">
        <v>60</v>
      </c>
      <c r="H994" s="11" t="s">
        <v>61</v>
      </c>
      <c r="I994" s="7">
        <v>23</v>
      </c>
      <c r="J994" s="15">
        <v>7.3211273822271856</v>
      </c>
      <c r="K994" s="7">
        <v>2</v>
      </c>
      <c r="L994" s="7">
        <v>9</v>
      </c>
      <c r="M994" s="7"/>
      <c r="N994" s="12" t="s">
        <v>20</v>
      </c>
      <c r="O994" s="12" t="s">
        <v>16</v>
      </c>
      <c r="P994" s="31" t="e">
        <f t="shared" si="45"/>
        <v>#VALUE!</v>
      </c>
      <c r="Q994">
        <f t="shared" si="46"/>
        <v>10</v>
      </c>
      <c r="R994">
        <f t="shared" si="47"/>
        <v>5</v>
      </c>
    </row>
    <row r="995" spans="1:21" x14ac:dyDescent="0.25">
      <c r="A995" s="7">
        <v>5</v>
      </c>
      <c r="B995" s="7">
        <v>500</v>
      </c>
      <c r="C995" s="7">
        <v>2</v>
      </c>
      <c r="D995" s="8">
        <v>24</v>
      </c>
      <c r="E995" s="7">
        <v>26</v>
      </c>
      <c r="F995" s="17" t="s">
        <v>17</v>
      </c>
      <c r="G995" s="18" t="s">
        <v>60</v>
      </c>
      <c r="H995" s="11" t="s">
        <v>61</v>
      </c>
      <c r="I995" s="7">
        <v>63</v>
      </c>
      <c r="J995" s="15">
        <v>20.053522829578814</v>
      </c>
      <c r="K995" s="7">
        <v>2.5</v>
      </c>
      <c r="L995" s="7">
        <v>12</v>
      </c>
      <c r="M995" s="7"/>
      <c r="N995" s="12" t="s">
        <v>20</v>
      </c>
      <c r="O995" s="12" t="s">
        <v>16</v>
      </c>
      <c r="P995" s="57" t="str">
        <f t="shared" si="45"/>
        <v>un fuste</v>
      </c>
      <c r="Q995">
        <f t="shared" si="46"/>
        <v>12.5</v>
      </c>
      <c r="R995">
        <f t="shared" si="47"/>
        <v>20</v>
      </c>
      <c r="S995">
        <v>3</v>
      </c>
      <c r="T995" t="s">
        <v>278</v>
      </c>
      <c r="U995">
        <v>0.19885307627007709</v>
      </c>
    </row>
    <row r="996" spans="1:21" x14ac:dyDescent="0.25">
      <c r="A996" s="7">
        <v>12</v>
      </c>
      <c r="B996" s="7">
        <v>100</v>
      </c>
      <c r="C996" s="7">
        <v>3</v>
      </c>
      <c r="D996" s="8" t="s">
        <v>237</v>
      </c>
      <c r="E996" s="8">
        <v>26</v>
      </c>
      <c r="F996" s="9" t="s">
        <v>17</v>
      </c>
      <c r="G996" s="10" t="s">
        <v>60</v>
      </c>
      <c r="H996" s="11" t="s">
        <v>61</v>
      </c>
      <c r="I996" s="7">
        <v>21.5</v>
      </c>
      <c r="J996" s="15">
        <v>6.8436625529514998</v>
      </c>
      <c r="K996" s="7">
        <v>3</v>
      </c>
      <c r="L996" s="7">
        <v>9</v>
      </c>
      <c r="M996" s="7"/>
      <c r="N996" s="12" t="s">
        <v>20</v>
      </c>
      <c r="O996" s="12" t="s">
        <v>16</v>
      </c>
      <c r="P996" s="31" t="e">
        <f t="shared" si="45"/>
        <v>#VALUE!</v>
      </c>
      <c r="Q996">
        <f t="shared" si="46"/>
        <v>10</v>
      </c>
      <c r="R996">
        <f t="shared" si="47"/>
        <v>5</v>
      </c>
    </row>
    <row r="997" spans="1:21" x14ac:dyDescent="0.25">
      <c r="A997" s="7">
        <v>8</v>
      </c>
      <c r="B997" s="7">
        <v>500</v>
      </c>
      <c r="C997" s="7">
        <v>2</v>
      </c>
      <c r="D997" s="8">
        <v>25</v>
      </c>
      <c r="E997" s="7">
        <v>27</v>
      </c>
      <c r="F997" s="9" t="s">
        <v>17</v>
      </c>
      <c r="G997" s="10" t="s">
        <v>60</v>
      </c>
      <c r="H997" s="11" t="s">
        <v>61</v>
      </c>
      <c r="I997" s="7">
        <v>61</v>
      </c>
      <c r="J997" s="15">
        <v>19.416903057211233</v>
      </c>
      <c r="K997" s="7">
        <v>6.5</v>
      </c>
      <c r="L997" s="7">
        <v>12</v>
      </c>
      <c r="M997" s="7"/>
      <c r="N997" s="12" t="s">
        <v>20</v>
      </c>
      <c r="O997" s="12" t="s">
        <v>16</v>
      </c>
      <c r="P997" s="57" t="str">
        <f t="shared" si="45"/>
        <v>un fuste</v>
      </c>
      <c r="Q997">
        <f t="shared" si="46"/>
        <v>12.5</v>
      </c>
      <c r="R997">
        <f t="shared" si="47"/>
        <v>20</v>
      </c>
      <c r="S997">
        <v>3</v>
      </c>
      <c r="T997" t="s">
        <v>278</v>
      </c>
      <c r="U997">
        <v>0.18684997375246193</v>
      </c>
    </row>
    <row r="998" spans="1:21" x14ac:dyDescent="0.25">
      <c r="A998" s="7">
        <v>12</v>
      </c>
      <c r="B998" s="7">
        <v>100</v>
      </c>
      <c r="C998" s="8">
        <v>3</v>
      </c>
      <c r="D998" s="8">
        <v>18</v>
      </c>
      <c r="E998" s="8">
        <v>27</v>
      </c>
      <c r="F998" s="9" t="s">
        <v>17</v>
      </c>
      <c r="G998" s="10" t="s">
        <v>60</v>
      </c>
      <c r="H998" s="11" t="s">
        <v>61</v>
      </c>
      <c r="I998" s="7">
        <v>30</v>
      </c>
      <c r="J998" s="15">
        <v>9.5492965855137211</v>
      </c>
      <c r="K998" s="7">
        <v>2</v>
      </c>
      <c r="L998" s="8">
        <v>9</v>
      </c>
      <c r="M998" s="7"/>
      <c r="N998" s="12" t="s">
        <v>29</v>
      </c>
      <c r="O998" s="12" t="s">
        <v>16</v>
      </c>
      <c r="P998" s="57" t="str">
        <f t="shared" si="45"/>
        <v>un fuste</v>
      </c>
      <c r="Q998">
        <f t="shared" si="46"/>
        <v>10</v>
      </c>
      <c r="R998">
        <f t="shared" si="47"/>
        <v>10</v>
      </c>
    </row>
    <row r="999" spans="1:21" x14ac:dyDescent="0.25">
      <c r="A999" s="7">
        <v>7</v>
      </c>
      <c r="B999" s="7">
        <v>500</v>
      </c>
      <c r="C999" s="7">
        <v>3</v>
      </c>
      <c r="D999" s="8">
        <v>25</v>
      </c>
      <c r="E999" s="7">
        <v>28</v>
      </c>
      <c r="F999" s="9" t="s">
        <v>17</v>
      </c>
      <c r="G999" s="13" t="s">
        <v>60</v>
      </c>
      <c r="H999" s="11" t="s">
        <v>61</v>
      </c>
      <c r="I999" s="7">
        <v>60</v>
      </c>
      <c r="J999" s="15">
        <v>19.098593171027442</v>
      </c>
      <c r="K999" s="7">
        <v>8</v>
      </c>
      <c r="L999" s="7">
        <v>12</v>
      </c>
      <c r="M999" s="7"/>
      <c r="N999" s="12" t="s">
        <v>20</v>
      </c>
      <c r="O999" s="12" t="s">
        <v>16</v>
      </c>
      <c r="P999" s="57" t="str">
        <f t="shared" si="45"/>
        <v>un fuste</v>
      </c>
      <c r="Q999">
        <f t="shared" si="46"/>
        <v>12.5</v>
      </c>
      <c r="R999">
        <f t="shared" si="47"/>
        <v>20</v>
      </c>
      <c r="S999">
        <v>3</v>
      </c>
      <c r="T999" t="s">
        <v>278</v>
      </c>
      <c r="U999">
        <v>0.18098354609343728</v>
      </c>
    </row>
    <row r="1000" spans="1:21" x14ac:dyDescent="0.25">
      <c r="A1000" s="7">
        <v>12</v>
      </c>
      <c r="B1000" s="7">
        <v>100</v>
      </c>
      <c r="C1000" s="8">
        <v>3</v>
      </c>
      <c r="D1000" s="8" t="s">
        <v>163</v>
      </c>
      <c r="E1000" s="8">
        <v>28</v>
      </c>
      <c r="F1000" s="17" t="s">
        <v>17</v>
      </c>
      <c r="G1000" s="10" t="s">
        <v>60</v>
      </c>
      <c r="H1000" s="11" t="s">
        <v>61</v>
      </c>
      <c r="I1000" s="7">
        <v>29.5</v>
      </c>
      <c r="J1000" s="15">
        <v>9.3901416424218258</v>
      </c>
      <c r="K1000" s="7">
        <v>3</v>
      </c>
      <c r="L1000" s="8">
        <v>9</v>
      </c>
      <c r="M1000" s="7"/>
      <c r="N1000" s="12" t="s">
        <v>20</v>
      </c>
      <c r="O1000" s="12" t="s">
        <v>16</v>
      </c>
      <c r="P1000" s="31" t="e">
        <f t="shared" si="45"/>
        <v>#VALUE!</v>
      </c>
      <c r="Q1000">
        <f t="shared" si="46"/>
        <v>10</v>
      </c>
      <c r="R1000">
        <f t="shared" si="47"/>
        <v>10</v>
      </c>
    </row>
    <row r="1001" spans="1:21" x14ac:dyDescent="0.25">
      <c r="A1001" s="7">
        <v>5</v>
      </c>
      <c r="B1001" s="7">
        <v>500</v>
      </c>
      <c r="C1001" s="8">
        <v>3</v>
      </c>
      <c r="D1001" s="7">
        <v>27</v>
      </c>
      <c r="E1001" s="7">
        <v>29</v>
      </c>
      <c r="F1001" s="9" t="s">
        <v>17</v>
      </c>
      <c r="G1001" s="13" t="s">
        <v>60</v>
      </c>
      <c r="H1001" s="11" t="s">
        <v>61</v>
      </c>
      <c r="I1001" s="7">
        <v>76</v>
      </c>
      <c r="J1001" s="15">
        <v>24.191551349968091</v>
      </c>
      <c r="K1001" s="7">
        <v>3.5</v>
      </c>
      <c r="L1001" s="7">
        <v>10</v>
      </c>
      <c r="M1001" s="7"/>
      <c r="N1001" s="12" t="s">
        <v>20</v>
      </c>
      <c r="O1001" s="12" t="s">
        <v>16</v>
      </c>
      <c r="P1001" s="57" t="str">
        <f t="shared" si="45"/>
        <v>un fuste</v>
      </c>
      <c r="Q1001">
        <f t="shared" si="46"/>
        <v>10</v>
      </c>
      <c r="R1001">
        <f t="shared" si="47"/>
        <v>25</v>
      </c>
      <c r="S1001">
        <v>3</v>
      </c>
      <c r="T1001" t="s">
        <v>278</v>
      </c>
      <c r="U1001">
        <v>0.23468610638919787</v>
      </c>
    </row>
    <row r="1002" spans="1:21" x14ac:dyDescent="0.25">
      <c r="A1002" s="7">
        <v>7</v>
      </c>
      <c r="B1002" s="7">
        <v>500</v>
      </c>
      <c r="C1002" s="8">
        <v>3</v>
      </c>
      <c r="D1002" s="8">
        <v>26</v>
      </c>
      <c r="E1002" s="8">
        <v>29</v>
      </c>
      <c r="F1002" s="9" t="s">
        <v>17</v>
      </c>
      <c r="G1002" s="10" t="s">
        <v>60</v>
      </c>
      <c r="H1002" s="11" t="s">
        <v>61</v>
      </c>
      <c r="I1002" s="8">
        <v>103</v>
      </c>
      <c r="J1002" s="15">
        <v>32.785918276930438</v>
      </c>
      <c r="K1002" s="8">
        <v>7</v>
      </c>
      <c r="L1002" s="8">
        <v>14</v>
      </c>
      <c r="M1002" s="7"/>
      <c r="N1002" s="12" t="s">
        <v>20</v>
      </c>
      <c r="O1002" s="12" t="s">
        <v>16</v>
      </c>
      <c r="P1002" s="57" t="str">
        <f t="shared" si="45"/>
        <v>un fuste</v>
      </c>
      <c r="Q1002">
        <f t="shared" si="46"/>
        <v>15</v>
      </c>
      <c r="R1002">
        <f t="shared" si="47"/>
        <v>35</v>
      </c>
      <c r="S1002">
        <v>3</v>
      </c>
      <c r="T1002" t="s">
        <v>278</v>
      </c>
      <c r="U1002">
        <v>0.60626494171036427</v>
      </c>
    </row>
    <row r="1003" spans="1:21" x14ac:dyDescent="0.25">
      <c r="A1003" s="7">
        <v>8</v>
      </c>
      <c r="B1003" s="7">
        <v>500</v>
      </c>
      <c r="C1003" s="7">
        <v>2</v>
      </c>
      <c r="D1003" s="8">
        <v>27</v>
      </c>
      <c r="E1003" s="7">
        <v>29</v>
      </c>
      <c r="F1003" s="9" t="s">
        <v>17</v>
      </c>
      <c r="G1003" s="10" t="s">
        <v>60</v>
      </c>
      <c r="H1003" s="11" t="s">
        <v>61</v>
      </c>
      <c r="I1003" s="7">
        <v>59</v>
      </c>
      <c r="J1003" s="15">
        <v>18.780283284843652</v>
      </c>
      <c r="K1003" s="7">
        <v>5</v>
      </c>
      <c r="L1003" s="7">
        <v>13</v>
      </c>
      <c r="M1003" s="7"/>
      <c r="N1003" s="12" t="s">
        <v>29</v>
      </c>
      <c r="O1003" s="12" t="s">
        <v>16</v>
      </c>
      <c r="P1003" s="57" t="str">
        <f t="shared" si="45"/>
        <v>un fuste</v>
      </c>
      <c r="Q1003">
        <f t="shared" si="46"/>
        <v>12.5</v>
      </c>
      <c r="R1003">
        <f t="shared" si="47"/>
        <v>20</v>
      </c>
      <c r="S1003">
        <v>3</v>
      </c>
      <c r="T1003" t="s">
        <v>278</v>
      </c>
      <c r="U1003">
        <v>0.19098169981568194</v>
      </c>
    </row>
    <row r="1004" spans="1:21" x14ac:dyDescent="0.25">
      <c r="A1004" s="7">
        <v>12</v>
      </c>
      <c r="B1004" s="7">
        <v>100</v>
      </c>
      <c r="C1004" s="7">
        <v>3</v>
      </c>
      <c r="D1004" s="8" t="s">
        <v>238</v>
      </c>
      <c r="E1004" s="7">
        <v>29</v>
      </c>
      <c r="F1004" s="9" t="s">
        <v>17</v>
      </c>
      <c r="G1004" s="10" t="s">
        <v>60</v>
      </c>
      <c r="H1004" s="11" t="s">
        <v>61</v>
      </c>
      <c r="I1004" s="7">
        <v>26.5</v>
      </c>
      <c r="J1004" s="15">
        <v>8.4352119838704525</v>
      </c>
      <c r="K1004" s="7">
        <v>2</v>
      </c>
      <c r="L1004" s="7">
        <v>9</v>
      </c>
      <c r="M1004" s="7"/>
      <c r="N1004" s="12" t="s">
        <v>20</v>
      </c>
      <c r="O1004" s="12" t="s">
        <v>16</v>
      </c>
      <c r="P1004" s="31" t="e">
        <f t="shared" si="45"/>
        <v>#VALUE!</v>
      </c>
      <c r="Q1004">
        <f t="shared" si="46"/>
        <v>10</v>
      </c>
      <c r="R1004">
        <f t="shared" si="47"/>
        <v>10</v>
      </c>
    </row>
    <row r="1005" spans="1:21" x14ac:dyDescent="0.25">
      <c r="A1005" s="7">
        <v>7</v>
      </c>
      <c r="B1005" s="7">
        <v>500</v>
      </c>
      <c r="C1005" s="8">
        <v>3</v>
      </c>
      <c r="D1005" s="8">
        <v>27</v>
      </c>
      <c r="E1005" s="8">
        <v>30</v>
      </c>
      <c r="F1005" s="9" t="s">
        <v>17</v>
      </c>
      <c r="G1005" s="10" t="s">
        <v>60</v>
      </c>
      <c r="H1005" s="11" t="s">
        <v>61</v>
      </c>
      <c r="I1005" s="7">
        <v>77.5</v>
      </c>
      <c r="J1005" s="15">
        <v>24.669016179243776</v>
      </c>
      <c r="K1005" s="7">
        <v>7</v>
      </c>
      <c r="L1005" s="8">
        <v>14</v>
      </c>
      <c r="M1005" s="7"/>
      <c r="N1005" s="12" t="s">
        <v>20</v>
      </c>
      <c r="O1005" s="12" t="s">
        <v>16</v>
      </c>
      <c r="P1005" s="57" t="str">
        <f t="shared" si="45"/>
        <v>un fuste</v>
      </c>
      <c r="Q1005">
        <f t="shared" si="46"/>
        <v>15</v>
      </c>
      <c r="R1005">
        <f t="shared" si="47"/>
        <v>25</v>
      </c>
      <c r="S1005">
        <v>3</v>
      </c>
      <c r="T1005" t="s">
        <v>278</v>
      </c>
      <c r="U1005">
        <v>0.35014771400572942</v>
      </c>
    </row>
    <row r="1006" spans="1:21" x14ac:dyDescent="0.25">
      <c r="A1006" s="7">
        <v>8</v>
      </c>
      <c r="B1006" s="7">
        <v>500</v>
      </c>
      <c r="C1006" s="7">
        <v>2</v>
      </c>
      <c r="D1006" s="8" t="s">
        <v>213</v>
      </c>
      <c r="E1006" s="8">
        <v>30</v>
      </c>
      <c r="F1006" s="9" t="s">
        <v>17</v>
      </c>
      <c r="G1006" s="13" t="s">
        <v>60</v>
      </c>
      <c r="H1006" s="11" t="s">
        <v>61</v>
      </c>
      <c r="I1006" s="7">
        <v>53</v>
      </c>
      <c r="J1006" s="15">
        <v>16.870423967740905</v>
      </c>
      <c r="K1006" s="7">
        <v>7</v>
      </c>
      <c r="L1006" s="7">
        <v>12</v>
      </c>
      <c r="M1006" s="7"/>
      <c r="N1006" s="12" t="s">
        <v>20</v>
      </c>
      <c r="O1006" s="12" t="s">
        <v>16</v>
      </c>
      <c r="P1006" s="31" t="e">
        <f t="shared" si="45"/>
        <v>#VALUE!</v>
      </c>
      <c r="Q1006">
        <f t="shared" si="46"/>
        <v>12.5</v>
      </c>
      <c r="R1006">
        <f t="shared" si="47"/>
        <v>15</v>
      </c>
      <c r="S1006">
        <v>3</v>
      </c>
      <c r="T1006" t="s">
        <v>278</v>
      </c>
      <c r="U1006">
        <v>0.14245084026081012</v>
      </c>
    </row>
    <row r="1007" spans="1:21" x14ac:dyDescent="0.25">
      <c r="A1007" s="7">
        <v>12</v>
      </c>
      <c r="B1007" s="7">
        <v>100</v>
      </c>
      <c r="C1007" s="7">
        <v>3</v>
      </c>
      <c r="D1007" s="8">
        <v>19</v>
      </c>
      <c r="E1007" s="7">
        <v>30</v>
      </c>
      <c r="F1007" s="9" t="s">
        <v>17</v>
      </c>
      <c r="G1007" s="13" t="s">
        <v>60</v>
      </c>
      <c r="H1007" s="11" t="s">
        <v>61</v>
      </c>
      <c r="I1007" s="7">
        <v>22.5</v>
      </c>
      <c r="J1007" s="15">
        <v>7.1619724391352904</v>
      </c>
      <c r="K1007" s="7">
        <v>6</v>
      </c>
      <c r="L1007" s="7">
        <v>10</v>
      </c>
      <c r="M1007" s="7"/>
      <c r="N1007" s="12" t="s">
        <v>20</v>
      </c>
      <c r="O1007" s="12" t="s">
        <v>16</v>
      </c>
      <c r="P1007" s="57" t="str">
        <f t="shared" si="45"/>
        <v>un fuste</v>
      </c>
      <c r="Q1007">
        <f t="shared" si="46"/>
        <v>10</v>
      </c>
      <c r="R1007">
        <f t="shared" si="47"/>
        <v>5</v>
      </c>
    </row>
    <row r="1008" spans="1:21" x14ac:dyDescent="0.25">
      <c r="A1008" s="7">
        <v>7</v>
      </c>
      <c r="B1008" s="7">
        <v>500</v>
      </c>
      <c r="C1008" s="8">
        <v>3</v>
      </c>
      <c r="D1008" s="8">
        <v>28</v>
      </c>
      <c r="E1008" s="8">
        <v>31</v>
      </c>
      <c r="F1008" s="17" t="s">
        <v>17</v>
      </c>
      <c r="G1008" s="10" t="s">
        <v>60</v>
      </c>
      <c r="H1008" s="11" t="s">
        <v>61</v>
      </c>
      <c r="I1008" s="7">
        <v>54</v>
      </c>
      <c r="J1008" s="15">
        <v>17.188733853924695</v>
      </c>
      <c r="K1008" s="7">
        <v>7</v>
      </c>
      <c r="L1008" s="8">
        <v>13</v>
      </c>
      <c r="M1008" s="7"/>
      <c r="N1008" s="12" t="s">
        <v>20</v>
      </c>
      <c r="O1008" s="12" t="s">
        <v>16</v>
      </c>
      <c r="P1008" s="57" t="str">
        <f t="shared" si="45"/>
        <v>un fuste</v>
      </c>
      <c r="Q1008">
        <f t="shared" si="46"/>
        <v>12.5</v>
      </c>
      <c r="R1008">
        <f t="shared" si="47"/>
        <v>15</v>
      </c>
      <c r="S1008">
        <v>3</v>
      </c>
      <c r="T1008" t="s">
        <v>278</v>
      </c>
      <c r="U1008">
        <v>0.1609797275669124</v>
      </c>
    </row>
    <row r="1009" spans="1:21" x14ac:dyDescent="0.25">
      <c r="A1009" s="7">
        <v>8</v>
      </c>
      <c r="B1009" s="7">
        <v>500</v>
      </c>
      <c r="C1009" s="8">
        <v>3</v>
      </c>
      <c r="D1009" s="8">
        <v>28</v>
      </c>
      <c r="E1009" s="8">
        <v>31</v>
      </c>
      <c r="F1009" s="9" t="s">
        <v>17</v>
      </c>
      <c r="G1009" s="10" t="s">
        <v>60</v>
      </c>
      <c r="H1009" s="11" t="s">
        <v>61</v>
      </c>
      <c r="I1009" s="8">
        <v>34</v>
      </c>
      <c r="J1009" s="15">
        <v>10.822536130248883</v>
      </c>
      <c r="K1009" s="8">
        <v>4.5</v>
      </c>
      <c r="L1009" s="8">
        <v>10</v>
      </c>
      <c r="M1009" s="7"/>
      <c r="N1009" s="12" t="s">
        <v>20</v>
      </c>
      <c r="O1009" s="12" t="s">
        <v>16</v>
      </c>
      <c r="P1009" s="57" t="str">
        <f t="shared" si="45"/>
        <v>un fuste</v>
      </c>
      <c r="Q1009">
        <f t="shared" si="46"/>
        <v>10</v>
      </c>
      <c r="R1009">
        <f t="shared" si="47"/>
        <v>10</v>
      </c>
      <c r="S1009">
        <v>3</v>
      </c>
      <c r="T1009" t="s">
        <v>278</v>
      </c>
      <c r="U1009">
        <v>4.9694292943476354E-2</v>
      </c>
    </row>
    <row r="1010" spans="1:21" x14ac:dyDescent="0.25">
      <c r="A1010" s="7">
        <v>12</v>
      </c>
      <c r="B1010" s="7">
        <v>100</v>
      </c>
      <c r="C1010" s="7">
        <v>3</v>
      </c>
      <c r="D1010" s="8">
        <v>20</v>
      </c>
      <c r="E1010" s="7">
        <v>31</v>
      </c>
      <c r="F1010" s="9" t="s">
        <v>17</v>
      </c>
      <c r="G1010" s="10" t="s">
        <v>60</v>
      </c>
      <c r="H1010" s="11" t="s">
        <v>61</v>
      </c>
      <c r="I1010" s="7">
        <v>25.5</v>
      </c>
      <c r="J1010" s="15">
        <v>8.1169020976866619</v>
      </c>
      <c r="K1010" s="7">
        <v>6</v>
      </c>
      <c r="L1010" s="7">
        <v>9</v>
      </c>
      <c r="M1010" s="7"/>
      <c r="N1010" s="12" t="s">
        <v>29</v>
      </c>
      <c r="O1010" s="12" t="s">
        <v>16</v>
      </c>
      <c r="P1010" s="57" t="str">
        <f t="shared" si="45"/>
        <v>un fuste</v>
      </c>
      <c r="Q1010">
        <f t="shared" si="46"/>
        <v>10</v>
      </c>
      <c r="R1010">
        <f t="shared" si="47"/>
        <v>10</v>
      </c>
    </row>
    <row r="1011" spans="1:21" x14ac:dyDescent="0.25">
      <c r="A1011" s="7">
        <v>8</v>
      </c>
      <c r="B1011" s="7">
        <v>500</v>
      </c>
      <c r="C1011" s="8">
        <v>3</v>
      </c>
      <c r="D1011" s="8">
        <v>29</v>
      </c>
      <c r="E1011" s="8">
        <v>32</v>
      </c>
      <c r="F1011" s="9" t="s">
        <v>17</v>
      </c>
      <c r="G1011" s="10" t="s">
        <v>60</v>
      </c>
      <c r="H1011" s="11" t="s">
        <v>61</v>
      </c>
      <c r="I1011" s="7">
        <v>61</v>
      </c>
      <c r="J1011" s="15">
        <v>19.416903057211233</v>
      </c>
      <c r="K1011" s="7">
        <v>6</v>
      </c>
      <c r="L1011" s="8">
        <v>14</v>
      </c>
      <c r="M1011" s="7"/>
      <c r="N1011" s="12" t="s">
        <v>29</v>
      </c>
      <c r="O1011" s="12" t="s">
        <v>16</v>
      </c>
      <c r="P1011" s="57" t="str">
        <f t="shared" si="45"/>
        <v>un fuste</v>
      </c>
      <c r="Q1011">
        <f t="shared" si="46"/>
        <v>15</v>
      </c>
      <c r="R1011">
        <f t="shared" si="47"/>
        <v>20</v>
      </c>
      <c r="S1011">
        <v>3</v>
      </c>
      <c r="T1011" t="s">
        <v>278</v>
      </c>
      <c r="U1011">
        <v>0.22059518345460358</v>
      </c>
    </row>
    <row r="1012" spans="1:21" x14ac:dyDescent="0.25">
      <c r="A1012" s="7">
        <v>12</v>
      </c>
      <c r="B1012" s="7">
        <v>100</v>
      </c>
      <c r="C1012" s="7">
        <v>3</v>
      </c>
      <c r="D1012" s="8" t="s">
        <v>239</v>
      </c>
      <c r="E1012" s="7">
        <v>32</v>
      </c>
      <c r="F1012" s="9" t="s">
        <v>17</v>
      </c>
      <c r="G1012" s="10" t="s">
        <v>60</v>
      </c>
      <c r="H1012" s="11" t="s">
        <v>61</v>
      </c>
      <c r="I1012" s="7">
        <v>20.5</v>
      </c>
      <c r="J1012" s="15">
        <v>6.5253526667677093</v>
      </c>
      <c r="K1012" s="7">
        <v>4</v>
      </c>
      <c r="L1012" s="7">
        <v>9</v>
      </c>
      <c r="M1012" s="7"/>
      <c r="N1012" s="12" t="s">
        <v>20</v>
      </c>
      <c r="O1012" s="12" t="s">
        <v>16</v>
      </c>
      <c r="P1012" s="31" t="e">
        <f t="shared" si="45"/>
        <v>#VALUE!</v>
      </c>
      <c r="Q1012">
        <f t="shared" si="46"/>
        <v>10</v>
      </c>
      <c r="R1012">
        <f t="shared" si="47"/>
        <v>5</v>
      </c>
    </row>
    <row r="1013" spans="1:21" x14ac:dyDescent="0.25">
      <c r="A1013" s="7">
        <v>5</v>
      </c>
      <c r="B1013" s="7">
        <v>500</v>
      </c>
      <c r="C1013" s="7">
        <v>3</v>
      </c>
      <c r="D1013" s="8">
        <v>31</v>
      </c>
      <c r="E1013" s="8">
        <v>33</v>
      </c>
      <c r="F1013" s="9" t="s">
        <v>17</v>
      </c>
      <c r="G1013" s="10" t="s">
        <v>60</v>
      </c>
      <c r="H1013" s="11" t="s">
        <v>61</v>
      </c>
      <c r="I1013" s="7">
        <v>57</v>
      </c>
      <c r="J1013" s="15">
        <v>18.143663512476071</v>
      </c>
      <c r="K1013" s="7">
        <v>6</v>
      </c>
      <c r="L1013" s="7">
        <v>13</v>
      </c>
      <c r="M1013" s="7"/>
      <c r="N1013" s="12" t="s">
        <v>20</v>
      </c>
      <c r="O1013" s="12" t="s">
        <v>16</v>
      </c>
      <c r="P1013" s="57" t="str">
        <f t="shared" si="45"/>
        <v>un fuste</v>
      </c>
      <c r="Q1013">
        <f t="shared" si="46"/>
        <v>12.5</v>
      </c>
      <c r="R1013">
        <f t="shared" si="47"/>
        <v>20</v>
      </c>
      <c r="S1013">
        <v>3</v>
      </c>
      <c r="T1013" t="s">
        <v>278</v>
      </c>
      <c r="U1013">
        <v>0.17868469143083901</v>
      </c>
    </row>
    <row r="1014" spans="1:21" x14ac:dyDescent="0.25">
      <c r="A1014" s="7">
        <v>8</v>
      </c>
      <c r="B1014" s="7">
        <v>500</v>
      </c>
      <c r="C1014" s="7">
        <v>3</v>
      </c>
      <c r="D1014" s="8" t="s">
        <v>214</v>
      </c>
      <c r="E1014" s="7">
        <v>33</v>
      </c>
      <c r="F1014" s="9" t="s">
        <v>17</v>
      </c>
      <c r="G1014" s="10" t="s">
        <v>60</v>
      </c>
      <c r="H1014" s="11" t="s">
        <v>61</v>
      </c>
      <c r="I1014" s="7">
        <v>50</v>
      </c>
      <c r="J1014" s="15">
        <v>15.915494309189533</v>
      </c>
      <c r="K1014" s="7">
        <v>6</v>
      </c>
      <c r="L1014" s="7">
        <v>14</v>
      </c>
      <c r="M1014" s="7"/>
      <c r="N1014" s="12" t="s">
        <v>20</v>
      </c>
      <c r="O1014" s="12" t="s">
        <v>16</v>
      </c>
      <c r="P1014" s="31" t="e">
        <f t="shared" si="45"/>
        <v>#VALUE!</v>
      </c>
      <c r="Q1014">
        <f t="shared" si="46"/>
        <v>15</v>
      </c>
      <c r="R1014">
        <f t="shared" si="47"/>
        <v>15</v>
      </c>
      <c r="S1014">
        <v>3</v>
      </c>
      <c r="T1014" t="s">
        <v>278</v>
      </c>
      <c r="U1014">
        <v>0.15029004675338178</v>
      </c>
    </row>
    <row r="1015" spans="1:21" x14ac:dyDescent="0.25">
      <c r="A1015" s="7">
        <v>8</v>
      </c>
      <c r="B1015" s="7">
        <v>500</v>
      </c>
      <c r="C1015" s="8">
        <v>3</v>
      </c>
      <c r="D1015" s="8" t="s">
        <v>215</v>
      </c>
      <c r="E1015" s="8">
        <v>34</v>
      </c>
      <c r="F1015" s="17" t="s">
        <v>17</v>
      </c>
      <c r="G1015" s="10" t="s">
        <v>60</v>
      </c>
      <c r="H1015" s="11" t="s">
        <v>61</v>
      </c>
      <c r="I1015" s="7">
        <v>43</v>
      </c>
      <c r="J1015" s="15">
        <v>13.687325105903</v>
      </c>
      <c r="K1015" s="7">
        <v>6</v>
      </c>
      <c r="L1015" s="8">
        <v>14</v>
      </c>
      <c r="M1015" s="7"/>
      <c r="N1015" s="12" t="s">
        <v>20</v>
      </c>
      <c r="O1015" s="12" t="s">
        <v>16</v>
      </c>
      <c r="P1015" s="31" t="e">
        <f t="shared" si="45"/>
        <v>#VALUE!</v>
      </c>
      <c r="Q1015">
        <f t="shared" si="46"/>
        <v>15</v>
      </c>
      <c r="R1015">
        <f t="shared" si="47"/>
        <v>15</v>
      </c>
      <c r="S1015">
        <v>3</v>
      </c>
      <c r="T1015" t="s">
        <v>278</v>
      </c>
      <c r="U1015">
        <v>0.11233596081230149</v>
      </c>
    </row>
    <row r="1016" spans="1:21" x14ac:dyDescent="0.25">
      <c r="A1016" s="7">
        <v>12</v>
      </c>
      <c r="B1016" s="7">
        <v>100</v>
      </c>
      <c r="C1016" s="8">
        <v>3</v>
      </c>
      <c r="D1016" s="8">
        <v>22</v>
      </c>
      <c r="E1016" s="8">
        <v>34</v>
      </c>
      <c r="F1016" s="9" t="s">
        <v>17</v>
      </c>
      <c r="G1016" s="10" t="s">
        <v>60</v>
      </c>
      <c r="H1016" s="11" t="s">
        <v>61</v>
      </c>
      <c r="I1016" s="8">
        <v>20.5</v>
      </c>
      <c r="J1016" s="15">
        <v>6.5253526667677093</v>
      </c>
      <c r="K1016" s="8">
        <v>7</v>
      </c>
      <c r="L1016" s="8">
        <v>10</v>
      </c>
      <c r="M1016" s="7"/>
      <c r="N1016" s="12" t="s">
        <v>20</v>
      </c>
      <c r="O1016" s="12" t="s">
        <v>16</v>
      </c>
      <c r="P1016" s="57" t="str">
        <f t="shared" si="45"/>
        <v>un fuste</v>
      </c>
      <c r="Q1016">
        <f t="shared" si="46"/>
        <v>10</v>
      </c>
      <c r="R1016">
        <f t="shared" si="47"/>
        <v>5</v>
      </c>
    </row>
    <row r="1017" spans="1:21" x14ac:dyDescent="0.25">
      <c r="A1017" s="7">
        <v>12</v>
      </c>
      <c r="B1017" s="7">
        <v>100</v>
      </c>
      <c r="C1017" s="7">
        <v>3</v>
      </c>
      <c r="D1017" s="8">
        <v>23</v>
      </c>
      <c r="E1017" s="7">
        <v>35</v>
      </c>
      <c r="F1017" s="9" t="s">
        <v>17</v>
      </c>
      <c r="G1017" s="10" t="s">
        <v>60</v>
      </c>
      <c r="H1017" s="11" t="s">
        <v>61</v>
      </c>
      <c r="I1017" s="7">
        <v>27.5</v>
      </c>
      <c r="J1017" s="15">
        <v>8.753521870054243</v>
      </c>
      <c r="K1017" s="7">
        <v>2.4</v>
      </c>
      <c r="L1017" s="7">
        <v>9</v>
      </c>
      <c r="M1017" s="7"/>
      <c r="N1017" s="12" t="s">
        <v>20</v>
      </c>
      <c r="O1017" s="12" t="s">
        <v>16</v>
      </c>
      <c r="P1017" s="57" t="str">
        <f t="shared" si="45"/>
        <v>un fuste</v>
      </c>
      <c r="Q1017">
        <f t="shared" si="46"/>
        <v>10</v>
      </c>
      <c r="R1017">
        <f t="shared" si="47"/>
        <v>10</v>
      </c>
    </row>
    <row r="1018" spans="1:21" x14ac:dyDescent="0.25">
      <c r="A1018" s="7">
        <v>7</v>
      </c>
      <c r="B1018" s="7">
        <v>500</v>
      </c>
      <c r="C1018" s="7">
        <v>3</v>
      </c>
      <c r="D1018" s="8">
        <v>33</v>
      </c>
      <c r="E1018" s="7">
        <v>36</v>
      </c>
      <c r="F1018" s="9" t="s">
        <v>17</v>
      </c>
      <c r="G1018" s="13" t="s">
        <v>60</v>
      </c>
      <c r="H1018" s="14" t="s">
        <v>61</v>
      </c>
      <c r="I1018" s="7">
        <v>62.5</v>
      </c>
      <c r="J1018" s="15">
        <v>19.894367886486918</v>
      </c>
      <c r="K1018" s="7">
        <v>7</v>
      </c>
      <c r="L1018" s="7">
        <v>14</v>
      </c>
      <c r="M1018" s="7"/>
      <c r="N1018" s="12" t="s">
        <v>20</v>
      </c>
      <c r="O1018" s="12" t="s">
        <v>16</v>
      </c>
      <c r="P1018" s="57" t="str">
        <f t="shared" si="45"/>
        <v>un fuste</v>
      </c>
      <c r="Q1018">
        <f t="shared" si="46"/>
        <v>15</v>
      </c>
      <c r="R1018">
        <f t="shared" si="47"/>
        <v>20</v>
      </c>
      <c r="S1018">
        <v>3</v>
      </c>
      <c r="T1018" t="s">
        <v>278</v>
      </c>
      <c r="U1018">
        <v>0.23118349165747989</v>
      </c>
    </row>
    <row r="1019" spans="1:21" x14ac:dyDescent="0.25">
      <c r="A1019" s="7">
        <v>12</v>
      </c>
      <c r="B1019" s="7">
        <v>100</v>
      </c>
      <c r="C1019" s="7">
        <v>3</v>
      </c>
      <c r="D1019" s="8">
        <v>24</v>
      </c>
      <c r="E1019" s="8">
        <v>36</v>
      </c>
      <c r="F1019" s="9" t="s">
        <v>17</v>
      </c>
      <c r="G1019" s="10" t="s">
        <v>60</v>
      </c>
      <c r="H1019" s="11" t="s">
        <v>61</v>
      </c>
      <c r="I1019" s="7">
        <v>29</v>
      </c>
      <c r="J1019" s="15">
        <v>9.2309866993299305</v>
      </c>
      <c r="K1019" s="7">
        <v>9</v>
      </c>
      <c r="L1019" s="7">
        <v>11</v>
      </c>
      <c r="M1019" s="7"/>
      <c r="N1019" s="12" t="s">
        <v>20</v>
      </c>
      <c r="O1019" s="12" t="s">
        <v>16</v>
      </c>
      <c r="P1019" s="57" t="str">
        <f t="shared" si="45"/>
        <v>un fuste</v>
      </c>
      <c r="Q1019">
        <f t="shared" si="46"/>
        <v>10</v>
      </c>
      <c r="R1019">
        <f t="shared" si="47"/>
        <v>10</v>
      </c>
    </row>
    <row r="1020" spans="1:21" x14ac:dyDescent="0.25">
      <c r="A1020" s="7">
        <v>7</v>
      </c>
      <c r="B1020" s="7">
        <v>500</v>
      </c>
      <c r="C1020" s="8">
        <v>3</v>
      </c>
      <c r="D1020" s="8">
        <v>34</v>
      </c>
      <c r="E1020" s="8">
        <v>37</v>
      </c>
      <c r="F1020" s="9" t="s">
        <v>17</v>
      </c>
      <c r="G1020" s="10" t="s">
        <v>60</v>
      </c>
      <c r="H1020" s="11" t="s">
        <v>61</v>
      </c>
      <c r="I1020" s="7">
        <v>62</v>
      </c>
      <c r="J1020" s="15">
        <v>19.735212943395023</v>
      </c>
      <c r="K1020" s="7">
        <v>6</v>
      </c>
      <c r="L1020" s="8">
        <v>14</v>
      </c>
      <c r="M1020" s="7"/>
      <c r="N1020" s="12" t="s">
        <v>20</v>
      </c>
      <c r="O1020" s="12" t="s">
        <v>16</v>
      </c>
      <c r="P1020" s="57" t="str">
        <f t="shared" si="45"/>
        <v>un fuste</v>
      </c>
      <c r="Q1020">
        <f t="shared" si="46"/>
        <v>15</v>
      </c>
      <c r="R1020">
        <f t="shared" si="47"/>
        <v>20</v>
      </c>
      <c r="S1020">
        <v>3</v>
      </c>
      <c r="T1020" t="s">
        <v>278</v>
      </c>
      <c r="U1020">
        <v>0.22762748296265814</v>
      </c>
    </row>
    <row r="1021" spans="1:21" x14ac:dyDescent="0.25">
      <c r="A1021" s="7">
        <v>12</v>
      </c>
      <c r="B1021" s="7">
        <v>100</v>
      </c>
      <c r="C1021" s="7">
        <v>4</v>
      </c>
      <c r="D1021" s="8">
        <v>26</v>
      </c>
      <c r="E1021" s="7">
        <v>38</v>
      </c>
      <c r="F1021" s="9" t="s">
        <v>17</v>
      </c>
      <c r="G1021" s="13" t="s">
        <v>60</v>
      </c>
      <c r="H1021" s="11" t="s">
        <v>61</v>
      </c>
      <c r="I1021" s="7">
        <v>17.5</v>
      </c>
      <c r="J1021" s="15">
        <v>5.5704230082163368</v>
      </c>
      <c r="K1021" s="7">
        <v>2.1</v>
      </c>
      <c r="L1021" s="7">
        <v>8</v>
      </c>
      <c r="M1021" s="7"/>
      <c r="N1021" s="12" t="s">
        <v>20</v>
      </c>
      <c r="O1021" s="12" t="s">
        <v>16</v>
      </c>
      <c r="P1021" s="57" t="str">
        <f t="shared" si="45"/>
        <v>un fuste</v>
      </c>
      <c r="Q1021">
        <f t="shared" si="46"/>
        <v>7.5</v>
      </c>
      <c r="R1021">
        <f t="shared" si="47"/>
        <v>5</v>
      </c>
    </row>
    <row r="1022" spans="1:21" x14ac:dyDescent="0.25">
      <c r="A1022" s="7">
        <v>8</v>
      </c>
      <c r="B1022" s="7">
        <v>500</v>
      </c>
      <c r="C1022" s="8">
        <v>3</v>
      </c>
      <c r="D1022" s="8">
        <v>36</v>
      </c>
      <c r="E1022" s="8">
        <v>41</v>
      </c>
      <c r="F1022" s="17" t="s">
        <v>17</v>
      </c>
      <c r="G1022" s="10" t="s">
        <v>60</v>
      </c>
      <c r="H1022" s="11" t="s">
        <v>61</v>
      </c>
      <c r="I1022" s="7">
        <v>62</v>
      </c>
      <c r="J1022" s="15">
        <v>19.735212943395023</v>
      </c>
      <c r="K1022" s="7">
        <v>5.5</v>
      </c>
      <c r="L1022" s="8">
        <v>12</v>
      </c>
      <c r="M1022" s="7"/>
      <c r="N1022" s="12" t="s">
        <v>20</v>
      </c>
      <c r="O1022" s="12" t="s">
        <v>16</v>
      </c>
      <c r="P1022" s="57" t="str">
        <f t="shared" si="45"/>
        <v>un fuste</v>
      </c>
      <c r="Q1022">
        <f t="shared" si="46"/>
        <v>12.5</v>
      </c>
      <c r="R1022">
        <f t="shared" si="47"/>
        <v>20</v>
      </c>
      <c r="S1022">
        <v>3</v>
      </c>
      <c r="T1022" t="s">
        <v>278</v>
      </c>
      <c r="U1022">
        <v>0.19280651803380999</v>
      </c>
    </row>
    <row r="1023" spans="1:21" x14ac:dyDescent="0.25">
      <c r="A1023" s="7">
        <v>12</v>
      </c>
      <c r="B1023" s="7">
        <v>100</v>
      </c>
      <c r="C1023" s="8">
        <v>4</v>
      </c>
      <c r="D1023" s="8">
        <v>29</v>
      </c>
      <c r="E1023" s="8">
        <v>41</v>
      </c>
      <c r="F1023" s="9" t="s">
        <v>17</v>
      </c>
      <c r="G1023" s="13" t="s">
        <v>60</v>
      </c>
      <c r="H1023" s="11" t="s">
        <v>61</v>
      </c>
      <c r="I1023" s="8">
        <v>19.5</v>
      </c>
      <c r="J1023" s="15">
        <v>6.2070427805839179</v>
      </c>
      <c r="K1023" s="8">
        <v>8</v>
      </c>
      <c r="L1023" s="8">
        <v>10</v>
      </c>
      <c r="M1023" s="7"/>
      <c r="N1023" s="12" t="s">
        <v>20</v>
      </c>
      <c r="O1023" s="12" t="s">
        <v>16</v>
      </c>
      <c r="P1023" s="57" t="str">
        <f t="shared" si="45"/>
        <v>un fuste</v>
      </c>
      <c r="Q1023">
        <f t="shared" si="46"/>
        <v>10</v>
      </c>
      <c r="R1023">
        <f t="shared" si="47"/>
        <v>5</v>
      </c>
    </row>
    <row r="1024" spans="1:21" x14ac:dyDescent="0.25">
      <c r="A1024" s="7">
        <v>12</v>
      </c>
      <c r="B1024" s="7">
        <v>100</v>
      </c>
      <c r="C1024" s="7">
        <v>4</v>
      </c>
      <c r="D1024" s="8">
        <v>30</v>
      </c>
      <c r="E1024" s="7">
        <v>42</v>
      </c>
      <c r="F1024" s="9" t="s">
        <v>17</v>
      </c>
      <c r="G1024" s="10" t="s">
        <v>60</v>
      </c>
      <c r="H1024" s="11" t="s">
        <v>61</v>
      </c>
      <c r="I1024" s="7">
        <v>25</v>
      </c>
      <c r="J1024" s="15">
        <v>7.9577471545947667</v>
      </c>
      <c r="K1024" s="7">
        <v>5</v>
      </c>
      <c r="L1024" s="7">
        <v>10</v>
      </c>
      <c r="M1024" s="7"/>
      <c r="N1024" s="12" t="s">
        <v>20</v>
      </c>
      <c r="O1024" s="12" t="s">
        <v>16</v>
      </c>
      <c r="P1024" s="57" t="str">
        <f t="shared" si="45"/>
        <v>un fuste</v>
      </c>
      <c r="Q1024">
        <f t="shared" si="46"/>
        <v>10</v>
      </c>
      <c r="R1024">
        <f t="shared" si="47"/>
        <v>10</v>
      </c>
    </row>
    <row r="1025" spans="1:21" x14ac:dyDescent="0.25">
      <c r="A1025" s="7">
        <v>12</v>
      </c>
      <c r="B1025" s="7">
        <v>100</v>
      </c>
      <c r="C1025" s="8">
        <v>4</v>
      </c>
      <c r="D1025" s="8">
        <v>31</v>
      </c>
      <c r="E1025" s="8">
        <v>43</v>
      </c>
      <c r="F1025" s="9" t="s">
        <v>17</v>
      </c>
      <c r="G1025" s="10" t="s">
        <v>60</v>
      </c>
      <c r="H1025" s="11" t="s">
        <v>61</v>
      </c>
      <c r="I1025" s="7">
        <v>17.5</v>
      </c>
      <c r="J1025" s="15">
        <v>5.5704230082163368</v>
      </c>
      <c r="K1025" s="7">
        <v>3.5</v>
      </c>
      <c r="L1025" s="8">
        <v>8</v>
      </c>
      <c r="M1025" s="7"/>
      <c r="N1025" s="12" t="s">
        <v>29</v>
      </c>
      <c r="O1025" s="12" t="s">
        <v>16</v>
      </c>
      <c r="P1025" s="57" t="str">
        <f t="shared" si="45"/>
        <v>un fuste</v>
      </c>
      <c r="Q1025">
        <f t="shared" si="46"/>
        <v>7.5</v>
      </c>
      <c r="R1025">
        <f t="shared" si="47"/>
        <v>5</v>
      </c>
    </row>
    <row r="1026" spans="1:21" x14ac:dyDescent="0.25">
      <c r="A1026" s="7">
        <v>12</v>
      </c>
      <c r="B1026" s="7">
        <v>100</v>
      </c>
      <c r="C1026" s="7">
        <v>4</v>
      </c>
      <c r="D1026" s="8" t="s">
        <v>240</v>
      </c>
      <c r="E1026" s="8">
        <v>44</v>
      </c>
      <c r="F1026" s="9" t="s">
        <v>17</v>
      </c>
      <c r="G1026" s="13" t="s">
        <v>60</v>
      </c>
      <c r="H1026" s="11" t="s">
        <v>61</v>
      </c>
      <c r="I1026" s="7">
        <v>17.5</v>
      </c>
      <c r="J1026" s="15">
        <v>5.5704230082163368</v>
      </c>
      <c r="K1026" s="7">
        <v>6</v>
      </c>
      <c r="L1026" s="7">
        <v>8</v>
      </c>
      <c r="M1026" s="7"/>
      <c r="N1026" s="12" t="s">
        <v>20</v>
      </c>
      <c r="O1026" s="12" t="s">
        <v>16</v>
      </c>
      <c r="P1026" s="31" t="e">
        <f t="shared" si="45"/>
        <v>#VALUE!</v>
      </c>
      <c r="Q1026">
        <f t="shared" si="46"/>
        <v>7.5</v>
      </c>
      <c r="R1026">
        <f t="shared" si="47"/>
        <v>5</v>
      </c>
    </row>
    <row r="1027" spans="1:21" x14ac:dyDescent="0.25">
      <c r="A1027" s="7">
        <v>8</v>
      </c>
      <c r="B1027" s="7">
        <v>500</v>
      </c>
      <c r="C1027" s="7">
        <v>3</v>
      </c>
      <c r="D1027" s="8">
        <v>40</v>
      </c>
      <c r="E1027" s="7">
        <v>45</v>
      </c>
      <c r="F1027" s="9" t="s">
        <v>17</v>
      </c>
      <c r="G1027" s="10" t="s">
        <v>60</v>
      </c>
      <c r="H1027" s="11" t="s">
        <v>61</v>
      </c>
      <c r="I1027" s="7">
        <v>93</v>
      </c>
      <c r="J1027" s="15">
        <v>29.602819415092533</v>
      </c>
      <c r="K1027" s="7">
        <v>2</v>
      </c>
      <c r="L1027" s="7">
        <v>14</v>
      </c>
      <c r="M1027" s="7"/>
      <c r="N1027" s="12" t="s">
        <v>20</v>
      </c>
      <c r="O1027" s="12" t="s">
        <v>16</v>
      </c>
      <c r="P1027" s="57" t="str">
        <f t="shared" ref="P1027:P1090" si="48">IF((D1027/D1027)=1,"un fuste","bifurcado")</f>
        <v>un fuste</v>
      </c>
      <c r="Q1027">
        <f t="shared" ref="Q1027:Q1090" si="49">IF(L1027&lt;3.75,2.5,IF(L1027&lt;6.25,5,IF(L1027&lt;8.74,7.5,IF(L1027&lt;11.24,10,IF(L1027&lt;13.75,12.5,IF(L1027&lt;16.25,15,IF(L1027&lt;18.75,17.5,IF(L1027&lt;21.25,20,IF(L1027&lt;23.75,22.5,IF(L1027&lt;26.25,25,IF(L1027&lt;28.75,27.5,IF(L1027&lt;31.25,30,IF(L1027&lt;33.75,32.5,IF(L1027&lt;36.25,35,IF(L1027&lt;38.75,37.5,IF(L1027&lt;41.24,40,IF(L1027&lt;43.75,42.5,IF(L1027&lt;46.25,45," "))))))))))))))))))</f>
        <v>15</v>
      </c>
      <c r="R1027">
        <f t="shared" ref="R1027:R1090" si="50">IF(J1027&lt;7.5,5,IF(J1027&lt;12.5,10,IF(J1027&lt;17.5,15,IF(J1027&lt;22.5,20,IF(J1027&lt;27.5,25,IF(J1027&lt;32.5,30,IF(J1027&lt;37.5,35,IF(J1027&lt;42.5,40,IF(J1027&lt;47.5,45,IF(J1027&lt;52.5,50,IF(J1027&lt;57.5,55,0)))))))))))</f>
        <v>30</v>
      </c>
      <c r="S1027">
        <v>3</v>
      </c>
      <c r="T1027" t="s">
        <v>278</v>
      </c>
      <c r="U1027">
        <v>0.49780946941758381</v>
      </c>
    </row>
    <row r="1028" spans="1:21" x14ac:dyDescent="0.25">
      <c r="A1028" s="7">
        <v>12</v>
      </c>
      <c r="B1028" s="7">
        <v>100</v>
      </c>
      <c r="C1028" s="7">
        <v>4</v>
      </c>
      <c r="D1028" s="8" t="s">
        <v>241</v>
      </c>
      <c r="E1028" s="7">
        <v>45</v>
      </c>
      <c r="F1028" s="9" t="s">
        <v>17</v>
      </c>
      <c r="G1028" s="13" t="s">
        <v>60</v>
      </c>
      <c r="H1028" s="14" t="s">
        <v>61</v>
      </c>
      <c r="I1028" s="7">
        <v>25.5</v>
      </c>
      <c r="J1028" s="15">
        <v>8.1169020976866619</v>
      </c>
      <c r="K1028" s="7">
        <v>5</v>
      </c>
      <c r="L1028" s="7">
        <v>9</v>
      </c>
      <c r="M1028" s="7"/>
      <c r="N1028" s="12" t="s">
        <v>20</v>
      </c>
      <c r="O1028" s="12" t="s">
        <v>16</v>
      </c>
      <c r="P1028" s="31" t="e">
        <f t="shared" si="48"/>
        <v>#VALUE!</v>
      </c>
      <c r="Q1028">
        <f t="shared" si="49"/>
        <v>10</v>
      </c>
      <c r="R1028">
        <f t="shared" si="50"/>
        <v>10</v>
      </c>
    </row>
    <row r="1029" spans="1:21" x14ac:dyDescent="0.25">
      <c r="A1029" s="7">
        <v>12</v>
      </c>
      <c r="B1029" s="7">
        <v>100</v>
      </c>
      <c r="C1029" s="8">
        <v>4</v>
      </c>
      <c r="D1029" s="8" t="s">
        <v>242</v>
      </c>
      <c r="E1029" s="8">
        <v>46</v>
      </c>
      <c r="F1029" s="17" t="s">
        <v>17</v>
      </c>
      <c r="G1029" s="10" t="s">
        <v>60</v>
      </c>
      <c r="H1029" s="11" t="s">
        <v>61</v>
      </c>
      <c r="I1029" s="7">
        <v>27.5</v>
      </c>
      <c r="J1029" s="15">
        <v>8.753521870054243</v>
      </c>
      <c r="K1029" s="7">
        <v>5</v>
      </c>
      <c r="L1029" s="8">
        <v>8</v>
      </c>
      <c r="M1029" s="7"/>
      <c r="N1029" s="12" t="s">
        <v>20</v>
      </c>
      <c r="O1029" s="12" t="s">
        <v>16</v>
      </c>
      <c r="P1029" s="31" t="e">
        <f t="shared" si="48"/>
        <v>#VALUE!</v>
      </c>
      <c r="Q1029">
        <f t="shared" si="49"/>
        <v>7.5</v>
      </c>
      <c r="R1029">
        <f t="shared" si="50"/>
        <v>10</v>
      </c>
    </row>
    <row r="1030" spans="1:21" x14ac:dyDescent="0.25">
      <c r="A1030" s="7">
        <v>12</v>
      </c>
      <c r="B1030" s="7">
        <v>100</v>
      </c>
      <c r="C1030" s="8">
        <v>4</v>
      </c>
      <c r="D1030" s="8" t="s">
        <v>243</v>
      </c>
      <c r="E1030" s="8">
        <v>47</v>
      </c>
      <c r="F1030" s="9" t="s">
        <v>17</v>
      </c>
      <c r="G1030" s="10" t="s">
        <v>60</v>
      </c>
      <c r="H1030" s="11" t="s">
        <v>61</v>
      </c>
      <c r="I1030" s="8">
        <v>25.5</v>
      </c>
      <c r="J1030" s="15">
        <v>8.1169020976866619</v>
      </c>
      <c r="K1030" s="8">
        <v>4</v>
      </c>
      <c r="L1030" s="8">
        <v>9</v>
      </c>
      <c r="M1030" s="7"/>
      <c r="N1030" s="12" t="s">
        <v>20</v>
      </c>
      <c r="O1030" s="12" t="s">
        <v>16</v>
      </c>
      <c r="P1030" s="31" t="e">
        <f t="shared" si="48"/>
        <v>#VALUE!</v>
      </c>
      <c r="Q1030">
        <f t="shared" si="49"/>
        <v>10</v>
      </c>
      <c r="R1030">
        <f t="shared" si="50"/>
        <v>10</v>
      </c>
    </row>
    <row r="1031" spans="1:21" x14ac:dyDescent="0.25">
      <c r="A1031" s="7">
        <v>12</v>
      </c>
      <c r="B1031" s="7">
        <v>100</v>
      </c>
      <c r="C1031" s="7">
        <v>4</v>
      </c>
      <c r="D1031" s="8" t="s">
        <v>244</v>
      </c>
      <c r="E1031" s="7">
        <v>48</v>
      </c>
      <c r="F1031" s="9" t="s">
        <v>17</v>
      </c>
      <c r="G1031" s="22" t="s">
        <v>60</v>
      </c>
      <c r="H1031" s="23" t="s">
        <v>61</v>
      </c>
      <c r="I1031" s="7">
        <v>31</v>
      </c>
      <c r="J1031" s="15">
        <v>9.8676064716975116</v>
      </c>
      <c r="K1031" s="7">
        <v>2</v>
      </c>
      <c r="L1031" s="7">
        <v>9</v>
      </c>
      <c r="M1031" s="7"/>
      <c r="N1031" s="12" t="s">
        <v>20</v>
      </c>
      <c r="O1031" s="12" t="s">
        <v>16</v>
      </c>
      <c r="P1031" s="31" t="e">
        <f t="shared" si="48"/>
        <v>#VALUE!</v>
      </c>
      <c r="Q1031">
        <f t="shared" si="49"/>
        <v>10</v>
      </c>
      <c r="R1031">
        <f t="shared" si="50"/>
        <v>10</v>
      </c>
    </row>
    <row r="1032" spans="1:21" x14ac:dyDescent="0.25">
      <c r="A1032" s="7">
        <v>8</v>
      </c>
      <c r="B1032" s="7">
        <v>500</v>
      </c>
      <c r="C1032" s="8">
        <v>3</v>
      </c>
      <c r="D1032" s="8">
        <v>44</v>
      </c>
      <c r="E1032" s="8">
        <v>49</v>
      </c>
      <c r="F1032" s="9" t="s">
        <v>17</v>
      </c>
      <c r="G1032" s="13" t="s">
        <v>60</v>
      </c>
      <c r="H1032" s="11" t="s">
        <v>61</v>
      </c>
      <c r="I1032" s="7">
        <v>41</v>
      </c>
      <c r="J1032" s="15">
        <v>13.050705333535419</v>
      </c>
      <c r="K1032" s="7">
        <v>8</v>
      </c>
      <c r="L1032" s="8">
        <v>13</v>
      </c>
      <c r="M1032" s="7"/>
      <c r="N1032" s="12" t="s">
        <v>20</v>
      </c>
      <c r="O1032" s="12" t="s">
        <v>16</v>
      </c>
      <c r="P1032" s="57" t="str">
        <f t="shared" si="48"/>
        <v>un fuste</v>
      </c>
      <c r="Q1032">
        <f t="shared" si="49"/>
        <v>12.5</v>
      </c>
      <c r="R1032">
        <f t="shared" si="50"/>
        <v>15</v>
      </c>
      <c r="S1032">
        <v>3</v>
      </c>
      <c r="T1032" t="s">
        <v>278</v>
      </c>
      <c r="U1032">
        <v>9.4609790138521777E-2</v>
      </c>
    </row>
    <row r="1033" spans="1:21" x14ac:dyDescent="0.25">
      <c r="A1033" s="7">
        <v>12</v>
      </c>
      <c r="B1033" s="7">
        <v>100</v>
      </c>
      <c r="C1033" s="7">
        <v>4</v>
      </c>
      <c r="D1033" s="8">
        <v>32</v>
      </c>
      <c r="E1033" s="7">
        <v>49</v>
      </c>
      <c r="F1033" s="9" t="s">
        <v>17</v>
      </c>
      <c r="G1033" s="13" t="s">
        <v>60</v>
      </c>
      <c r="H1033" s="11" t="s">
        <v>61</v>
      </c>
      <c r="I1033" s="7">
        <v>30</v>
      </c>
      <c r="J1033" s="15">
        <v>9.5492965855137211</v>
      </c>
      <c r="K1033" s="7">
        <v>4.5</v>
      </c>
      <c r="L1033" s="7">
        <v>9</v>
      </c>
      <c r="M1033" s="7"/>
      <c r="N1033" s="12" t="s">
        <v>20</v>
      </c>
      <c r="O1033" s="12" t="s">
        <v>16</v>
      </c>
      <c r="P1033" s="57" t="str">
        <f t="shared" si="48"/>
        <v>un fuste</v>
      </c>
      <c r="Q1033">
        <f t="shared" si="49"/>
        <v>10</v>
      </c>
      <c r="R1033">
        <f t="shared" si="50"/>
        <v>10</v>
      </c>
    </row>
    <row r="1034" spans="1:21" x14ac:dyDescent="0.25">
      <c r="A1034" s="7">
        <v>8</v>
      </c>
      <c r="B1034" s="7">
        <v>500</v>
      </c>
      <c r="C1034" s="7">
        <v>4</v>
      </c>
      <c r="D1034" s="8">
        <v>45</v>
      </c>
      <c r="E1034" s="7">
        <v>50</v>
      </c>
      <c r="F1034" s="9" t="s">
        <v>17</v>
      </c>
      <c r="G1034" s="13" t="s">
        <v>60</v>
      </c>
      <c r="H1034" s="11" t="s">
        <v>61</v>
      </c>
      <c r="I1034" s="7">
        <v>90</v>
      </c>
      <c r="J1034" s="15">
        <v>28.647889756541161</v>
      </c>
      <c r="K1034" s="7">
        <v>2.5</v>
      </c>
      <c r="L1034" s="7">
        <v>12</v>
      </c>
      <c r="M1034" s="7"/>
      <c r="N1034" s="12" t="s">
        <v>20</v>
      </c>
      <c r="O1034" s="12" t="s">
        <v>16</v>
      </c>
      <c r="P1034" s="57" t="str">
        <f t="shared" si="48"/>
        <v>un fuste</v>
      </c>
      <c r="Q1034">
        <f t="shared" si="49"/>
        <v>12.5</v>
      </c>
      <c r="R1034">
        <f t="shared" si="50"/>
        <v>30</v>
      </c>
      <c r="S1034">
        <v>3</v>
      </c>
      <c r="T1034" t="s">
        <v>278</v>
      </c>
      <c r="U1034">
        <v>0.39580160480387511</v>
      </c>
    </row>
    <row r="1035" spans="1:21" x14ac:dyDescent="0.25">
      <c r="A1035" s="7">
        <v>12</v>
      </c>
      <c r="B1035" s="7">
        <v>100</v>
      </c>
      <c r="C1035" s="8">
        <v>4</v>
      </c>
      <c r="D1035" s="8">
        <v>33</v>
      </c>
      <c r="E1035" s="8">
        <v>50</v>
      </c>
      <c r="F1035" s="17" t="s">
        <v>17</v>
      </c>
      <c r="G1035" s="10" t="s">
        <v>60</v>
      </c>
      <c r="H1035" s="11" t="s">
        <v>61</v>
      </c>
      <c r="I1035" s="7">
        <v>16</v>
      </c>
      <c r="J1035" s="15">
        <v>5.0929581789406511</v>
      </c>
      <c r="K1035" s="7">
        <v>5</v>
      </c>
      <c r="L1035" s="8">
        <v>8</v>
      </c>
      <c r="M1035" s="7"/>
      <c r="N1035" s="12" t="s">
        <v>20</v>
      </c>
      <c r="O1035" s="12" t="s">
        <v>16</v>
      </c>
      <c r="P1035" s="57" t="str">
        <f t="shared" si="48"/>
        <v>un fuste</v>
      </c>
      <c r="Q1035">
        <f t="shared" si="49"/>
        <v>7.5</v>
      </c>
      <c r="R1035">
        <f t="shared" si="50"/>
        <v>5</v>
      </c>
    </row>
    <row r="1036" spans="1:21" x14ac:dyDescent="0.25">
      <c r="A1036" s="7">
        <v>12</v>
      </c>
      <c r="B1036" s="7">
        <v>100</v>
      </c>
      <c r="C1036" s="8">
        <v>4</v>
      </c>
      <c r="D1036" s="8">
        <v>35</v>
      </c>
      <c r="E1036" s="8">
        <v>52</v>
      </c>
      <c r="F1036" s="9" t="s">
        <v>17</v>
      </c>
      <c r="G1036" s="13" t="s">
        <v>60</v>
      </c>
      <c r="H1036" s="11" t="s">
        <v>61</v>
      </c>
      <c r="I1036" s="8">
        <v>18</v>
      </c>
      <c r="J1036" s="15">
        <v>5.7295779513082321</v>
      </c>
      <c r="K1036" s="8">
        <v>2</v>
      </c>
      <c r="L1036" s="8">
        <v>9</v>
      </c>
      <c r="M1036" s="7"/>
      <c r="N1036" s="12" t="s">
        <v>29</v>
      </c>
      <c r="O1036" s="12" t="s">
        <v>16</v>
      </c>
      <c r="P1036" s="57" t="str">
        <f t="shared" si="48"/>
        <v>un fuste</v>
      </c>
      <c r="Q1036">
        <f t="shared" si="49"/>
        <v>10</v>
      </c>
      <c r="R1036">
        <f t="shared" si="50"/>
        <v>5</v>
      </c>
    </row>
    <row r="1037" spans="1:21" x14ac:dyDescent="0.25">
      <c r="A1037" s="7">
        <v>12</v>
      </c>
      <c r="B1037" s="7">
        <v>100</v>
      </c>
      <c r="C1037" s="7">
        <v>4</v>
      </c>
      <c r="D1037" s="8" t="s">
        <v>245</v>
      </c>
      <c r="E1037" s="7">
        <v>53</v>
      </c>
      <c r="F1037" s="9" t="s">
        <v>17</v>
      </c>
      <c r="G1037" s="10" t="s">
        <v>60</v>
      </c>
      <c r="H1037" s="11" t="s">
        <v>61</v>
      </c>
      <c r="I1037" s="7">
        <v>19.5</v>
      </c>
      <c r="J1037" s="15">
        <v>6.2070427805839179</v>
      </c>
      <c r="K1037" s="7">
        <v>4.5</v>
      </c>
      <c r="L1037" s="7">
        <v>10</v>
      </c>
      <c r="M1037" s="7"/>
      <c r="N1037" s="12" t="s">
        <v>20</v>
      </c>
      <c r="O1037" s="12" t="s">
        <v>16</v>
      </c>
      <c r="P1037" s="31" t="e">
        <f t="shared" si="48"/>
        <v>#VALUE!</v>
      </c>
      <c r="Q1037">
        <f t="shared" si="49"/>
        <v>10</v>
      </c>
      <c r="R1037">
        <f t="shared" si="50"/>
        <v>5</v>
      </c>
    </row>
    <row r="1038" spans="1:21" x14ac:dyDescent="0.25">
      <c r="A1038" s="7">
        <v>12</v>
      </c>
      <c r="B1038" s="7">
        <v>100</v>
      </c>
      <c r="C1038" s="7">
        <v>4</v>
      </c>
      <c r="D1038" s="8" t="s">
        <v>246</v>
      </c>
      <c r="E1038" s="7">
        <v>54</v>
      </c>
      <c r="F1038" s="9" t="s">
        <v>17</v>
      </c>
      <c r="G1038" s="13" t="s">
        <v>60</v>
      </c>
      <c r="H1038" s="11" t="s">
        <v>61</v>
      </c>
      <c r="I1038" s="7">
        <v>21.5</v>
      </c>
      <c r="J1038" s="15">
        <v>6.8436625529514998</v>
      </c>
      <c r="K1038" s="7">
        <v>4</v>
      </c>
      <c r="L1038" s="7">
        <v>9</v>
      </c>
      <c r="M1038" s="7"/>
      <c r="N1038" s="12" t="s">
        <v>20</v>
      </c>
      <c r="O1038" s="12" t="s">
        <v>16</v>
      </c>
      <c r="P1038" s="31" t="e">
        <f t="shared" si="48"/>
        <v>#VALUE!</v>
      </c>
      <c r="Q1038">
        <f t="shared" si="49"/>
        <v>10</v>
      </c>
      <c r="R1038">
        <f t="shared" si="50"/>
        <v>5</v>
      </c>
    </row>
    <row r="1039" spans="1:21" x14ac:dyDescent="0.25">
      <c r="A1039" s="7">
        <v>8</v>
      </c>
      <c r="B1039" s="7">
        <v>500</v>
      </c>
      <c r="C1039" s="8">
        <v>4</v>
      </c>
      <c r="D1039" s="8">
        <v>50</v>
      </c>
      <c r="E1039" s="8">
        <v>55</v>
      </c>
      <c r="F1039" s="9" t="s">
        <v>17</v>
      </c>
      <c r="G1039" s="13" t="s">
        <v>60</v>
      </c>
      <c r="H1039" s="11" t="s">
        <v>61</v>
      </c>
      <c r="I1039" s="7">
        <v>93</v>
      </c>
      <c r="J1039" s="15">
        <v>29.602819415092533</v>
      </c>
      <c r="K1039" s="7">
        <v>8</v>
      </c>
      <c r="L1039" s="8">
        <v>13</v>
      </c>
      <c r="M1039" s="7"/>
      <c r="N1039" s="12" t="s">
        <v>20</v>
      </c>
      <c r="O1039" s="12" t="s">
        <v>16</v>
      </c>
      <c r="P1039" s="57" t="str">
        <f t="shared" si="48"/>
        <v>un fuste</v>
      </c>
      <c r="Q1039">
        <f t="shared" si="49"/>
        <v>12.5</v>
      </c>
      <c r="R1039">
        <f t="shared" si="50"/>
        <v>30</v>
      </c>
      <c r="S1039">
        <v>3</v>
      </c>
      <c r="T1039" t="s">
        <v>278</v>
      </c>
      <c r="U1039">
        <v>0.45962075141712921</v>
      </c>
    </row>
    <row r="1040" spans="1:21" x14ac:dyDescent="0.25">
      <c r="A1040" s="7">
        <v>12</v>
      </c>
      <c r="B1040" s="7">
        <v>100</v>
      </c>
      <c r="C1040" s="7">
        <v>4</v>
      </c>
      <c r="D1040" s="8">
        <v>36</v>
      </c>
      <c r="E1040" s="7">
        <v>55</v>
      </c>
      <c r="F1040" s="9" t="s">
        <v>17</v>
      </c>
      <c r="G1040" s="13" t="s">
        <v>60</v>
      </c>
      <c r="H1040" s="11" t="s">
        <v>61</v>
      </c>
      <c r="I1040" s="7">
        <v>25.5</v>
      </c>
      <c r="J1040" s="15">
        <v>8.1169020976866619</v>
      </c>
      <c r="K1040" s="7">
        <v>4</v>
      </c>
      <c r="L1040" s="7">
        <v>10</v>
      </c>
      <c r="M1040" s="7"/>
      <c r="N1040" s="12" t="s">
        <v>29</v>
      </c>
      <c r="O1040" s="12" t="s">
        <v>16</v>
      </c>
      <c r="P1040" s="57" t="str">
        <f t="shared" si="48"/>
        <v>un fuste</v>
      </c>
      <c r="Q1040">
        <f t="shared" si="49"/>
        <v>10</v>
      </c>
      <c r="R1040">
        <f t="shared" si="50"/>
        <v>10</v>
      </c>
    </row>
    <row r="1041" spans="1:21" x14ac:dyDescent="0.25">
      <c r="A1041" s="7">
        <v>12</v>
      </c>
      <c r="B1041" s="7">
        <v>100</v>
      </c>
      <c r="C1041" s="8">
        <v>4</v>
      </c>
      <c r="D1041" s="8" t="s">
        <v>115</v>
      </c>
      <c r="E1041" s="8">
        <v>56</v>
      </c>
      <c r="F1041" s="17" t="s">
        <v>17</v>
      </c>
      <c r="G1041" s="10" t="s">
        <v>60</v>
      </c>
      <c r="H1041" s="11" t="s">
        <v>61</v>
      </c>
      <c r="I1041" s="7">
        <v>21.5</v>
      </c>
      <c r="J1041" s="15">
        <v>6.8436625529514998</v>
      </c>
      <c r="K1041" s="7">
        <v>3</v>
      </c>
      <c r="L1041" s="8">
        <v>10</v>
      </c>
      <c r="M1041" s="7"/>
      <c r="N1041" s="12" t="s">
        <v>20</v>
      </c>
      <c r="O1041" s="12" t="s">
        <v>16</v>
      </c>
      <c r="P1041" s="31" t="e">
        <f t="shared" si="48"/>
        <v>#VALUE!</v>
      </c>
      <c r="Q1041">
        <f t="shared" si="49"/>
        <v>10</v>
      </c>
      <c r="R1041">
        <f t="shared" si="50"/>
        <v>5</v>
      </c>
    </row>
    <row r="1042" spans="1:21" x14ac:dyDescent="0.25">
      <c r="A1042" s="7">
        <v>12</v>
      </c>
      <c r="B1042" s="7">
        <v>100</v>
      </c>
      <c r="C1042" s="8">
        <v>4</v>
      </c>
      <c r="D1042" s="8">
        <v>37</v>
      </c>
      <c r="E1042" s="8">
        <v>57</v>
      </c>
      <c r="F1042" s="9" t="s">
        <v>17</v>
      </c>
      <c r="G1042" s="10" t="s">
        <v>60</v>
      </c>
      <c r="H1042" s="11" t="s">
        <v>61</v>
      </c>
      <c r="I1042" s="8">
        <v>22</v>
      </c>
      <c r="J1042" s="15">
        <v>7.0028174960433951</v>
      </c>
      <c r="K1042" s="8">
        <v>4</v>
      </c>
      <c r="L1042" s="8">
        <v>9</v>
      </c>
      <c r="M1042" s="7"/>
      <c r="N1042" s="12" t="s">
        <v>29</v>
      </c>
      <c r="O1042" s="12" t="s">
        <v>16</v>
      </c>
      <c r="P1042" s="57" t="str">
        <f t="shared" si="48"/>
        <v>un fuste</v>
      </c>
      <c r="Q1042">
        <f t="shared" si="49"/>
        <v>10</v>
      </c>
      <c r="R1042">
        <f t="shared" si="50"/>
        <v>5</v>
      </c>
    </row>
    <row r="1043" spans="1:21" x14ac:dyDescent="0.25">
      <c r="A1043" s="7">
        <v>12</v>
      </c>
      <c r="B1043" s="7">
        <v>100</v>
      </c>
      <c r="C1043" s="7">
        <v>4</v>
      </c>
      <c r="D1043" s="8" t="s">
        <v>247</v>
      </c>
      <c r="E1043" s="7">
        <v>58</v>
      </c>
      <c r="F1043" s="9" t="s">
        <v>17</v>
      </c>
      <c r="G1043" s="13" t="s">
        <v>60</v>
      </c>
      <c r="H1043" s="11" t="s">
        <v>61</v>
      </c>
      <c r="I1043" s="7">
        <v>20.5</v>
      </c>
      <c r="J1043" s="15">
        <v>6.5253526667677093</v>
      </c>
      <c r="K1043" s="7">
        <v>5</v>
      </c>
      <c r="L1043" s="7">
        <v>9</v>
      </c>
      <c r="M1043" s="7"/>
      <c r="N1043" s="12" t="s">
        <v>20</v>
      </c>
      <c r="O1043" s="12" t="s">
        <v>16</v>
      </c>
      <c r="P1043" s="31" t="e">
        <f t="shared" si="48"/>
        <v>#VALUE!</v>
      </c>
      <c r="Q1043">
        <f t="shared" si="49"/>
        <v>10</v>
      </c>
      <c r="R1043">
        <f t="shared" si="50"/>
        <v>5</v>
      </c>
    </row>
    <row r="1044" spans="1:21" x14ac:dyDescent="0.25">
      <c r="A1044" s="7">
        <v>8</v>
      </c>
      <c r="B1044" s="7">
        <v>500</v>
      </c>
      <c r="C1044" s="7">
        <v>4</v>
      </c>
      <c r="D1044" s="8">
        <v>56</v>
      </c>
      <c r="E1044" s="7">
        <v>61</v>
      </c>
      <c r="F1044" s="9" t="s">
        <v>17</v>
      </c>
      <c r="G1044" s="10" t="s">
        <v>60</v>
      </c>
      <c r="H1044" s="11" t="s">
        <v>61</v>
      </c>
      <c r="I1044" s="7">
        <v>72</v>
      </c>
      <c r="J1044" s="15">
        <v>22.918311805232928</v>
      </c>
      <c r="K1044" s="7">
        <v>5</v>
      </c>
      <c r="L1044" s="7">
        <v>12</v>
      </c>
      <c r="M1044" s="7"/>
      <c r="N1044" s="12" t="s">
        <v>20</v>
      </c>
      <c r="O1044" s="12" t="s">
        <v>16</v>
      </c>
      <c r="P1044" s="57" t="str">
        <f t="shared" si="48"/>
        <v>un fuste</v>
      </c>
      <c r="Q1044">
        <f t="shared" si="49"/>
        <v>12.5</v>
      </c>
      <c r="R1044">
        <f t="shared" si="50"/>
        <v>25</v>
      </c>
      <c r="S1044">
        <v>3</v>
      </c>
      <c r="T1044" t="s">
        <v>278</v>
      </c>
      <c r="U1044">
        <v>0.25730661503793956</v>
      </c>
    </row>
    <row r="1045" spans="1:21" x14ac:dyDescent="0.25">
      <c r="A1045" s="7">
        <v>8</v>
      </c>
      <c r="B1045" s="7">
        <v>500</v>
      </c>
      <c r="C1045" s="8">
        <v>4</v>
      </c>
      <c r="D1045" s="8" t="s">
        <v>216</v>
      </c>
      <c r="E1045" s="8">
        <v>62</v>
      </c>
      <c r="F1045" s="9" t="s">
        <v>17</v>
      </c>
      <c r="G1045" s="10" t="s">
        <v>60</v>
      </c>
      <c r="H1045" s="11" t="s">
        <v>61</v>
      </c>
      <c r="I1045" s="7">
        <v>66</v>
      </c>
      <c r="J1045" s="15">
        <v>21.008452488130185</v>
      </c>
      <c r="K1045" s="7">
        <v>7</v>
      </c>
      <c r="L1045" s="8">
        <v>12</v>
      </c>
      <c r="M1045" s="7"/>
      <c r="N1045" s="12" t="s">
        <v>20</v>
      </c>
      <c r="O1045" s="12" t="s">
        <v>16</v>
      </c>
      <c r="P1045" s="31" t="e">
        <f t="shared" si="48"/>
        <v>#VALUE!</v>
      </c>
      <c r="Q1045">
        <f t="shared" si="49"/>
        <v>12.5</v>
      </c>
      <c r="R1045">
        <f t="shared" si="50"/>
        <v>20</v>
      </c>
      <c r="S1045">
        <v>3</v>
      </c>
      <c r="T1045" t="s">
        <v>278</v>
      </c>
      <c r="U1045">
        <v>0.21753183404963372</v>
      </c>
    </row>
    <row r="1046" spans="1:21" x14ac:dyDescent="0.25">
      <c r="A1046" s="7">
        <v>3</v>
      </c>
      <c r="B1046" s="7">
        <v>500</v>
      </c>
      <c r="C1046" s="7">
        <v>4</v>
      </c>
      <c r="D1046" s="8">
        <v>54</v>
      </c>
      <c r="E1046" s="7">
        <v>63</v>
      </c>
      <c r="F1046" s="9" t="s">
        <v>17</v>
      </c>
      <c r="G1046" s="13" t="s">
        <v>60</v>
      </c>
      <c r="H1046" s="11" t="s">
        <v>61</v>
      </c>
      <c r="I1046" s="7">
        <v>96.5</v>
      </c>
      <c r="J1046" s="15">
        <v>30.7169040167358</v>
      </c>
      <c r="K1046" s="7">
        <v>4</v>
      </c>
      <c r="L1046" s="7">
        <v>13</v>
      </c>
      <c r="M1046" s="7"/>
      <c r="N1046" s="12" t="s">
        <v>20</v>
      </c>
      <c r="O1046" s="12" t="s">
        <v>16</v>
      </c>
      <c r="P1046" s="57" t="str">
        <f t="shared" si="48"/>
        <v>un fuste</v>
      </c>
      <c r="Q1046">
        <f t="shared" si="49"/>
        <v>12.5</v>
      </c>
      <c r="R1046">
        <f t="shared" si="50"/>
        <v>30</v>
      </c>
      <c r="S1046">
        <v>3</v>
      </c>
      <c r="T1046" t="s">
        <v>278</v>
      </c>
      <c r="U1046">
        <v>0.49358691980838382</v>
      </c>
    </row>
    <row r="1047" spans="1:21" x14ac:dyDescent="0.25">
      <c r="A1047" s="7">
        <v>8</v>
      </c>
      <c r="B1047" s="7">
        <v>500</v>
      </c>
      <c r="C1047" s="8">
        <v>4</v>
      </c>
      <c r="D1047" s="8" t="s">
        <v>217</v>
      </c>
      <c r="E1047" s="8">
        <v>63</v>
      </c>
      <c r="F1047" s="17" t="s">
        <v>17</v>
      </c>
      <c r="G1047" s="10" t="s">
        <v>60</v>
      </c>
      <c r="H1047" s="11" t="s">
        <v>61</v>
      </c>
      <c r="I1047" s="7">
        <v>50</v>
      </c>
      <c r="J1047" s="15">
        <v>15.915494309189533</v>
      </c>
      <c r="K1047" s="7">
        <v>5.5</v>
      </c>
      <c r="L1047" s="8">
        <v>10</v>
      </c>
      <c r="M1047" s="7"/>
      <c r="N1047" s="12" t="s">
        <v>20</v>
      </c>
      <c r="O1047" s="12" t="s">
        <v>16</v>
      </c>
      <c r="P1047" s="31" t="e">
        <f t="shared" si="48"/>
        <v>#VALUE!</v>
      </c>
      <c r="Q1047">
        <f t="shared" si="49"/>
        <v>10</v>
      </c>
      <c r="R1047">
        <f t="shared" si="50"/>
        <v>15</v>
      </c>
      <c r="S1047">
        <v>3</v>
      </c>
      <c r="T1047" t="s">
        <v>278</v>
      </c>
      <c r="U1047">
        <v>0.10460381040135047</v>
      </c>
    </row>
    <row r="1048" spans="1:21" x14ac:dyDescent="0.25">
      <c r="A1048" s="7">
        <v>8</v>
      </c>
      <c r="B1048" s="7">
        <v>500</v>
      </c>
      <c r="C1048" s="8">
        <v>4</v>
      </c>
      <c r="D1048" s="8">
        <v>57</v>
      </c>
      <c r="E1048" s="8">
        <v>64</v>
      </c>
      <c r="F1048" s="9" t="s">
        <v>17</v>
      </c>
      <c r="G1048" s="10" t="s">
        <v>60</v>
      </c>
      <c r="H1048" s="11" t="s">
        <v>61</v>
      </c>
      <c r="I1048" s="8">
        <v>50.5</v>
      </c>
      <c r="J1048" s="15">
        <v>16.074649252281429</v>
      </c>
      <c r="K1048" s="8">
        <v>4</v>
      </c>
      <c r="L1048" s="8">
        <v>13</v>
      </c>
      <c r="M1048" s="7"/>
      <c r="N1048" s="12" t="s">
        <v>20</v>
      </c>
      <c r="O1048" s="12" t="s">
        <v>16</v>
      </c>
      <c r="P1048" s="57" t="str">
        <f t="shared" si="48"/>
        <v>un fuste</v>
      </c>
      <c r="Q1048">
        <f t="shared" si="49"/>
        <v>12.5</v>
      </c>
      <c r="R1048">
        <f t="shared" si="50"/>
        <v>15</v>
      </c>
      <c r="S1048">
        <v>3</v>
      </c>
      <c r="T1048" t="s">
        <v>278</v>
      </c>
      <c r="U1048">
        <v>0.14145115960112314</v>
      </c>
    </row>
    <row r="1049" spans="1:21" x14ac:dyDescent="0.25">
      <c r="A1049" s="7">
        <v>1</v>
      </c>
      <c r="B1049" s="7">
        <v>500</v>
      </c>
      <c r="C1049" s="7">
        <v>4</v>
      </c>
      <c r="D1049" s="8">
        <v>21</v>
      </c>
      <c r="E1049" s="7">
        <v>24</v>
      </c>
      <c r="F1049" s="9" t="s">
        <v>76</v>
      </c>
      <c r="G1049" s="13" t="s">
        <v>77</v>
      </c>
      <c r="H1049" s="11" t="s">
        <v>78</v>
      </c>
      <c r="I1049" s="7">
        <v>35</v>
      </c>
      <c r="J1049" s="15">
        <v>11.140846016432674</v>
      </c>
      <c r="K1049" s="7">
        <v>3</v>
      </c>
      <c r="L1049" s="7">
        <v>10</v>
      </c>
      <c r="M1049" s="7"/>
      <c r="N1049" s="12" t="s">
        <v>20</v>
      </c>
      <c r="O1049" s="12" t="s">
        <v>16</v>
      </c>
      <c r="P1049" s="57" t="str">
        <f t="shared" si="48"/>
        <v>un fuste</v>
      </c>
      <c r="Q1049">
        <f t="shared" si="49"/>
        <v>10</v>
      </c>
      <c r="R1049">
        <f t="shared" si="50"/>
        <v>10</v>
      </c>
      <c r="S1049">
        <v>14</v>
      </c>
      <c r="T1049" t="s">
        <v>273</v>
      </c>
      <c r="U1049">
        <v>6.2370344105770845E-2</v>
      </c>
    </row>
    <row r="1050" spans="1:21" x14ac:dyDescent="0.25">
      <c r="A1050" s="7">
        <v>12</v>
      </c>
      <c r="B1050" s="7">
        <v>5</v>
      </c>
      <c r="C1050" s="7"/>
      <c r="D1050" s="8">
        <v>6</v>
      </c>
      <c r="E1050" s="7">
        <v>6</v>
      </c>
      <c r="F1050" s="9" t="s">
        <v>229</v>
      </c>
      <c r="G1050" s="13" t="s">
        <v>230</v>
      </c>
      <c r="H1050" s="11" t="s">
        <v>231</v>
      </c>
      <c r="I1050" s="7"/>
      <c r="J1050" s="7"/>
      <c r="K1050" s="7"/>
      <c r="L1050" s="7">
        <v>5</v>
      </c>
      <c r="M1050" s="7" t="e">
        <v>#REF!</v>
      </c>
      <c r="N1050" s="12"/>
      <c r="O1050" s="12" t="s">
        <v>16</v>
      </c>
      <c r="P1050" s="57" t="str">
        <f t="shared" si="48"/>
        <v>un fuste</v>
      </c>
      <c r="Q1050">
        <f t="shared" si="49"/>
        <v>5</v>
      </c>
      <c r="R1050">
        <f t="shared" si="50"/>
        <v>5</v>
      </c>
    </row>
    <row r="1051" spans="1:21" x14ac:dyDescent="0.25">
      <c r="A1051" s="7">
        <v>7</v>
      </c>
      <c r="B1051" s="7">
        <v>500</v>
      </c>
      <c r="C1051" s="8">
        <v>1</v>
      </c>
      <c r="D1051" s="8">
        <v>2</v>
      </c>
      <c r="E1051" s="8">
        <v>2</v>
      </c>
      <c r="F1051" s="9" t="s">
        <v>33</v>
      </c>
      <c r="G1051" s="10" t="s">
        <v>291</v>
      </c>
      <c r="H1051" s="16" t="s">
        <v>34</v>
      </c>
      <c r="I1051" s="7">
        <v>65</v>
      </c>
      <c r="J1051" s="15">
        <v>20.690142601946395</v>
      </c>
      <c r="K1051" s="7">
        <v>4</v>
      </c>
      <c r="L1051" s="8">
        <v>7</v>
      </c>
      <c r="M1051" s="7"/>
      <c r="N1051" s="12" t="s">
        <v>35</v>
      </c>
      <c r="O1051" s="12" t="s">
        <v>16</v>
      </c>
      <c r="P1051" s="57" t="str">
        <f t="shared" si="48"/>
        <v>un fuste</v>
      </c>
      <c r="Q1051">
        <f t="shared" si="49"/>
        <v>7.5</v>
      </c>
      <c r="R1051">
        <f t="shared" si="50"/>
        <v>20</v>
      </c>
    </row>
    <row r="1052" spans="1:21" x14ac:dyDescent="0.25">
      <c r="A1052" s="7">
        <v>1</v>
      </c>
      <c r="B1052" s="7">
        <v>500</v>
      </c>
      <c r="C1052" s="7">
        <v>2</v>
      </c>
      <c r="D1052" s="8">
        <v>4</v>
      </c>
      <c r="E1052" s="7">
        <v>5</v>
      </c>
      <c r="F1052" s="9" t="s">
        <v>33</v>
      </c>
      <c r="G1052" s="13" t="s">
        <v>291</v>
      </c>
      <c r="H1052" s="16" t="s">
        <v>34</v>
      </c>
      <c r="I1052" s="7">
        <v>64</v>
      </c>
      <c r="J1052" s="15">
        <v>20.371832715762604</v>
      </c>
      <c r="K1052" s="7">
        <v>1.8</v>
      </c>
      <c r="L1052" s="7">
        <v>5</v>
      </c>
      <c r="M1052" s="7"/>
      <c r="N1052" s="12" t="s">
        <v>35</v>
      </c>
      <c r="O1052" s="12" t="s">
        <v>16</v>
      </c>
      <c r="P1052" s="57" t="str">
        <f t="shared" si="48"/>
        <v>un fuste</v>
      </c>
      <c r="Q1052">
        <f t="shared" si="49"/>
        <v>5</v>
      </c>
      <c r="R1052">
        <f t="shared" si="50"/>
        <v>20</v>
      </c>
    </row>
    <row r="1053" spans="1:21" x14ac:dyDescent="0.25">
      <c r="A1053" s="7">
        <v>8</v>
      </c>
      <c r="B1053" s="7">
        <v>500</v>
      </c>
      <c r="C1053" s="8">
        <v>1</v>
      </c>
      <c r="D1053" s="8">
        <v>6</v>
      </c>
      <c r="E1053" s="8">
        <v>7</v>
      </c>
      <c r="F1053" s="17" t="s">
        <v>33</v>
      </c>
      <c r="G1053" s="10" t="s">
        <v>291</v>
      </c>
      <c r="H1053" s="16" t="s">
        <v>34</v>
      </c>
      <c r="I1053" s="7">
        <v>64</v>
      </c>
      <c r="J1053" s="15">
        <v>20.371832715762604</v>
      </c>
      <c r="K1053" s="7">
        <v>6</v>
      </c>
      <c r="L1053" s="8">
        <v>8</v>
      </c>
      <c r="M1053" s="7"/>
      <c r="N1053" s="12" t="s">
        <v>20</v>
      </c>
      <c r="O1053" s="12" t="s">
        <v>16</v>
      </c>
      <c r="P1053" s="57" t="str">
        <f t="shared" si="48"/>
        <v>un fuste</v>
      </c>
      <c r="Q1053">
        <f t="shared" si="49"/>
        <v>7.5</v>
      </c>
      <c r="R1053">
        <f t="shared" si="50"/>
        <v>20</v>
      </c>
    </row>
    <row r="1054" spans="1:21" x14ac:dyDescent="0.25">
      <c r="A1054" s="7">
        <v>10</v>
      </c>
      <c r="B1054" s="7">
        <v>500</v>
      </c>
      <c r="C1054" s="7">
        <v>3</v>
      </c>
      <c r="D1054" s="8">
        <v>12</v>
      </c>
      <c r="E1054" s="7">
        <v>12</v>
      </c>
      <c r="F1054" s="9" t="s">
        <v>33</v>
      </c>
      <c r="G1054" s="10" t="s">
        <v>291</v>
      </c>
      <c r="H1054" s="16" t="s">
        <v>34</v>
      </c>
      <c r="I1054" s="7">
        <v>34</v>
      </c>
      <c r="J1054" s="15">
        <v>10.822536130248883</v>
      </c>
      <c r="K1054" s="7">
        <v>1.3</v>
      </c>
      <c r="L1054" s="7">
        <v>5.5</v>
      </c>
      <c r="M1054" s="7"/>
      <c r="N1054" s="12" t="s">
        <v>20</v>
      </c>
      <c r="O1054" s="12" t="s">
        <v>16</v>
      </c>
      <c r="P1054" s="57" t="str">
        <f t="shared" si="48"/>
        <v>un fuste</v>
      </c>
      <c r="Q1054">
        <f t="shared" si="49"/>
        <v>5</v>
      </c>
      <c r="R1054">
        <f t="shared" si="50"/>
        <v>10</v>
      </c>
    </row>
    <row r="1055" spans="1:21" x14ac:dyDescent="0.25">
      <c r="A1055" s="7">
        <v>11</v>
      </c>
      <c r="B1055" s="7">
        <v>500</v>
      </c>
      <c r="C1055" s="8">
        <v>3</v>
      </c>
      <c r="D1055" s="8">
        <v>11</v>
      </c>
      <c r="E1055" s="8">
        <v>12</v>
      </c>
      <c r="F1055" s="9" t="s">
        <v>33</v>
      </c>
      <c r="G1055" s="13" t="s">
        <v>291</v>
      </c>
      <c r="H1055" s="16" t="s">
        <v>34</v>
      </c>
      <c r="I1055" s="7">
        <v>50</v>
      </c>
      <c r="J1055" s="15">
        <v>15.915494309189533</v>
      </c>
      <c r="K1055" s="7">
        <v>5</v>
      </c>
      <c r="L1055" s="8">
        <v>8</v>
      </c>
      <c r="M1055" s="7"/>
      <c r="N1055" s="12" t="s">
        <v>20</v>
      </c>
      <c r="O1055" s="12" t="s">
        <v>16</v>
      </c>
      <c r="P1055" s="57" t="str">
        <f t="shared" si="48"/>
        <v>un fuste</v>
      </c>
      <c r="Q1055">
        <f t="shared" si="49"/>
        <v>7.5</v>
      </c>
      <c r="R1055">
        <f t="shared" si="50"/>
        <v>15</v>
      </c>
    </row>
    <row r="1056" spans="1:21" x14ac:dyDescent="0.25">
      <c r="A1056" s="7">
        <v>3</v>
      </c>
      <c r="B1056" s="7">
        <v>500</v>
      </c>
      <c r="C1056" s="7">
        <v>2</v>
      </c>
      <c r="D1056" s="8">
        <v>23</v>
      </c>
      <c r="E1056" s="7">
        <v>23</v>
      </c>
      <c r="F1056" s="9" t="s">
        <v>33</v>
      </c>
      <c r="G1056" s="13" t="s">
        <v>291</v>
      </c>
      <c r="H1056" s="16" t="s">
        <v>34</v>
      </c>
      <c r="I1056" s="7">
        <v>55</v>
      </c>
      <c r="J1056" s="15">
        <v>17.507043740108486</v>
      </c>
      <c r="K1056" s="7">
        <v>5</v>
      </c>
      <c r="L1056" s="7">
        <v>8</v>
      </c>
      <c r="M1056" s="7"/>
      <c r="N1056" s="12" t="s">
        <v>20</v>
      </c>
      <c r="O1056" s="12" t="s">
        <v>16</v>
      </c>
      <c r="P1056" s="57" t="str">
        <f t="shared" si="48"/>
        <v>un fuste</v>
      </c>
      <c r="Q1056">
        <f t="shared" si="49"/>
        <v>7.5</v>
      </c>
      <c r="R1056">
        <f t="shared" si="50"/>
        <v>20</v>
      </c>
    </row>
    <row r="1057" spans="1:18" x14ac:dyDescent="0.25">
      <c r="A1057" s="7">
        <v>7</v>
      </c>
      <c r="B1057" s="7">
        <v>500</v>
      </c>
      <c r="C1057" s="7">
        <v>2</v>
      </c>
      <c r="D1057" s="8">
        <v>22</v>
      </c>
      <c r="E1057" s="7">
        <v>25</v>
      </c>
      <c r="F1057" s="9" t="s">
        <v>33</v>
      </c>
      <c r="G1057" s="13" t="s">
        <v>291</v>
      </c>
      <c r="H1057" s="32" t="s">
        <v>34</v>
      </c>
      <c r="I1057" s="7">
        <v>72</v>
      </c>
      <c r="J1057" s="15">
        <v>22.918311805232928</v>
      </c>
      <c r="K1057" s="7">
        <v>8</v>
      </c>
      <c r="L1057" s="7">
        <v>14</v>
      </c>
      <c r="M1057" s="7"/>
      <c r="N1057" s="12" t="s">
        <v>20</v>
      </c>
      <c r="O1057" s="12" t="s">
        <v>16</v>
      </c>
      <c r="P1057" s="57" t="str">
        <f t="shared" si="48"/>
        <v>un fuste</v>
      </c>
      <c r="Q1057">
        <f t="shared" si="49"/>
        <v>15</v>
      </c>
      <c r="R1057">
        <f t="shared" si="50"/>
        <v>25</v>
      </c>
    </row>
    <row r="1058" spans="1:18" x14ac:dyDescent="0.25">
      <c r="A1058" s="7">
        <v>7</v>
      </c>
      <c r="B1058" s="7">
        <v>500</v>
      </c>
      <c r="C1058" s="8">
        <v>4</v>
      </c>
      <c r="D1058" s="8">
        <v>43</v>
      </c>
      <c r="E1058" s="8">
        <v>46</v>
      </c>
      <c r="F1058" s="17" t="s">
        <v>33</v>
      </c>
      <c r="G1058" s="10" t="s">
        <v>291</v>
      </c>
      <c r="H1058" s="16" t="s">
        <v>34</v>
      </c>
      <c r="I1058" s="7">
        <v>80</v>
      </c>
      <c r="J1058" s="15">
        <v>25.464790894703256</v>
      </c>
      <c r="K1058" s="7">
        <v>3.5</v>
      </c>
      <c r="L1058" s="8">
        <v>8</v>
      </c>
      <c r="M1058" s="7"/>
      <c r="N1058" s="12" t="s">
        <v>20</v>
      </c>
      <c r="O1058" s="12" t="s">
        <v>16</v>
      </c>
      <c r="P1058" s="57" t="str">
        <f t="shared" si="48"/>
        <v>un fuste</v>
      </c>
      <c r="Q1058">
        <f t="shared" si="49"/>
        <v>7.5</v>
      </c>
      <c r="R1058">
        <f t="shared" si="50"/>
        <v>25</v>
      </c>
    </row>
    <row r="1059" spans="1:18" x14ac:dyDescent="0.25">
      <c r="A1059" s="7">
        <v>7</v>
      </c>
      <c r="B1059" s="7">
        <v>500</v>
      </c>
      <c r="C1059" s="7">
        <v>4</v>
      </c>
      <c r="D1059" s="8">
        <v>44</v>
      </c>
      <c r="E1059" s="7">
        <v>47</v>
      </c>
      <c r="F1059" s="9" t="s">
        <v>33</v>
      </c>
      <c r="G1059" s="10" t="s">
        <v>291</v>
      </c>
      <c r="H1059" s="16" t="s">
        <v>34</v>
      </c>
      <c r="I1059" s="7">
        <v>55</v>
      </c>
      <c r="J1059" s="15">
        <v>17.507043740108486</v>
      </c>
      <c r="K1059" s="7">
        <v>6</v>
      </c>
      <c r="L1059" s="7">
        <v>9</v>
      </c>
      <c r="M1059" s="7"/>
      <c r="N1059" s="12" t="s">
        <v>20</v>
      </c>
      <c r="O1059" s="12" t="s">
        <v>16</v>
      </c>
      <c r="P1059" s="57" t="str">
        <f t="shared" si="48"/>
        <v>un fuste</v>
      </c>
      <c r="Q1059">
        <f t="shared" si="49"/>
        <v>10</v>
      </c>
      <c r="R1059">
        <f t="shared" si="50"/>
        <v>20</v>
      </c>
    </row>
    <row r="1060" spans="1:18" x14ac:dyDescent="0.25">
      <c r="A1060" s="7">
        <v>9</v>
      </c>
      <c r="B1060" s="7">
        <v>100</v>
      </c>
      <c r="C1060" s="7">
        <v>1</v>
      </c>
      <c r="D1060" s="8">
        <v>1</v>
      </c>
      <c r="E1060" s="7">
        <v>1</v>
      </c>
      <c r="F1060" s="9" t="s">
        <v>17</v>
      </c>
      <c r="G1060" s="10" t="s">
        <v>221</v>
      </c>
      <c r="H1060" s="11" t="s">
        <v>222</v>
      </c>
      <c r="I1060" s="7">
        <v>22</v>
      </c>
      <c r="J1060" s="15">
        <v>7.0028174960433951</v>
      </c>
      <c r="K1060" s="7">
        <v>7.5</v>
      </c>
      <c r="L1060" s="7">
        <v>9</v>
      </c>
      <c r="M1060" s="7"/>
      <c r="N1060" s="12" t="s">
        <v>20</v>
      </c>
      <c r="O1060" s="12" t="s">
        <v>16</v>
      </c>
      <c r="P1060" s="57" t="str">
        <f t="shared" si="48"/>
        <v>un fuste</v>
      </c>
      <c r="Q1060">
        <f t="shared" si="49"/>
        <v>10</v>
      </c>
      <c r="R1060">
        <f t="shared" si="50"/>
        <v>5</v>
      </c>
    </row>
    <row r="1061" spans="1:18" x14ac:dyDescent="0.25">
      <c r="A1061" s="7">
        <v>9</v>
      </c>
      <c r="B1061" s="7">
        <v>100</v>
      </c>
      <c r="C1061" s="8">
        <v>1</v>
      </c>
      <c r="D1061" s="8">
        <v>4</v>
      </c>
      <c r="E1061" s="8">
        <v>4</v>
      </c>
      <c r="F1061" s="9" t="s">
        <v>17</v>
      </c>
      <c r="G1061" s="10" t="s">
        <v>221</v>
      </c>
      <c r="H1061" s="11" t="s">
        <v>222</v>
      </c>
      <c r="I1061" s="7">
        <v>27</v>
      </c>
      <c r="J1061" s="15">
        <v>8.5943669269623477</v>
      </c>
      <c r="K1061" s="7">
        <v>5</v>
      </c>
      <c r="L1061" s="8">
        <v>10</v>
      </c>
      <c r="M1061" s="7"/>
      <c r="N1061" s="12" t="s">
        <v>20</v>
      </c>
      <c r="O1061" s="12" t="s">
        <v>16</v>
      </c>
      <c r="P1061" s="57" t="str">
        <f t="shared" si="48"/>
        <v>un fuste</v>
      </c>
      <c r="Q1061">
        <f t="shared" si="49"/>
        <v>10</v>
      </c>
      <c r="R1061">
        <f t="shared" si="50"/>
        <v>10</v>
      </c>
    </row>
    <row r="1062" spans="1:18" x14ac:dyDescent="0.25">
      <c r="A1062" s="7">
        <v>9</v>
      </c>
      <c r="B1062" s="7">
        <v>100</v>
      </c>
      <c r="C1062" s="7">
        <v>1</v>
      </c>
      <c r="D1062" s="8">
        <v>6</v>
      </c>
      <c r="E1062" s="7">
        <v>6</v>
      </c>
      <c r="F1062" s="9" t="s">
        <v>17</v>
      </c>
      <c r="G1062" s="10" t="s">
        <v>221</v>
      </c>
      <c r="H1062" s="11" t="s">
        <v>222</v>
      </c>
      <c r="I1062" s="7">
        <v>18.5</v>
      </c>
      <c r="J1062" s="15">
        <v>5.8887328944001274</v>
      </c>
      <c r="K1062" s="7">
        <v>7</v>
      </c>
      <c r="L1062" s="7">
        <v>10</v>
      </c>
      <c r="M1062" s="7"/>
      <c r="N1062" s="12" t="s">
        <v>20</v>
      </c>
      <c r="O1062" s="12" t="s">
        <v>16</v>
      </c>
      <c r="P1062" s="57" t="str">
        <f t="shared" si="48"/>
        <v>un fuste</v>
      </c>
      <c r="Q1062">
        <f t="shared" si="49"/>
        <v>10</v>
      </c>
      <c r="R1062">
        <f t="shared" si="50"/>
        <v>5</v>
      </c>
    </row>
    <row r="1063" spans="1:18" x14ac:dyDescent="0.25">
      <c r="A1063" s="7">
        <v>12</v>
      </c>
      <c r="B1063" s="7">
        <v>5</v>
      </c>
      <c r="C1063" s="8"/>
      <c r="D1063" s="8">
        <v>7</v>
      </c>
      <c r="E1063" s="8">
        <v>7</v>
      </c>
      <c r="F1063" s="17" t="s">
        <v>229</v>
      </c>
      <c r="G1063" s="10" t="s">
        <v>230</v>
      </c>
      <c r="H1063" s="11" t="s">
        <v>231</v>
      </c>
      <c r="I1063" s="7"/>
      <c r="J1063" s="7"/>
      <c r="K1063" s="7"/>
      <c r="L1063" s="8">
        <v>5</v>
      </c>
      <c r="M1063" s="7" t="e">
        <v>#REF!</v>
      </c>
      <c r="N1063" s="12"/>
      <c r="O1063" s="12" t="s">
        <v>16</v>
      </c>
      <c r="P1063" s="57" t="str">
        <f t="shared" si="48"/>
        <v>un fuste</v>
      </c>
      <c r="Q1063">
        <f t="shared" si="49"/>
        <v>5</v>
      </c>
      <c r="R1063">
        <f t="shared" si="50"/>
        <v>5</v>
      </c>
    </row>
    <row r="1064" spans="1:18" x14ac:dyDescent="0.25">
      <c r="A1064" s="7">
        <v>12</v>
      </c>
      <c r="B1064" s="7">
        <v>5</v>
      </c>
      <c r="C1064" s="7"/>
      <c r="D1064" s="8">
        <v>8</v>
      </c>
      <c r="E1064" s="7">
        <v>8</v>
      </c>
      <c r="F1064" s="9" t="s">
        <v>36</v>
      </c>
      <c r="G1064" s="13" t="s">
        <v>37</v>
      </c>
      <c r="H1064" s="11" t="s">
        <v>38</v>
      </c>
      <c r="I1064" s="7"/>
      <c r="J1064" s="7"/>
      <c r="K1064" s="7"/>
      <c r="L1064" s="7">
        <v>2.4</v>
      </c>
      <c r="M1064" s="7" t="e">
        <v>#REF!</v>
      </c>
      <c r="N1064" s="12"/>
      <c r="O1064" s="12" t="s">
        <v>16</v>
      </c>
      <c r="P1064" s="57" t="str">
        <f t="shared" si="48"/>
        <v>un fuste</v>
      </c>
      <c r="Q1064">
        <f t="shared" si="49"/>
        <v>2.5</v>
      </c>
      <c r="R1064">
        <f t="shared" si="50"/>
        <v>5</v>
      </c>
    </row>
    <row r="1065" spans="1:18" x14ac:dyDescent="0.25">
      <c r="A1065" s="7">
        <v>9</v>
      </c>
      <c r="B1065" s="7">
        <v>100</v>
      </c>
      <c r="C1065" s="8">
        <v>1</v>
      </c>
      <c r="D1065" s="8">
        <v>8</v>
      </c>
      <c r="E1065" s="8">
        <v>8</v>
      </c>
      <c r="F1065" s="9" t="s">
        <v>17</v>
      </c>
      <c r="G1065" s="10" t="s">
        <v>221</v>
      </c>
      <c r="H1065" s="11" t="s">
        <v>222</v>
      </c>
      <c r="I1065" s="7">
        <v>17</v>
      </c>
      <c r="J1065" s="15">
        <v>5.4112680651244416</v>
      </c>
      <c r="K1065" s="7">
        <v>7</v>
      </c>
      <c r="L1065" s="8">
        <v>9</v>
      </c>
      <c r="M1065" s="7"/>
      <c r="N1065" s="12" t="s">
        <v>20</v>
      </c>
      <c r="O1065" s="12" t="s">
        <v>16</v>
      </c>
      <c r="P1065" s="57" t="str">
        <f t="shared" si="48"/>
        <v>un fuste</v>
      </c>
      <c r="Q1065">
        <f t="shared" si="49"/>
        <v>10</v>
      </c>
      <c r="R1065">
        <f t="shared" si="50"/>
        <v>5</v>
      </c>
    </row>
    <row r="1066" spans="1:18" x14ac:dyDescent="0.25">
      <c r="A1066" s="7">
        <v>12</v>
      </c>
      <c r="B1066" s="7">
        <v>5</v>
      </c>
      <c r="C1066" s="7"/>
      <c r="D1066" s="8">
        <v>9</v>
      </c>
      <c r="E1066" s="7">
        <v>9</v>
      </c>
      <c r="F1066" s="9" t="s">
        <v>90</v>
      </c>
      <c r="G1066" s="13" t="s">
        <v>177</v>
      </c>
      <c r="H1066" s="11" t="s">
        <v>178</v>
      </c>
      <c r="I1066" s="7"/>
      <c r="J1066" s="7"/>
      <c r="K1066" s="7"/>
      <c r="L1066" s="7">
        <v>1.2</v>
      </c>
      <c r="M1066" s="7" t="e">
        <v>#REF!</v>
      </c>
      <c r="N1066" s="12"/>
      <c r="O1066" s="12" t="s">
        <v>16</v>
      </c>
      <c r="P1066" s="57" t="str">
        <f t="shared" si="48"/>
        <v>un fuste</v>
      </c>
      <c r="Q1066">
        <f t="shared" si="49"/>
        <v>2.5</v>
      </c>
      <c r="R1066">
        <f t="shared" si="50"/>
        <v>5</v>
      </c>
    </row>
    <row r="1067" spans="1:18" x14ac:dyDescent="0.25">
      <c r="A1067" s="7">
        <v>12</v>
      </c>
      <c r="B1067" s="7">
        <v>5</v>
      </c>
      <c r="C1067" s="7"/>
      <c r="D1067" s="8">
        <v>10</v>
      </c>
      <c r="E1067" s="7">
        <v>10</v>
      </c>
      <c r="F1067" s="9" t="s">
        <v>90</v>
      </c>
      <c r="G1067" s="10" t="s">
        <v>177</v>
      </c>
      <c r="H1067" s="11" t="s">
        <v>178</v>
      </c>
      <c r="I1067" s="7"/>
      <c r="J1067" s="7"/>
      <c r="K1067" s="7"/>
      <c r="L1067" s="7">
        <v>1.2</v>
      </c>
      <c r="M1067" s="7" t="e">
        <v>#REF!</v>
      </c>
      <c r="N1067" s="12"/>
      <c r="O1067" s="12" t="s">
        <v>16</v>
      </c>
      <c r="P1067" s="57" t="str">
        <f t="shared" si="48"/>
        <v>un fuste</v>
      </c>
      <c r="Q1067">
        <f t="shared" si="49"/>
        <v>2.5</v>
      </c>
      <c r="R1067">
        <f t="shared" si="50"/>
        <v>5</v>
      </c>
    </row>
    <row r="1068" spans="1:18" x14ac:dyDescent="0.25">
      <c r="A1068" s="7">
        <v>12</v>
      </c>
      <c r="B1068" s="7">
        <v>5</v>
      </c>
      <c r="C1068" s="8"/>
      <c r="D1068" s="8">
        <v>11</v>
      </c>
      <c r="E1068" s="8">
        <v>11</v>
      </c>
      <c r="F1068" s="17" t="s">
        <v>152</v>
      </c>
      <c r="G1068" s="10" t="s">
        <v>232</v>
      </c>
      <c r="H1068" s="11" t="s">
        <v>233</v>
      </c>
      <c r="I1068" s="7"/>
      <c r="J1068" s="7"/>
      <c r="K1068" s="7"/>
      <c r="L1068" s="8">
        <v>9</v>
      </c>
      <c r="M1068" s="7" t="e">
        <v>#REF!</v>
      </c>
      <c r="N1068" s="12"/>
      <c r="O1068" s="12" t="s">
        <v>16</v>
      </c>
      <c r="P1068" s="57" t="str">
        <f t="shared" si="48"/>
        <v>un fuste</v>
      </c>
      <c r="Q1068">
        <f t="shared" si="49"/>
        <v>10</v>
      </c>
      <c r="R1068">
        <f t="shared" si="50"/>
        <v>5</v>
      </c>
    </row>
    <row r="1069" spans="1:18" x14ac:dyDescent="0.25">
      <c r="A1069" s="7">
        <v>9</v>
      </c>
      <c r="B1069" s="7">
        <v>100</v>
      </c>
      <c r="C1069" s="8">
        <v>2</v>
      </c>
      <c r="D1069" s="8">
        <v>14</v>
      </c>
      <c r="E1069" s="8">
        <v>14</v>
      </c>
      <c r="F1069" s="9" t="s">
        <v>17</v>
      </c>
      <c r="G1069" s="10" t="s">
        <v>221</v>
      </c>
      <c r="H1069" s="11" t="s">
        <v>222</v>
      </c>
      <c r="I1069" s="7">
        <v>17</v>
      </c>
      <c r="J1069" s="15">
        <v>5.4112680651244416</v>
      </c>
      <c r="K1069" s="7">
        <v>9</v>
      </c>
      <c r="L1069" s="8">
        <v>12</v>
      </c>
      <c r="M1069" s="7"/>
      <c r="N1069" s="12" t="s">
        <v>20</v>
      </c>
      <c r="O1069" s="12" t="s">
        <v>16</v>
      </c>
      <c r="P1069" s="57" t="str">
        <f t="shared" si="48"/>
        <v>un fuste</v>
      </c>
      <c r="Q1069">
        <f t="shared" si="49"/>
        <v>12.5</v>
      </c>
      <c r="R1069">
        <f t="shared" si="50"/>
        <v>5</v>
      </c>
    </row>
    <row r="1070" spans="1:18" x14ac:dyDescent="0.25">
      <c r="A1070" s="7">
        <v>9</v>
      </c>
      <c r="B1070" s="7">
        <v>100</v>
      </c>
      <c r="C1070" s="7">
        <v>2</v>
      </c>
      <c r="D1070" s="8">
        <v>16</v>
      </c>
      <c r="E1070" s="7">
        <v>16</v>
      </c>
      <c r="F1070" s="9" t="s">
        <v>17</v>
      </c>
      <c r="G1070" s="13" t="s">
        <v>221</v>
      </c>
      <c r="H1070" s="11" t="s">
        <v>222</v>
      </c>
      <c r="I1070" s="7">
        <v>19.5</v>
      </c>
      <c r="J1070" s="15">
        <v>6.2070427805839179</v>
      </c>
      <c r="K1070" s="7">
        <v>4</v>
      </c>
      <c r="L1070" s="7">
        <v>9</v>
      </c>
      <c r="M1070" s="7"/>
      <c r="N1070" s="12" t="s">
        <v>20</v>
      </c>
      <c r="O1070" s="12" t="s">
        <v>16</v>
      </c>
      <c r="P1070" s="57" t="str">
        <f t="shared" si="48"/>
        <v>un fuste</v>
      </c>
      <c r="Q1070">
        <f t="shared" si="49"/>
        <v>10</v>
      </c>
      <c r="R1070">
        <f t="shared" si="50"/>
        <v>5</v>
      </c>
    </row>
    <row r="1071" spans="1:18" x14ac:dyDescent="0.25">
      <c r="A1071" s="7">
        <v>9</v>
      </c>
      <c r="B1071" s="7">
        <v>100</v>
      </c>
      <c r="C1071" s="7">
        <v>2</v>
      </c>
      <c r="D1071" s="8">
        <v>18</v>
      </c>
      <c r="E1071" s="7">
        <v>18</v>
      </c>
      <c r="F1071" s="9" t="s">
        <v>17</v>
      </c>
      <c r="G1071" s="10" t="s">
        <v>221</v>
      </c>
      <c r="H1071" s="11" t="s">
        <v>222</v>
      </c>
      <c r="I1071" s="7">
        <v>18</v>
      </c>
      <c r="J1071" s="15">
        <v>5.7295779513082321</v>
      </c>
      <c r="K1071" s="7">
        <v>5</v>
      </c>
      <c r="L1071" s="7">
        <v>8</v>
      </c>
      <c r="M1071" s="7"/>
      <c r="N1071" s="12" t="s">
        <v>20</v>
      </c>
      <c r="O1071" s="12" t="s">
        <v>16</v>
      </c>
      <c r="P1071" s="57" t="str">
        <f t="shared" si="48"/>
        <v>un fuste</v>
      </c>
      <c r="Q1071">
        <f t="shared" si="49"/>
        <v>7.5</v>
      </c>
      <c r="R1071">
        <f t="shared" si="50"/>
        <v>5</v>
      </c>
    </row>
    <row r="1072" spans="1:18" x14ac:dyDescent="0.25">
      <c r="A1072" s="7">
        <v>12</v>
      </c>
      <c r="B1072" s="7">
        <v>5</v>
      </c>
      <c r="C1072" s="7"/>
      <c r="D1072" s="8">
        <v>12</v>
      </c>
      <c r="E1072" s="7">
        <v>12</v>
      </c>
      <c r="F1072" s="9" t="s">
        <v>152</v>
      </c>
      <c r="G1072" s="10" t="s">
        <v>153</v>
      </c>
      <c r="H1072" s="11" t="s">
        <v>154</v>
      </c>
      <c r="I1072" s="7"/>
      <c r="J1072" s="7"/>
      <c r="K1072" s="7"/>
      <c r="L1072" s="7">
        <v>5</v>
      </c>
      <c r="M1072" s="7" t="e">
        <v>#REF!</v>
      </c>
      <c r="N1072" s="12"/>
      <c r="O1072" s="12" t="s">
        <v>16</v>
      </c>
      <c r="P1072" s="57" t="str">
        <f t="shared" si="48"/>
        <v>un fuste</v>
      </c>
      <c r="Q1072">
        <f t="shared" si="49"/>
        <v>5</v>
      </c>
      <c r="R1072">
        <f t="shared" si="50"/>
        <v>5</v>
      </c>
    </row>
    <row r="1073" spans="1:21" x14ac:dyDescent="0.25">
      <c r="A1073" s="7">
        <v>9</v>
      </c>
      <c r="B1073" s="7">
        <v>100</v>
      </c>
      <c r="C1073" s="8">
        <v>2</v>
      </c>
      <c r="D1073" s="8">
        <v>22</v>
      </c>
      <c r="E1073" s="8">
        <v>22</v>
      </c>
      <c r="F1073" s="17" t="s">
        <v>17</v>
      </c>
      <c r="G1073" s="10" t="s">
        <v>221</v>
      </c>
      <c r="H1073" s="11" t="s">
        <v>222</v>
      </c>
      <c r="I1073" s="7">
        <v>18.5</v>
      </c>
      <c r="J1073" s="15">
        <v>5.8887328944001274</v>
      </c>
      <c r="K1073" s="7">
        <v>8</v>
      </c>
      <c r="L1073" s="8">
        <v>11</v>
      </c>
      <c r="M1073" s="7"/>
      <c r="N1073" s="12" t="s">
        <v>20</v>
      </c>
      <c r="O1073" s="12" t="s">
        <v>16</v>
      </c>
      <c r="P1073" s="57" t="str">
        <f t="shared" si="48"/>
        <v>un fuste</v>
      </c>
      <c r="Q1073">
        <f t="shared" si="49"/>
        <v>10</v>
      </c>
      <c r="R1073">
        <f t="shared" si="50"/>
        <v>5</v>
      </c>
    </row>
    <row r="1074" spans="1:21" x14ac:dyDescent="0.25">
      <c r="A1074" s="7">
        <v>12</v>
      </c>
      <c r="B1074" s="7">
        <v>5</v>
      </c>
      <c r="C1074" s="7"/>
      <c r="D1074" s="8">
        <v>13</v>
      </c>
      <c r="E1074" s="7">
        <v>13</v>
      </c>
      <c r="F1074" s="9" t="s">
        <v>168</v>
      </c>
      <c r="G1074" s="13" t="s">
        <v>169</v>
      </c>
      <c r="H1074" s="11" t="s">
        <v>170</v>
      </c>
      <c r="I1074" s="7"/>
      <c r="J1074" s="7"/>
      <c r="K1074" s="7"/>
      <c r="L1074" s="7">
        <v>0.8</v>
      </c>
      <c r="M1074" s="7" t="e">
        <v>#REF!</v>
      </c>
      <c r="N1074" s="12"/>
      <c r="O1074" s="12" t="s">
        <v>16</v>
      </c>
      <c r="P1074" s="57" t="str">
        <f t="shared" si="48"/>
        <v>un fuste</v>
      </c>
      <c r="Q1074">
        <f t="shared" si="49"/>
        <v>2.5</v>
      </c>
      <c r="R1074">
        <f t="shared" si="50"/>
        <v>5</v>
      </c>
    </row>
    <row r="1075" spans="1:21" x14ac:dyDescent="0.25">
      <c r="A1075" s="7">
        <v>12</v>
      </c>
      <c r="B1075" s="7">
        <v>5</v>
      </c>
      <c r="C1075" s="7"/>
      <c r="D1075" s="8">
        <v>14</v>
      </c>
      <c r="E1075" s="7">
        <v>14</v>
      </c>
      <c r="F1075" s="9" t="s">
        <v>152</v>
      </c>
      <c r="G1075" s="10" t="s">
        <v>232</v>
      </c>
      <c r="H1075" s="11" t="s">
        <v>233</v>
      </c>
      <c r="I1075" s="7"/>
      <c r="J1075" s="7"/>
      <c r="K1075" s="7"/>
      <c r="L1075" s="7">
        <v>4</v>
      </c>
      <c r="M1075" s="7" t="e">
        <v>#REF!</v>
      </c>
      <c r="N1075" s="12"/>
      <c r="O1075" s="12" t="s">
        <v>16</v>
      </c>
      <c r="P1075" s="57" t="str">
        <f t="shared" si="48"/>
        <v>un fuste</v>
      </c>
      <c r="Q1075">
        <f t="shared" si="49"/>
        <v>5</v>
      </c>
      <c r="R1075">
        <f t="shared" si="50"/>
        <v>5</v>
      </c>
    </row>
    <row r="1076" spans="1:21" x14ac:dyDescent="0.25">
      <c r="A1076" s="7">
        <v>12</v>
      </c>
      <c r="B1076" s="7">
        <v>5</v>
      </c>
      <c r="C1076" s="7"/>
      <c r="D1076" s="8">
        <v>15</v>
      </c>
      <c r="E1076" s="7">
        <v>15</v>
      </c>
      <c r="F1076" s="9" t="s">
        <v>152</v>
      </c>
      <c r="G1076" s="13" t="s">
        <v>232</v>
      </c>
      <c r="H1076" s="11" t="s">
        <v>233</v>
      </c>
      <c r="I1076" s="7"/>
      <c r="J1076" s="7"/>
      <c r="K1076" s="7"/>
      <c r="L1076" s="7">
        <v>8</v>
      </c>
      <c r="M1076" s="7" t="e">
        <v>#REF!</v>
      </c>
      <c r="N1076" s="12"/>
      <c r="O1076" s="12" t="s">
        <v>16</v>
      </c>
      <c r="P1076" s="57" t="str">
        <f t="shared" si="48"/>
        <v>un fuste</v>
      </c>
      <c r="Q1076">
        <f t="shared" si="49"/>
        <v>7.5</v>
      </c>
      <c r="R1076">
        <f t="shared" si="50"/>
        <v>5</v>
      </c>
    </row>
    <row r="1077" spans="1:21" x14ac:dyDescent="0.25">
      <c r="A1077" s="7">
        <v>9</v>
      </c>
      <c r="B1077" s="7">
        <v>500</v>
      </c>
      <c r="C1077" s="8">
        <v>4</v>
      </c>
      <c r="D1077" s="8">
        <v>24</v>
      </c>
      <c r="E1077" s="8">
        <v>27</v>
      </c>
      <c r="F1077" s="9" t="s">
        <v>17</v>
      </c>
      <c r="G1077" s="13" t="s">
        <v>221</v>
      </c>
      <c r="H1077" s="14" t="s">
        <v>222</v>
      </c>
      <c r="I1077" s="7">
        <v>32</v>
      </c>
      <c r="J1077" s="15">
        <v>10.185916357881302</v>
      </c>
      <c r="K1077" s="7">
        <v>6</v>
      </c>
      <c r="L1077" s="8">
        <v>12</v>
      </c>
      <c r="M1077" s="7"/>
      <c r="N1077" s="12" t="s">
        <v>20</v>
      </c>
      <c r="O1077" s="12" t="s">
        <v>16</v>
      </c>
      <c r="P1077" s="57" t="str">
        <f t="shared" si="48"/>
        <v>un fuste</v>
      </c>
      <c r="Q1077">
        <f t="shared" si="49"/>
        <v>12.5</v>
      </c>
      <c r="R1077">
        <f t="shared" si="50"/>
        <v>10</v>
      </c>
      <c r="S1077">
        <v>5</v>
      </c>
      <c r="T1077" t="s">
        <v>271</v>
      </c>
      <c r="U1077">
        <v>5.9436373519664056E-2</v>
      </c>
    </row>
    <row r="1078" spans="1:21" x14ac:dyDescent="0.25">
      <c r="A1078" s="7">
        <v>10</v>
      </c>
      <c r="B1078" s="7">
        <v>100</v>
      </c>
      <c r="C1078" s="8">
        <v>3</v>
      </c>
      <c r="D1078" s="8">
        <v>36</v>
      </c>
      <c r="E1078" s="8">
        <v>36</v>
      </c>
      <c r="F1078" s="17" t="s">
        <v>17</v>
      </c>
      <c r="G1078" s="10" t="s">
        <v>221</v>
      </c>
      <c r="H1078" s="11" t="s">
        <v>222</v>
      </c>
      <c r="I1078" s="7">
        <v>22</v>
      </c>
      <c r="J1078" s="15">
        <v>7.0028174960433951</v>
      </c>
      <c r="K1078" s="7">
        <v>6</v>
      </c>
      <c r="L1078" s="8">
        <v>9</v>
      </c>
      <c r="M1078" s="7"/>
      <c r="N1078" s="12" t="s">
        <v>20</v>
      </c>
      <c r="O1078" s="12" t="s">
        <v>16</v>
      </c>
      <c r="P1078" s="57" t="str">
        <f t="shared" si="48"/>
        <v>un fuste</v>
      </c>
      <c r="Q1078">
        <f t="shared" si="49"/>
        <v>10</v>
      </c>
      <c r="R1078">
        <f t="shared" si="50"/>
        <v>5</v>
      </c>
    </row>
    <row r="1079" spans="1:21" x14ac:dyDescent="0.25">
      <c r="A1079" s="7">
        <v>9</v>
      </c>
      <c r="B1079" s="7">
        <v>100</v>
      </c>
      <c r="C1079" s="7">
        <v>4</v>
      </c>
      <c r="D1079" s="8">
        <v>42</v>
      </c>
      <c r="E1079" s="7">
        <v>42</v>
      </c>
      <c r="F1079" s="9" t="s">
        <v>17</v>
      </c>
      <c r="G1079" s="13" t="s">
        <v>221</v>
      </c>
      <c r="H1079" s="11" t="s">
        <v>222</v>
      </c>
      <c r="I1079" s="7">
        <v>23.5</v>
      </c>
      <c r="J1079" s="15">
        <v>7.4802823253190809</v>
      </c>
      <c r="K1079" s="7">
        <v>8</v>
      </c>
      <c r="L1079" s="7">
        <v>12</v>
      </c>
      <c r="M1079" s="7"/>
      <c r="N1079" s="12" t="s">
        <v>20</v>
      </c>
      <c r="O1079" s="12" t="s">
        <v>16</v>
      </c>
      <c r="P1079" s="57" t="str">
        <f t="shared" si="48"/>
        <v>un fuste</v>
      </c>
      <c r="Q1079">
        <f t="shared" si="49"/>
        <v>12.5</v>
      </c>
      <c r="R1079">
        <f t="shared" si="50"/>
        <v>5</v>
      </c>
    </row>
    <row r="1080" spans="1:21" x14ac:dyDescent="0.25">
      <c r="A1080" s="7">
        <v>11</v>
      </c>
      <c r="B1080" s="7">
        <v>500</v>
      </c>
      <c r="C1080" s="7">
        <v>1</v>
      </c>
      <c r="D1080" s="8">
        <v>1</v>
      </c>
      <c r="E1080" s="7">
        <v>1</v>
      </c>
      <c r="F1080" s="9" t="s">
        <v>73</v>
      </c>
      <c r="G1080" s="13" t="s">
        <v>74</v>
      </c>
      <c r="H1080" s="11" t="s">
        <v>75</v>
      </c>
      <c r="I1080" s="7">
        <v>46</v>
      </c>
      <c r="J1080" s="15">
        <v>14.642254764454371</v>
      </c>
      <c r="K1080" s="7">
        <v>3.5</v>
      </c>
      <c r="L1080" s="7">
        <v>8</v>
      </c>
      <c r="M1080" s="7"/>
      <c r="N1080" s="12" t="s">
        <v>29</v>
      </c>
      <c r="O1080" s="12" t="s">
        <v>16</v>
      </c>
      <c r="P1080" s="57" t="str">
        <f t="shared" si="48"/>
        <v>un fuste</v>
      </c>
      <c r="Q1080">
        <f t="shared" si="49"/>
        <v>7.5</v>
      </c>
      <c r="R1080">
        <f t="shared" si="50"/>
        <v>15</v>
      </c>
      <c r="S1080">
        <v>17</v>
      </c>
      <c r="T1080" t="s">
        <v>273</v>
      </c>
      <c r="U1080">
        <v>8.139667044645249E-2</v>
      </c>
    </row>
    <row r="1081" spans="1:21" x14ac:dyDescent="0.25">
      <c r="A1081" s="7">
        <v>11</v>
      </c>
      <c r="B1081" s="7">
        <v>100</v>
      </c>
      <c r="C1081" s="7">
        <v>1</v>
      </c>
      <c r="D1081" s="8">
        <v>1</v>
      </c>
      <c r="E1081" s="7">
        <v>1</v>
      </c>
      <c r="F1081" s="9" t="s">
        <v>73</v>
      </c>
      <c r="G1081" s="13" t="s">
        <v>74</v>
      </c>
      <c r="H1081" s="11" t="s">
        <v>75</v>
      </c>
      <c r="I1081" s="7">
        <v>30</v>
      </c>
      <c r="J1081" s="15">
        <v>9.5492965855137211</v>
      </c>
      <c r="K1081" s="7">
        <v>3.5</v>
      </c>
      <c r="L1081" s="7">
        <v>8</v>
      </c>
      <c r="M1081" s="7"/>
      <c r="N1081" s="12" t="s">
        <v>20</v>
      </c>
      <c r="O1081" s="12" t="s">
        <v>16</v>
      </c>
      <c r="P1081" s="57" t="str">
        <f t="shared" si="48"/>
        <v>un fuste</v>
      </c>
      <c r="Q1081">
        <f t="shared" si="49"/>
        <v>7.5</v>
      </c>
      <c r="R1081">
        <f t="shared" si="50"/>
        <v>10</v>
      </c>
    </row>
    <row r="1082" spans="1:21" x14ac:dyDescent="0.25">
      <c r="A1082" s="7">
        <v>11</v>
      </c>
      <c r="B1082" s="7">
        <v>500</v>
      </c>
      <c r="C1082" s="8">
        <v>1</v>
      </c>
      <c r="D1082" s="8" t="s">
        <v>172</v>
      </c>
      <c r="E1082" s="8">
        <v>2</v>
      </c>
      <c r="F1082" s="9" t="s">
        <v>73</v>
      </c>
      <c r="G1082" s="21" t="s">
        <v>74</v>
      </c>
      <c r="H1082" s="14" t="s">
        <v>75</v>
      </c>
      <c r="I1082" s="7">
        <v>35.5</v>
      </c>
      <c r="J1082" s="15">
        <v>11.300000959524569</v>
      </c>
      <c r="K1082" s="7">
        <v>3</v>
      </c>
      <c r="L1082" s="8">
        <v>8</v>
      </c>
      <c r="M1082" s="7"/>
      <c r="N1082" s="12" t="s">
        <v>20</v>
      </c>
      <c r="O1082" s="12" t="s">
        <v>16</v>
      </c>
      <c r="P1082" s="31" t="e">
        <f t="shared" si="48"/>
        <v>#VALUE!</v>
      </c>
      <c r="Q1082">
        <f t="shared" si="49"/>
        <v>7.5</v>
      </c>
      <c r="R1082">
        <f t="shared" si="50"/>
        <v>10</v>
      </c>
      <c r="S1082">
        <v>17</v>
      </c>
      <c r="T1082" t="s">
        <v>273</v>
      </c>
      <c r="U1082">
        <v>5.0851898815852531E-2</v>
      </c>
    </row>
    <row r="1083" spans="1:21" x14ac:dyDescent="0.25">
      <c r="A1083" s="7">
        <v>11</v>
      </c>
      <c r="B1083" s="7">
        <v>100</v>
      </c>
      <c r="C1083" s="7">
        <v>1</v>
      </c>
      <c r="D1083" s="8">
        <v>2</v>
      </c>
      <c r="E1083" s="7">
        <v>2</v>
      </c>
      <c r="F1083" s="9" t="s">
        <v>73</v>
      </c>
      <c r="G1083" s="13" t="s">
        <v>74</v>
      </c>
      <c r="H1083" s="14" t="s">
        <v>75</v>
      </c>
      <c r="I1083" s="7">
        <v>24.5</v>
      </c>
      <c r="J1083" s="15">
        <v>7.7985922115028714</v>
      </c>
      <c r="K1083" s="7">
        <v>4</v>
      </c>
      <c r="L1083" s="7">
        <v>8</v>
      </c>
      <c r="M1083" s="7"/>
      <c r="N1083" s="12" t="s">
        <v>20</v>
      </c>
      <c r="O1083" s="12" t="s">
        <v>16</v>
      </c>
      <c r="P1083" s="57" t="str">
        <f t="shared" si="48"/>
        <v>un fuste</v>
      </c>
      <c r="Q1083">
        <f t="shared" si="49"/>
        <v>7.5</v>
      </c>
      <c r="R1083">
        <f t="shared" si="50"/>
        <v>10</v>
      </c>
    </row>
    <row r="1084" spans="1:21" x14ac:dyDescent="0.25">
      <c r="A1084" s="7">
        <v>6</v>
      </c>
      <c r="B1084" s="7">
        <v>500</v>
      </c>
      <c r="C1084" s="8">
        <v>1</v>
      </c>
      <c r="D1084" s="8">
        <v>3</v>
      </c>
      <c r="E1084" s="8">
        <v>3</v>
      </c>
      <c r="F1084" s="9" t="s">
        <v>73</v>
      </c>
      <c r="G1084" s="13" t="s">
        <v>74</v>
      </c>
      <c r="H1084" s="11" t="s">
        <v>75</v>
      </c>
      <c r="I1084" s="7">
        <v>35</v>
      </c>
      <c r="J1084" s="15">
        <v>11.140846016432674</v>
      </c>
      <c r="K1084" s="7">
        <v>6</v>
      </c>
      <c r="L1084" s="8">
        <v>10</v>
      </c>
      <c r="M1084" s="7"/>
      <c r="N1084" s="12" t="s">
        <v>29</v>
      </c>
      <c r="O1084" s="12" t="s">
        <v>16</v>
      </c>
      <c r="P1084" s="57" t="str">
        <f t="shared" si="48"/>
        <v>un fuste</v>
      </c>
      <c r="Q1084">
        <f t="shared" si="49"/>
        <v>10</v>
      </c>
      <c r="R1084">
        <f t="shared" si="50"/>
        <v>10</v>
      </c>
      <c r="S1084">
        <v>17</v>
      </c>
      <c r="T1084" t="s">
        <v>273</v>
      </c>
      <c r="U1084">
        <v>6.2370344105770845E-2</v>
      </c>
    </row>
    <row r="1085" spans="1:21" x14ac:dyDescent="0.25">
      <c r="A1085" s="7">
        <v>5</v>
      </c>
      <c r="B1085" s="7">
        <v>100</v>
      </c>
      <c r="C1085" s="7">
        <v>1</v>
      </c>
      <c r="D1085" s="8">
        <v>2</v>
      </c>
      <c r="E1085" s="7">
        <v>3</v>
      </c>
      <c r="F1085" s="9" t="s">
        <v>73</v>
      </c>
      <c r="G1085" s="13" t="s">
        <v>74</v>
      </c>
      <c r="H1085" s="14" t="s">
        <v>75</v>
      </c>
      <c r="I1085" s="7">
        <v>28</v>
      </c>
      <c r="J1085" s="15">
        <v>8.91267681314614</v>
      </c>
      <c r="K1085" s="7">
        <v>5</v>
      </c>
      <c r="L1085" s="7">
        <v>14</v>
      </c>
      <c r="M1085" s="7"/>
      <c r="N1085" s="12" t="s">
        <v>20</v>
      </c>
      <c r="O1085" s="12" t="s">
        <v>16</v>
      </c>
      <c r="P1085" s="57" t="str">
        <f t="shared" si="48"/>
        <v>un fuste</v>
      </c>
      <c r="Q1085">
        <f t="shared" si="49"/>
        <v>15</v>
      </c>
      <c r="R1085">
        <f t="shared" si="50"/>
        <v>10</v>
      </c>
    </row>
    <row r="1086" spans="1:21" x14ac:dyDescent="0.25">
      <c r="A1086" s="7">
        <v>8</v>
      </c>
      <c r="B1086" s="7">
        <v>100</v>
      </c>
      <c r="C1086" s="7">
        <v>1</v>
      </c>
      <c r="D1086" s="8">
        <v>3</v>
      </c>
      <c r="E1086" s="7">
        <v>3</v>
      </c>
      <c r="F1086" s="9" t="s">
        <v>73</v>
      </c>
      <c r="G1086" s="13" t="s">
        <v>74</v>
      </c>
      <c r="H1086" s="11" t="s">
        <v>75</v>
      </c>
      <c r="I1086" s="7">
        <v>19</v>
      </c>
      <c r="J1086" s="15">
        <v>6.0478878374920226</v>
      </c>
      <c r="K1086" s="7">
        <v>7</v>
      </c>
      <c r="L1086" s="7">
        <v>9</v>
      </c>
      <c r="M1086" s="7"/>
      <c r="N1086" s="12" t="s">
        <v>20</v>
      </c>
      <c r="O1086" s="12" t="s">
        <v>16</v>
      </c>
      <c r="P1086" s="57" t="str">
        <f t="shared" si="48"/>
        <v>un fuste</v>
      </c>
      <c r="Q1086">
        <f t="shared" si="49"/>
        <v>10</v>
      </c>
      <c r="R1086">
        <f t="shared" si="50"/>
        <v>5</v>
      </c>
    </row>
    <row r="1087" spans="1:21" x14ac:dyDescent="0.25">
      <c r="A1087" s="7">
        <v>5</v>
      </c>
      <c r="B1087" s="7">
        <v>500</v>
      </c>
      <c r="C1087" s="7">
        <v>1</v>
      </c>
      <c r="D1087" s="8">
        <v>4</v>
      </c>
      <c r="E1087" s="7">
        <v>4</v>
      </c>
      <c r="F1087" s="9" t="s">
        <v>73</v>
      </c>
      <c r="G1087" s="13" t="s">
        <v>74</v>
      </c>
      <c r="H1087" s="11" t="s">
        <v>75</v>
      </c>
      <c r="I1087" s="7">
        <v>37.5</v>
      </c>
      <c r="J1087" s="15">
        <v>11.93662073189215</v>
      </c>
      <c r="K1087" s="7">
        <v>6</v>
      </c>
      <c r="L1087" s="7">
        <v>10</v>
      </c>
      <c r="M1087" s="7"/>
      <c r="N1087" s="12" t="s">
        <v>20</v>
      </c>
      <c r="O1087" s="12" t="s">
        <v>16</v>
      </c>
      <c r="P1087" s="57" t="str">
        <f t="shared" si="48"/>
        <v>un fuste</v>
      </c>
      <c r="Q1087">
        <f t="shared" si="49"/>
        <v>10</v>
      </c>
      <c r="R1087">
        <f t="shared" si="50"/>
        <v>10</v>
      </c>
      <c r="S1087">
        <v>17</v>
      </c>
      <c r="T1087" t="s">
        <v>273</v>
      </c>
      <c r="U1087">
        <v>7.0693088734366083E-2</v>
      </c>
    </row>
    <row r="1088" spans="1:21" x14ac:dyDescent="0.25">
      <c r="A1088" s="7">
        <v>6</v>
      </c>
      <c r="B1088" s="7">
        <v>500</v>
      </c>
      <c r="C1088" s="8">
        <v>1</v>
      </c>
      <c r="D1088" s="8" t="s">
        <v>86</v>
      </c>
      <c r="E1088" s="8">
        <v>4</v>
      </c>
      <c r="F1088" s="9" t="s">
        <v>73</v>
      </c>
      <c r="G1088" s="13" t="s">
        <v>74</v>
      </c>
      <c r="H1088" s="14" t="s">
        <v>75</v>
      </c>
      <c r="I1088" s="8">
        <v>32.5</v>
      </c>
      <c r="J1088" s="15">
        <v>10.345071300973197</v>
      </c>
      <c r="K1088" s="8">
        <v>6</v>
      </c>
      <c r="L1088" s="8">
        <v>10</v>
      </c>
      <c r="M1088" s="7"/>
      <c r="N1088" s="12" t="s">
        <v>20</v>
      </c>
      <c r="O1088" s="12" t="s">
        <v>16</v>
      </c>
      <c r="P1088" s="31" t="e">
        <f t="shared" si="48"/>
        <v>#VALUE!</v>
      </c>
      <c r="Q1088">
        <f t="shared" si="49"/>
        <v>10</v>
      </c>
      <c r="R1088">
        <f t="shared" si="50"/>
        <v>10</v>
      </c>
      <c r="S1088">
        <v>17</v>
      </c>
      <c r="T1088" t="s">
        <v>273</v>
      </c>
      <c r="U1088">
        <v>5.451879130983666E-2</v>
      </c>
    </row>
    <row r="1089" spans="1:21" x14ac:dyDescent="0.25">
      <c r="A1089" s="7">
        <v>8</v>
      </c>
      <c r="B1089" s="7">
        <v>100</v>
      </c>
      <c r="C1089" s="8">
        <v>1</v>
      </c>
      <c r="D1089" s="8">
        <v>4</v>
      </c>
      <c r="E1089" s="8">
        <v>4</v>
      </c>
      <c r="F1089" s="9" t="s">
        <v>73</v>
      </c>
      <c r="G1089" s="13" t="s">
        <v>74</v>
      </c>
      <c r="H1089" s="14" t="s">
        <v>75</v>
      </c>
      <c r="I1089" s="8">
        <v>25</v>
      </c>
      <c r="J1089" s="15">
        <v>7.9577471545947667</v>
      </c>
      <c r="K1089" s="8">
        <v>4.5</v>
      </c>
      <c r="L1089" s="8">
        <v>9</v>
      </c>
      <c r="M1089" s="7"/>
      <c r="N1089" s="12" t="s">
        <v>20</v>
      </c>
      <c r="O1089" s="12" t="s">
        <v>16</v>
      </c>
      <c r="P1089" s="57" t="str">
        <f t="shared" si="48"/>
        <v>un fuste</v>
      </c>
      <c r="Q1089">
        <f t="shared" si="49"/>
        <v>10</v>
      </c>
      <c r="R1089">
        <f t="shared" si="50"/>
        <v>10</v>
      </c>
    </row>
    <row r="1090" spans="1:21" x14ac:dyDescent="0.25">
      <c r="A1090" s="7">
        <v>7</v>
      </c>
      <c r="B1090" s="7">
        <v>100</v>
      </c>
      <c r="C1090" s="8">
        <v>3</v>
      </c>
      <c r="D1090" s="8">
        <v>5</v>
      </c>
      <c r="E1090" s="8">
        <v>5</v>
      </c>
      <c r="F1090" s="9" t="s">
        <v>73</v>
      </c>
      <c r="G1090" s="13" t="s">
        <v>74</v>
      </c>
      <c r="H1090" s="14" t="s">
        <v>75</v>
      </c>
      <c r="I1090" s="8">
        <v>28</v>
      </c>
      <c r="J1090" s="15">
        <v>8.91267681314614</v>
      </c>
      <c r="K1090" s="8">
        <v>6.5</v>
      </c>
      <c r="L1090" s="8">
        <v>11</v>
      </c>
      <c r="M1090" s="7"/>
      <c r="N1090" s="12" t="s">
        <v>20</v>
      </c>
      <c r="O1090" s="12" t="s">
        <v>16</v>
      </c>
      <c r="P1090" s="57" t="str">
        <f t="shared" si="48"/>
        <v>un fuste</v>
      </c>
      <c r="Q1090">
        <f t="shared" si="49"/>
        <v>10</v>
      </c>
      <c r="R1090">
        <f t="shared" si="50"/>
        <v>10</v>
      </c>
    </row>
    <row r="1091" spans="1:21" x14ac:dyDescent="0.25">
      <c r="A1091" s="7">
        <v>8</v>
      </c>
      <c r="B1091" s="7">
        <v>500</v>
      </c>
      <c r="C1091" s="7">
        <v>1</v>
      </c>
      <c r="D1091" s="8">
        <v>5</v>
      </c>
      <c r="E1091" s="7">
        <v>6</v>
      </c>
      <c r="F1091" s="9" t="s">
        <v>73</v>
      </c>
      <c r="G1091" s="13" t="s">
        <v>74</v>
      </c>
      <c r="H1091" s="14" t="s">
        <v>75</v>
      </c>
      <c r="I1091" s="7">
        <v>36</v>
      </c>
      <c r="J1091" s="15">
        <v>11.459155902616464</v>
      </c>
      <c r="K1091" s="7">
        <v>1.8</v>
      </c>
      <c r="L1091" s="7">
        <v>10</v>
      </c>
      <c r="M1091" s="7"/>
      <c r="N1091" s="12" t="s">
        <v>20</v>
      </c>
      <c r="O1091" s="12" t="s">
        <v>16</v>
      </c>
      <c r="P1091" s="57" t="str">
        <f t="shared" ref="P1091:P1152" si="51">IF((D1091/D1091)=1,"un fuste","bifurcado")</f>
        <v>un fuste</v>
      </c>
      <c r="Q1091">
        <f t="shared" ref="Q1091:Q1152" si="52">IF(L1091&lt;3.75,2.5,IF(L1091&lt;6.25,5,IF(L1091&lt;8.74,7.5,IF(L1091&lt;11.24,10,IF(L1091&lt;13.75,12.5,IF(L1091&lt;16.25,15,IF(L1091&lt;18.75,17.5,IF(L1091&lt;21.25,20,IF(L1091&lt;23.75,22.5,IF(L1091&lt;26.25,25,IF(L1091&lt;28.75,27.5,IF(L1091&lt;31.25,30,IF(L1091&lt;33.75,32.5,IF(L1091&lt;36.25,35,IF(L1091&lt;38.75,37.5,IF(L1091&lt;41.24,40,IF(L1091&lt;43.75,42.5,IF(L1091&lt;46.25,45," "))))))))))))))))))</f>
        <v>10</v>
      </c>
      <c r="R1091">
        <f t="shared" ref="R1091:R1152" si="53">IF(J1091&lt;7.5,5,IF(J1091&lt;12.5,10,IF(J1091&lt;17.5,15,IF(J1091&lt;22.5,20,IF(J1091&lt;27.5,25,IF(J1091&lt;32.5,30,IF(J1091&lt;37.5,35,IF(J1091&lt;42.5,40,IF(J1091&lt;47.5,45,IF(J1091&lt;52.5,50,IF(J1091&lt;57.5,55,0)))))))))))</f>
        <v>10</v>
      </c>
      <c r="S1091">
        <v>17</v>
      </c>
      <c r="T1091" t="s">
        <v>273</v>
      </c>
      <c r="U1091">
        <v>6.5643243928823439E-2</v>
      </c>
    </row>
    <row r="1092" spans="1:21" x14ac:dyDescent="0.25">
      <c r="A1092" s="7">
        <v>7</v>
      </c>
      <c r="B1092" s="7">
        <v>500</v>
      </c>
      <c r="C1092" s="7">
        <v>1</v>
      </c>
      <c r="D1092" s="8">
        <v>6</v>
      </c>
      <c r="E1092" s="7">
        <v>7</v>
      </c>
      <c r="F1092" s="9" t="s">
        <v>73</v>
      </c>
      <c r="G1092" s="13" t="s">
        <v>74</v>
      </c>
      <c r="H1092" s="14" t="s">
        <v>75</v>
      </c>
      <c r="I1092" s="7">
        <v>123</v>
      </c>
      <c r="J1092" s="15">
        <v>39.152116000606256</v>
      </c>
      <c r="K1092" s="7">
        <v>6</v>
      </c>
      <c r="L1092" s="7">
        <v>13</v>
      </c>
      <c r="M1092" s="7"/>
      <c r="N1092" s="12" t="s">
        <v>20</v>
      </c>
      <c r="O1092" s="12" t="s">
        <v>183</v>
      </c>
      <c r="P1092" s="57" t="str">
        <f t="shared" si="51"/>
        <v>un fuste</v>
      </c>
      <c r="Q1092">
        <f t="shared" si="52"/>
        <v>12.5</v>
      </c>
      <c r="R1092">
        <f t="shared" si="53"/>
        <v>40</v>
      </c>
      <c r="S1092">
        <v>17</v>
      </c>
      <c r="T1092" t="s">
        <v>273</v>
      </c>
      <c r="U1092">
        <v>0.80050142259012025</v>
      </c>
    </row>
    <row r="1093" spans="1:21" x14ac:dyDescent="0.25">
      <c r="A1093" s="7">
        <v>8</v>
      </c>
      <c r="B1093" s="7">
        <v>100</v>
      </c>
      <c r="C1093" s="8">
        <v>1</v>
      </c>
      <c r="D1093" s="8">
        <v>7</v>
      </c>
      <c r="E1093" s="8">
        <v>7</v>
      </c>
      <c r="F1093" s="9" t="s">
        <v>73</v>
      </c>
      <c r="G1093" s="13" t="s">
        <v>74</v>
      </c>
      <c r="H1093" s="14" t="s">
        <v>75</v>
      </c>
      <c r="I1093" s="8">
        <v>28</v>
      </c>
      <c r="J1093" s="15">
        <v>8.91267681314614</v>
      </c>
      <c r="K1093" s="8">
        <v>6</v>
      </c>
      <c r="L1093" s="8">
        <v>9</v>
      </c>
      <c r="M1093" s="7"/>
      <c r="N1093" s="12" t="s">
        <v>20</v>
      </c>
      <c r="O1093" s="12" t="s">
        <v>16</v>
      </c>
      <c r="P1093" s="57" t="str">
        <f t="shared" si="51"/>
        <v>un fuste</v>
      </c>
      <c r="Q1093">
        <f t="shared" si="52"/>
        <v>10</v>
      </c>
      <c r="R1093">
        <f t="shared" si="53"/>
        <v>10</v>
      </c>
    </row>
    <row r="1094" spans="1:21" x14ac:dyDescent="0.25">
      <c r="A1094" s="7">
        <v>7</v>
      </c>
      <c r="B1094" s="7">
        <v>500</v>
      </c>
      <c r="C1094" s="8">
        <v>1</v>
      </c>
      <c r="D1094" s="8" t="s">
        <v>193</v>
      </c>
      <c r="E1094" s="8">
        <v>8</v>
      </c>
      <c r="F1094" s="9" t="s">
        <v>73</v>
      </c>
      <c r="G1094" s="10" t="s">
        <v>74</v>
      </c>
      <c r="H1094" s="11" t="s">
        <v>75</v>
      </c>
      <c r="I1094" s="7">
        <v>68</v>
      </c>
      <c r="J1094" s="15">
        <v>21.645072260497766</v>
      </c>
      <c r="K1094" s="7">
        <v>6</v>
      </c>
      <c r="L1094" s="7">
        <v>13</v>
      </c>
      <c r="M1094" s="7"/>
      <c r="N1094" s="12" t="s">
        <v>20</v>
      </c>
      <c r="O1094" s="12" t="s">
        <v>16</v>
      </c>
      <c r="P1094" s="31" t="e">
        <f t="shared" si="51"/>
        <v>#VALUE!</v>
      </c>
      <c r="Q1094">
        <f t="shared" si="52"/>
        <v>12.5</v>
      </c>
      <c r="R1094">
        <f t="shared" si="53"/>
        <v>20</v>
      </c>
      <c r="S1094">
        <v>17</v>
      </c>
      <c r="T1094" t="s">
        <v>273</v>
      </c>
      <c r="U1094">
        <v>0.27293188980277572</v>
      </c>
    </row>
    <row r="1095" spans="1:21" x14ac:dyDescent="0.25">
      <c r="A1095" s="7">
        <v>12</v>
      </c>
      <c r="B1095" s="7">
        <v>500</v>
      </c>
      <c r="C1095" s="8">
        <v>3</v>
      </c>
      <c r="D1095" s="8">
        <v>7</v>
      </c>
      <c r="E1095" s="8">
        <v>8</v>
      </c>
      <c r="F1095" s="9" t="s">
        <v>73</v>
      </c>
      <c r="G1095" s="10" t="s">
        <v>74</v>
      </c>
      <c r="H1095" s="11" t="s">
        <v>75</v>
      </c>
      <c r="I1095" s="8">
        <v>38.5</v>
      </c>
      <c r="J1095" s="15">
        <v>12.254930618075941</v>
      </c>
      <c r="K1095" s="8">
        <v>5</v>
      </c>
      <c r="L1095" s="8">
        <v>11</v>
      </c>
      <c r="M1095" s="7"/>
      <c r="N1095" s="12" t="s">
        <v>20</v>
      </c>
      <c r="O1095" s="12" t="s">
        <v>16</v>
      </c>
      <c r="P1095" s="57" t="str">
        <f t="shared" si="51"/>
        <v>un fuste</v>
      </c>
      <c r="Q1095">
        <f t="shared" si="52"/>
        <v>10</v>
      </c>
      <c r="R1095">
        <f t="shared" si="53"/>
        <v>10</v>
      </c>
      <c r="S1095">
        <v>17</v>
      </c>
      <c r="T1095" t="s">
        <v>273</v>
      </c>
      <c r="U1095">
        <v>8.1804648924443071E-2</v>
      </c>
    </row>
    <row r="1096" spans="1:21" x14ac:dyDescent="0.25">
      <c r="A1096" s="7">
        <v>7</v>
      </c>
      <c r="B1096" s="7">
        <v>500</v>
      </c>
      <c r="C1096" s="8">
        <v>1</v>
      </c>
      <c r="D1096" s="8" t="s">
        <v>194</v>
      </c>
      <c r="E1096" s="8">
        <v>9</v>
      </c>
      <c r="F1096" s="9" t="s">
        <v>73</v>
      </c>
      <c r="G1096" s="10" t="s">
        <v>74</v>
      </c>
      <c r="H1096" s="11" t="s">
        <v>75</v>
      </c>
      <c r="I1096" s="8">
        <v>58</v>
      </c>
      <c r="J1096" s="15">
        <v>18.461973398659861</v>
      </c>
      <c r="K1096" s="8">
        <v>1.8</v>
      </c>
      <c r="L1096" s="8">
        <v>12</v>
      </c>
      <c r="M1096" s="7"/>
      <c r="N1096" s="12" t="s">
        <v>20</v>
      </c>
      <c r="O1096" s="12" t="s">
        <v>16</v>
      </c>
      <c r="P1096" s="31" t="e">
        <f t="shared" si="51"/>
        <v>#VALUE!</v>
      </c>
      <c r="Q1096">
        <f t="shared" si="52"/>
        <v>12.5</v>
      </c>
      <c r="R1096">
        <f t="shared" si="53"/>
        <v>20</v>
      </c>
      <c r="S1096">
        <v>17</v>
      </c>
      <c r="T1096" t="s">
        <v>273</v>
      </c>
      <c r="U1096">
        <v>0.18828598348685746</v>
      </c>
    </row>
    <row r="1097" spans="1:21" x14ac:dyDescent="0.25">
      <c r="A1097" s="7">
        <v>12</v>
      </c>
      <c r="B1097" s="7">
        <v>500</v>
      </c>
      <c r="C1097" s="8">
        <v>3</v>
      </c>
      <c r="D1097" s="8">
        <v>9</v>
      </c>
      <c r="E1097" s="8">
        <v>10</v>
      </c>
      <c r="F1097" s="9" t="s">
        <v>73</v>
      </c>
      <c r="G1097" s="10" t="s">
        <v>74</v>
      </c>
      <c r="H1097" s="11" t="s">
        <v>75</v>
      </c>
      <c r="I1097" s="8">
        <v>33</v>
      </c>
      <c r="J1097" s="15">
        <v>10.504226244065093</v>
      </c>
      <c r="K1097" s="8">
        <v>4.5</v>
      </c>
      <c r="L1097" s="8">
        <v>10</v>
      </c>
      <c r="M1097" s="7"/>
      <c r="N1097" s="12" t="s">
        <v>20</v>
      </c>
      <c r="O1097" s="12" t="s">
        <v>16</v>
      </c>
      <c r="P1097" s="57" t="str">
        <f t="shared" si="51"/>
        <v>un fuste</v>
      </c>
      <c r="Q1097">
        <f t="shared" si="52"/>
        <v>10</v>
      </c>
      <c r="R1097">
        <f t="shared" si="53"/>
        <v>10</v>
      </c>
      <c r="S1097">
        <v>17</v>
      </c>
      <c r="T1097" t="s">
        <v>273</v>
      </c>
      <c r="U1097">
        <v>5.6051103143577655E-2</v>
      </c>
    </row>
    <row r="1098" spans="1:21" x14ac:dyDescent="0.25">
      <c r="A1098" s="7">
        <v>4</v>
      </c>
      <c r="B1098" s="7">
        <v>500</v>
      </c>
      <c r="C1098" s="8">
        <v>1</v>
      </c>
      <c r="D1098" s="8">
        <v>11</v>
      </c>
      <c r="E1098" s="8">
        <v>11</v>
      </c>
      <c r="F1098" s="9" t="s">
        <v>73</v>
      </c>
      <c r="G1098" s="13" t="s">
        <v>74</v>
      </c>
      <c r="H1098" s="14" t="s">
        <v>75</v>
      </c>
      <c r="I1098" s="8">
        <v>34</v>
      </c>
      <c r="J1098" s="15">
        <v>10.822536130248883</v>
      </c>
      <c r="K1098" s="8">
        <v>6</v>
      </c>
      <c r="L1098" s="8">
        <v>10</v>
      </c>
      <c r="M1098" s="7"/>
      <c r="N1098" s="12" t="s">
        <v>20</v>
      </c>
      <c r="O1098" s="12" t="s">
        <v>16</v>
      </c>
      <c r="P1098" s="57" t="str">
        <f t="shared" si="51"/>
        <v>un fuste</v>
      </c>
      <c r="Q1098">
        <f t="shared" si="52"/>
        <v>10</v>
      </c>
      <c r="R1098">
        <f t="shared" si="53"/>
        <v>10</v>
      </c>
      <c r="S1098">
        <v>17</v>
      </c>
      <c r="T1098" t="s">
        <v>273</v>
      </c>
      <c r="U1098">
        <v>5.9172829084870877E-2</v>
      </c>
    </row>
    <row r="1099" spans="1:21" x14ac:dyDescent="0.25">
      <c r="A1099" s="7">
        <v>5</v>
      </c>
      <c r="B1099" s="7">
        <v>500</v>
      </c>
      <c r="C1099" s="7">
        <v>1</v>
      </c>
      <c r="D1099" s="8">
        <v>11</v>
      </c>
      <c r="E1099" s="7">
        <v>11</v>
      </c>
      <c r="F1099" s="9" t="s">
        <v>73</v>
      </c>
      <c r="G1099" s="13" t="s">
        <v>74</v>
      </c>
      <c r="H1099" s="14" t="s">
        <v>75</v>
      </c>
      <c r="I1099" s="7">
        <v>36.5</v>
      </c>
      <c r="J1099" s="15">
        <v>11.618310845708359</v>
      </c>
      <c r="K1099" s="7">
        <v>3</v>
      </c>
      <c r="L1099" s="7">
        <v>9</v>
      </c>
      <c r="M1099" s="7"/>
      <c r="N1099" s="12" t="s">
        <v>29</v>
      </c>
      <c r="O1099" s="12" t="s">
        <v>16</v>
      </c>
      <c r="P1099" s="57" t="str">
        <f t="shared" si="51"/>
        <v>un fuste</v>
      </c>
      <c r="Q1099">
        <f t="shared" si="52"/>
        <v>10</v>
      </c>
      <c r="R1099">
        <f t="shared" si="53"/>
        <v>10</v>
      </c>
      <c r="S1099">
        <v>17</v>
      </c>
      <c r="T1099" t="s">
        <v>273</v>
      </c>
      <c r="U1099">
        <v>6.0383403395902875E-2</v>
      </c>
    </row>
    <row r="1100" spans="1:21" x14ac:dyDescent="0.25">
      <c r="A1100" s="7">
        <v>4</v>
      </c>
      <c r="B1100" s="7">
        <v>500</v>
      </c>
      <c r="C1100" s="8">
        <v>1</v>
      </c>
      <c r="D1100" s="8">
        <v>12</v>
      </c>
      <c r="E1100" s="8">
        <v>12</v>
      </c>
      <c r="F1100" s="9" t="s">
        <v>73</v>
      </c>
      <c r="G1100" s="13" t="s">
        <v>74</v>
      </c>
      <c r="H1100" s="14" t="s">
        <v>75</v>
      </c>
      <c r="I1100" s="8">
        <v>49.5</v>
      </c>
      <c r="J1100" s="15">
        <v>15.756339366097638</v>
      </c>
      <c r="K1100" s="8">
        <v>6</v>
      </c>
      <c r="L1100" s="8">
        <v>12</v>
      </c>
      <c r="M1100" s="7"/>
      <c r="N1100" s="12" t="s">
        <v>20</v>
      </c>
      <c r="O1100" s="12" t="s">
        <v>16</v>
      </c>
      <c r="P1100" s="57" t="str">
        <f t="shared" si="51"/>
        <v>un fuste</v>
      </c>
      <c r="Q1100">
        <f t="shared" si="52"/>
        <v>12.5</v>
      </c>
      <c r="R1100">
        <f t="shared" si="53"/>
        <v>15</v>
      </c>
      <c r="S1100">
        <v>17</v>
      </c>
      <c r="T1100" t="s">
        <v>273</v>
      </c>
      <c r="U1100">
        <v>0.141211108885963</v>
      </c>
    </row>
    <row r="1101" spans="1:21" x14ac:dyDescent="0.25">
      <c r="A1101" s="7">
        <v>5</v>
      </c>
      <c r="B1101" s="7">
        <v>500</v>
      </c>
      <c r="C1101" s="8">
        <v>1</v>
      </c>
      <c r="D1101" s="8">
        <v>12</v>
      </c>
      <c r="E1101" s="8">
        <v>12</v>
      </c>
      <c r="F1101" s="9" t="s">
        <v>73</v>
      </c>
      <c r="G1101" s="13" t="s">
        <v>74</v>
      </c>
      <c r="H1101" s="14" t="s">
        <v>75</v>
      </c>
      <c r="I1101" s="8">
        <v>37</v>
      </c>
      <c r="J1101" s="15">
        <v>11.777465788800255</v>
      </c>
      <c r="K1101" s="8">
        <v>6</v>
      </c>
      <c r="L1101" s="8">
        <v>13</v>
      </c>
      <c r="M1101" s="7"/>
      <c r="N1101" s="12" t="s">
        <v>20</v>
      </c>
      <c r="O1101" s="12" t="s">
        <v>16</v>
      </c>
      <c r="P1101" s="57" t="str">
        <f t="shared" si="51"/>
        <v>un fuste</v>
      </c>
      <c r="Q1101">
        <f t="shared" si="52"/>
        <v>12.5</v>
      </c>
      <c r="R1101">
        <f t="shared" si="53"/>
        <v>10</v>
      </c>
      <c r="S1101">
        <v>17</v>
      </c>
      <c r="T1101" t="s">
        <v>273</v>
      </c>
      <c r="U1101">
        <v>9.0406450691164611E-2</v>
      </c>
    </row>
    <row r="1102" spans="1:21" x14ac:dyDescent="0.25">
      <c r="A1102" s="7">
        <v>5</v>
      </c>
      <c r="B1102" s="7">
        <v>500</v>
      </c>
      <c r="C1102" s="8">
        <v>1</v>
      </c>
      <c r="D1102" s="8" t="s">
        <v>171</v>
      </c>
      <c r="E1102" s="8">
        <v>13</v>
      </c>
      <c r="F1102" s="9" t="s">
        <v>73</v>
      </c>
      <c r="G1102" s="13" t="s">
        <v>74</v>
      </c>
      <c r="H1102" s="14" t="s">
        <v>75</v>
      </c>
      <c r="I1102" s="8">
        <v>32.5</v>
      </c>
      <c r="J1102" s="15">
        <v>10.345071300973197</v>
      </c>
      <c r="K1102" s="8">
        <v>4</v>
      </c>
      <c r="L1102" s="8">
        <v>10</v>
      </c>
      <c r="M1102" s="7"/>
      <c r="N1102" s="12" t="s">
        <v>20</v>
      </c>
      <c r="O1102" s="12" t="s">
        <v>16</v>
      </c>
      <c r="P1102" s="31" t="e">
        <f t="shared" si="51"/>
        <v>#VALUE!</v>
      </c>
      <c r="Q1102">
        <f t="shared" si="52"/>
        <v>10</v>
      </c>
      <c r="R1102">
        <f t="shared" si="53"/>
        <v>10</v>
      </c>
      <c r="S1102">
        <v>17</v>
      </c>
      <c r="T1102" t="s">
        <v>273</v>
      </c>
      <c r="U1102">
        <v>5.451879130983666E-2</v>
      </c>
    </row>
    <row r="1103" spans="1:21" x14ac:dyDescent="0.25">
      <c r="A1103" s="7">
        <v>11</v>
      </c>
      <c r="B1103" s="7">
        <v>500</v>
      </c>
      <c r="C1103" s="8">
        <v>3</v>
      </c>
      <c r="D1103" s="8">
        <v>12</v>
      </c>
      <c r="E1103" s="8">
        <v>13</v>
      </c>
      <c r="F1103" s="9" t="s">
        <v>73</v>
      </c>
      <c r="G1103" s="13" t="s">
        <v>74</v>
      </c>
      <c r="H1103" s="14" t="s">
        <v>75</v>
      </c>
      <c r="I1103" s="8">
        <v>34.5</v>
      </c>
      <c r="J1103" s="15">
        <v>10.981691073340778</v>
      </c>
      <c r="K1103" s="8">
        <v>6</v>
      </c>
      <c r="L1103" s="8">
        <v>12</v>
      </c>
      <c r="M1103" s="7"/>
      <c r="N1103" s="12" t="s">
        <v>20</v>
      </c>
      <c r="O1103" s="12" t="s">
        <v>16</v>
      </c>
      <c r="P1103" s="57" t="str">
        <f t="shared" si="51"/>
        <v>un fuste</v>
      </c>
      <c r="Q1103">
        <f t="shared" si="52"/>
        <v>12.5</v>
      </c>
      <c r="R1103">
        <f t="shared" si="53"/>
        <v>10</v>
      </c>
      <c r="S1103">
        <v>17</v>
      </c>
      <c r="T1103" t="s">
        <v>273</v>
      </c>
      <c r="U1103">
        <v>7.3319691646719198E-2</v>
      </c>
    </row>
    <row r="1104" spans="1:21" x14ac:dyDescent="0.25">
      <c r="A1104" s="7">
        <v>2</v>
      </c>
      <c r="B1104" s="7">
        <v>100</v>
      </c>
      <c r="C1104" s="8">
        <v>4</v>
      </c>
      <c r="D1104" s="8">
        <v>14</v>
      </c>
      <c r="E1104" s="8">
        <v>14</v>
      </c>
      <c r="F1104" s="9" t="s">
        <v>73</v>
      </c>
      <c r="G1104" s="10" t="s">
        <v>74</v>
      </c>
      <c r="H1104" s="11" t="s">
        <v>75</v>
      </c>
      <c r="I1104" s="7">
        <v>17</v>
      </c>
      <c r="J1104" s="15">
        <v>5.4112680651244416</v>
      </c>
      <c r="K1104" s="7">
        <v>2.5</v>
      </c>
      <c r="L1104" s="7">
        <v>5</v>
      </c>
      <c r="M1104" s="7"/>
      <c r="N1104" s="12" t="s">
        <v>20</v>
      </c>
      <c r="O1104" s="12" t="s">
        <v>16</v>
      </c>
      <c r="P1104" s="57" t="str">
        <f t="shared" si="51"/>
        <v>un fuste</v>
      </c>
      <c r="Q1104">
        <f t="shared" si="52"/>
        <v>5</v>
      </c>
      <c r="R1104">
        <f t="shared" si="53"/>
        <v>5</v>
      </c>
    </row>
    <row r="1105" spans="1:21" x14ac:dyDescent="0.25">
      <c r="A1105" s="7">
        <v>3</v>
      </c>
      <c r="B1105" s="7">
        <v>100</v>
      </c>
      <c r="C1105" s="7">
        <v>4</v>
      </c>
      <c r="D1105" s="8">
        <v>17</v>
      </c>
      <c r="E1105" s="7">
        <v>17</v>
      </c>
      <c r="F1105" s="9" t="s">
        <v>73</v>
      </c>
      <c r="G1105" s="13" t="s">
        <v>74</v>
      </c>
      <c r="H1105" s="11" t="s">
        <v>75</v>
      </c>
      <c r="I1105" s="7">
        <v>31</v>
      </c>
      <c r="J1105" s="15">
        <v>9.8676064716975116</v>
      </c>
      <c r="K1105" s="7">
        <v>8</v>
      </c>
      <c r="L1105" s="7">
        <v>10</v>
      </c>
      <c r="M1105" s="7"/>
      <c r="N1105" s="12" t="s">
        <v>20</v>
      </c>
      <c r="O1105" s="12" t="s">
        <v>16</v>
      </c>
      <c r="P1105" s="57" t="str">
        <f t="shared" si="51"/>
        <v>un fuste</v>
      </c>
      <c r="Q1105">
        <f t="shared" si="52"/>
        <v>10</v>
      </c>
      <c r="R1105">
        <f t="shared" si="53"/>
        <v>10</v>
      </c>
    </row>
    <row r="1106" spans="1:21" x14ac:dyDescent="0.25">
      <c r="A1106" s="7">
        <v>1</v>
      </c>
      <c r="B1106" s="7">
        <v>500</v>
      </c>
      <c r="C1106" s="8">
        <v>3</v>
      </c>
      <c r="D1106" s="8">
        <v>18</v>
      </c>
      <c r="E1106" s="8">
        <v>21</v>
      </c>
      <c r="F1106" s="9" t="s">
        <v>73</v>
      </c>
      <c r="G1106" s="13" t="s">
        <v>74</v>
      </c>
      <c r="H1106" s="11" t="s">
        <v>75</v>
      </c>
      <c r="I1106" s="7">
        <v>175</v>
      </c>
      <c r="J1106" s="15">
        <v>55.70423008216337</v>
      </c>
      <c r="K1106" s="7">
        <v>5</v>
      </c>
      <c r="L1106" s="7">
        <v>19</v>
      </c>
      <c r="M1106" s="7"/>
      <c r="N1106" s="12" t="s">
        <v>20</v>
      </c>
      <c r="O1106" s="12" t="s">
        <v>16</v>
      </c>
      <c r="P1106" s="57" t="str">
        <f t="shared" si="51"/>
        <v>un fuste</v>
      </c>
      <c r="Q1106">
        <f t="shared" si="52"/>
        <v>20</v>
      </c>
      <c r="R1106">
        <f t="shared" si="53"/>
        <v>55</v>
      </c>
      <c r="S1106">
        <v>17</v>
      </c>
      <c r="T1106" t="s">
        <v>273</v>
      </c>
      <c r="U1106">
        <v>2.2448990167528335</v>
      </c>
    </row>
    <row r="1107" spans="1:21" x14ac:dyDescent="0.25">
      <c r="A1107" s="7">
        <v>4</v>
      </c>
      <c r="B1107" s="7">
        <v>500</v>
      </c>
      <c r="C1107" s="8">
        <v>2</v>
      </c>
      <c r="D1107" s="8">
        <v>20</v>
      </c>
      <c r="E1107" s="8">
        <v>21</v>
      </c>
      <c r="F1107" s="9" t="s">
        <v>73</v>
      </c>
      <c r="G1107" s="13" t="s">
        <v>74</v>
      </c>
      <c r="H1107" s="14" t="s">
        <v>75</v>
      </c>
      <c r="I1107" s="8">
        <v>36</v>
      </c>
      <c r="J1107" s="15">
        <v>11.459155902616464</v>
      </c>
      <c r="K1107" s="8">
        <v>6</v>
      </c>
      <c r="L1107" s="8">
        <v>12</v>
      </c>
      <c r="M1107" s="7"/>
      <c r="N1107" s="12" t="s">
        <v>20</v>
      </c>
      <c r="O1107" s="12" t="s">
        <v>16</v>
      </c>
      <c r="P1107" s="57" t="str">
        <f t="shared" si="51"/>
        <v>un fuste</v>
      </c>
      <c r="Q1107">
        <f t="shared" si="52"/>
        <v>12.5</v>
      </c>
      <c r="R1107">
        <f t="shared" si="53"/>
        <v>10</v>
      </c>
      <c r="S1107">
        <v>17</v>
      </c>
      <c r="T1107" t="s">
        <v>273</v>
      </c>
      <c r="U1107">
        <v>7.9209562371578848E-2</v>
      </c>
    </row>
    <row r="1108" spans="1:21" x14ac:dyDescent="0.25">
      <c r="A1108" s="7">
        <v>12</v>
      </c>
      <c r="B1108" s="7">
        <v>5</v>
      </c>
      <c r="C1108" s="8"/>
      <c r="D1108" s="8">
        <v>16</v>
      </c>
      <c r="E1108" s="8">
        <v>16</v>
      </c>
      <c r="F1108" s="9" t="s">
        <v>152</v>
      </c>
      <c r="G1108" s="13" t="s">
        <v>232</v>
      </c>
      <c r="H1108" s="14" t="s">
        <v>233</v>
      </c>
      <c r="I1108" s="8"/>
      <c r="J1108" s="7"/>
      <c r="K1108" s="7"/>
      <c r="L1108" s="8">
        <v>8</v>
      </c>
      <c r="M1108" s="7" t="e">
        <v>#REF!</v>
      </c>
      <c r="N1108" s="12"/>
      <c r="O1108" s="12" t="s">
        <v>16</v>
      </c>
      <c r="P1108" s="57" t="str">
        <f t="shared" si="51"/>
        <v>un fuste</v>
      </c>
      <c r="Q1108">
        <f t="shared" si="52"/>
        <v>7.5</v>
      </c>
      <c r="R1108">
        <f t="shared" si="53"/>
        <v>5</v>
      </c>
    </row>
    <row r="1109" spans="1:21" x14ac:dyDescent="0.25">
      <c r="A1109" s="7">
        <v>9</v>
      </c>
      <c r="B1109" s="7">
        <v>500</v>
      </c>
      <c r="C1109" s="8">
        <v>4</v>
      </c>
      <c r="D1109" s="8">
        <v>21</v>
      </c>
      <c r="E1109" s="8">
        <v>22</v>
      </c>
      <c r="F1109" s="9" t="s">
        <v>73</v>
      </c>
      <c r="G1109" s="10" t="s">
        <v>74</v>
      </c>
      <c r="H1109" s="11" t="s">
        <v>75</v>
      </c>
      <c r="I1109" s="7">
        <v>41.5</v>
      </c>
      <c r="J1109" s="15">
        <v>13.209860276627314</v>
      </c>
      <c r="K1109" s="7">
        <v>6</v>
      </c>
      <c r="L1109" s="7">
        <v>13</v>
      </c>
      <c r="M1109" s="7"/>
      <c r="N1109" s="12" t="s">
        <v>20</v>
      </c>
      <c r="O1109" s="12" t="s">
        <v>16</v>
      </c>
      <c r="P1109" s="57" t="str">
        <f t="shared" si="51"/>
        <v>un fuste</v>
      </c>
      <c r="Q1109">
        <f t="shared" si="52"/>
        <v>12.5</v>
      </c>
      <c r="R1109">
        <f t="shared" si="53"/>
        <v>15</v>
      </c>
      <c r="S1109">
        <v>17</v>
      </c>
      <c r="T1109" t="s">
        <v>273</v>
      </c>
      <c r="U1109">
        <v>0.11135160530671286</v>
      </c>
    </row>
    <row r="1110" spans="1:21" x14ac:dyDescent="0.25">
      <c r="A1110" s="7">
        <v>9</v>
      </c>
      <c r="B1110" s="7">
        <v>500</v>
      </c>
      <c r="C1110" s="8">
        <v>4</v>
      </c>
      <c r="D1110" s="8" t="s">
        <v>114</v>
      </c>
      <c r="E1110" s="8">
        <v>23</v>
      </c>
      <c r="F1110" s="9" t="s">
        <v>73</v>
      </c>
      <c r="G1110" s="10" t="s">
        <v>74</v>
      </c>
      <c r="H1110" s="11" t="s">
        <v>75</v>
      </c>
      <c r="I1110" s="7">
        <v>35</v>
      </c>
      <c r="J1110" s="15">
        <v>11.140846016432674</v>
      </c>
      <c r="K1110" s="7">
        <v>6</v>
      </c>
      <c r="L1110" s="7">
        <v>12</v>
      </c>
      <c r="M1110" s="7"/>
      <c r="N1110" s="12" t="s">
        <v>20</v>
      </c>
      <c r="O1110" s="12" t="s">
        <v>16</v>
      </c>
      <c r="P1110" s="31" t="e">
        <f t="shared" si="51"/>
        <v>#VALUE!</v>
      </c>
      <c r="Q1110">
        <f t="shared" si="52"/>
        <v>12.5</v>
      </c>
      <c r="R1110">
        <f t="shared" si="53"/>
        <v>10</v>
      </c>
      <c r="S1110">
        <v>17</v>
      </c>
      <c r="T1110" t="s">
        <v>273</v>
      </c>
      <c r="U1110">
        <v>7.5260260856999356E-2</v>
      </c>
    </row>
    <row r="1111" spans="1:21" x14ac:dyDescent="0.25">
      <c r="A1111" s="7">
        <v>4</v>
      </c>
      <c r="B1111" s="7">
        <v>500</v>
      </c>
      <c r="C1111" s="8">
        <v>2</v>
      </c>
      <c r="D1111" s="8">
        <v>23</v>
      </c>
      <c r="E1111" s="8">
        <v>24</v>
      </c>
      <c r="F1111" s="9" t="s">
        <v>73</v>
      </c>
      <c r="G1111" s="13" t="s">
        <v>74</v>
      </c>
      <c r="H1111" s="14" t="s">
        <v>75</v>
      </c>
      <c r="I1111" s="8">
        <v>34</v>
      </c>
      <c r="J1111" s="15">
        <v>10.822536130248883</v>
      </c>
      <c r="K1111" s="8">
        <v>6.5</v>
      </c>
      <c r="L1111" s="8">
        <v>10</v>
      </c>
      <c r="M1111" s="7"/>
      <c r="N1111" s="12" t="s">
        <v>20</v>
      </c>
      <c r="O1111" s="12" t="s">
        <v>16</v>
      </c>
      <c r="P1111" s="57" t="str">
        <f t="shared" si="51"/>
        <v>un fuste</v>
      </c>
      <c r="Q1111">
        <f t="shared" si="52"/>
        <v>10</v>
      </c>
      <c r="R1111">
        <f t="shared" si="53"/>
        <v>10</v>
      </c>
      <c r="S1111">
        <v>17</v>
      </c>
      <c r="T1111" t="s">
        <v>273</v>
      </c>
      <c r="U1111">
        <v>5.9172829084870877E-2</v>
      </c>
    </row>
    <row r="1112" spans="1:21" x14ac:dyDescent="0.25">
      <c r="A1112" s="7">
        <v>9</v>
      </c>
      <c r="B1112" s="7">
        <v>500</v>
      </c>
      <c r="C1112" s="8">
        <v>4</v>
      </c>
      <c r="D1112" s="8" t="s">
        <v>223</v>
      </c>
      <c r="E1112" s="8">
        <v>24</v>
      </c>
      <c r="F1112" s="9" t="s">
        <v>73</v>
      </c>
      <c r="G1112" s="10" t="s">
        <v>74</v>
      </c>
      <c r="H1112" s="11" t="s">
        <v>75</v>
      </c>
      <c r="I1112" s="7">
        <v>39.5</v>
      </c>
      <c r="J1112" s="15">
        <v>12.573240504259733</v>
      </c>
      <c r="K1112" s="7">
        <v>6</v>
      </c>
      <c r="L1112" s="7">
        <v>12</v>
      </c>
      <c r="M1112" s="7"/>
      <c r="N1112" s="12" t="s">
        <v>20</v>
      </c>
      <c r="O1112" s="12" t="s">
        <v>16</v>
      </c>
      <c r="P1112" s="31" t="e">
        <f t="shared" si="51"/>
        <v>#VALUE!</v>
      </c>
      <c r="Q1112">
        <f t="shared" si="52"/>
        <v>12.5</v>
      </c>
      <c r="R1112">
        <f t="shared" si="53"/>
        <v>15</v>
      </c>
      <c r="S1112">
        <v>17</v>
      </c>
      <c r="T1112" t="s">
        <v>273</v>
      </c>
      <c r="U1112">
        <v>9.3741789059976335E-2</v>
      </c>
    </row>
    <row r="1113" spans="1:21" x14ac:dyDescent="0.25">
      <c r="A1113" s="7">
        <v>8</v>
      </c>
      <c r="B1113" s="7">
        <v>100</v>
      </c>
      <c r="C1113" s="7">
        <v>4</v>
      </c>
      <c r="D1113" s="8">
        <v>26</v>
      </c>
      <c r="E1113" s="7">
        <v>26</v>
      </c>
      <c r="F1113" s="9" t="s">
        <v>73</v>
      </c>
      <c r="G1113" s="10" t="s">
        <v>74</v>
      </c>
      <c r="H1113" s="11" t="s">
        <v>75</v>
      </c>
      <c r="I1113" s="7">
        <v>24.5</v>
      </c>
      <c r="J1113" s="15">
        <v>7.7985922115028714</v>
      </c>
      <c r="K1113" s="7">
        <v>2</v>
      </c>
      <c r="L1113" s="7">
        <v>8</v>
      </c>
      <c r="M1113" s="7"/>
      <c r="N1113" s="12" t="s">
        <v>20</v>
      </c>
      <c r="O1113" s="12" t="s">
        <v>206</v>
      </c>
      <c r="P1113" s="57" t="str">
        <f t="shared" si="51"/>
        <v>un fuste</v>
      </c>
      <c r="Q1113">
        <f t="shared" si="52"/>
        <v>7.5</v>
      </c>
      <c r="R1113">
        <f t="shared" si="53"/>
        <v>10</v>
      </c>
    </row>
    <row r="1114" spans="1:21" x14ac:dyDescent="0.25">
      <c r="A1114" s="7">
        <v>5</v>
      </c>
      <c r="B1114" s="7">
        <v>100</v>
      </c>
      <c r="C1114" s="8">
        <v>4</v>
      </c>
      <c r="D1114" s="8">
        <v>28</v>
      </c>
      <c r="E1114" s="8">
        <v>30</v>
      </c>
      <c r="F1114" s="9" t="s">
        <v>73</v>
      </c>
      <c r="G1114" s="10" t="s">
        <v>74</v>
      </c>
      <c r="H1114" s="11" t="s">
        <v>75</v>
      </c>
      <c r="I1114" s="7">
        <v>30.3</v>
      </c>
      <c r="J1114" s="15">
        <v>9.6447895513688575</v>
      </c>
      <c r="K1114" s="7">
        <v>6</v>
      </c>
      <c r="L1114" s="7">
        <v>11</v>
      </c>
      <c r="M1114" s="7"/>
      <c r="N1114" s="12" t="s">
        <v>20</v>
      </c>
      <c r="O1114" s="12" t="s">
        <v>16</v>
      </c>
      <c r="P1114" s="57" t="str">
        <f t="shared" si="51"/>
        <v>un fuste</v>
      </c>
      <c r="Q1114">
        <f t="shared" si="52"/>
        <v>10</v>
      </c>
      <c r="R1114">
        <f t="shared" si="53"/>
        <v>10</v>
      </c>
    </row>
    <row r="1115" spans="1:21" x14ac:dyDescent="0.25">
      <c r="A1115" s="7">
        <v>5</v>
      </c>
      <c r="B1115" s="7">
        <v>100</v>
      </c>
      <c r="C1115" s="8">
        <v>4</v>
      </c>
      <c r="D1115" s="8">
        <v>29</v>
      </c>
      <c r="E1115" s="8">
        <v>31</v>
      </c>
      <c r="F1115" s="9" t="s">
        <v>73</v>
      </c>
      <c r="G1115" s="13" t="s">
        <v>74</v>
      </c>
      <c r="H1115" s="11" t="s">
        <v>75</v>
      </c>
      <c r="I1115" s="7">
        <v>25.5</v>
      </c>
      <c r="J1115" s="15">
        <v>8.1169020976866619</v>
      </c>
      <c r="K1115" s="7">
        <v>5</v>
      </c>
      <c r="L1115" s="7">
        <v>9</v>
      </c>
      <c r="M1115" s="7"/>
      <c r="N1115" s="12" t="s">
        <v>20</v>
      </c>
      <c r="O1115" s="12" t="s">
        <v>16</v>
      </c>
      <c r="P1115" s="57" t="str">
        <f t="shared" si="51"/>
        <v>un fuste</v>
      </c>
      <c r="Q1115">
        <f t="shared" si="52"/>
        <v>10</v>
      </c>
      <c r="R1115">
        <f t="shared" si="53"/>
        <v>10</v>
      </c>
    </row>
    <row r="1116" spans="1:21" x14ac:dyDescent="0.25">
      <c r="A1116" s="7">
        <v>5</v>
      </c>
      <c r="B1116" s="7">
        <v>100</v>
      </c>
      <c r="C1116" s="7">
        <v>4</v>
      </c>
      <c r="D1116" s="8">
        <v>30</v>
      </c>
      <c r="E1116" s="7">
        <v>32</v>
      </c>
      <c r="F1116" s="9" t="s">
        <v>73</v>
      </c>
      <c r="G1116" s="13" t="s">
        <v>74</v>
      </c>
      <c r="H1116" s="14" t="s">
        <v>75</v>
      </c>
      <c r="I1116" s="7">
        <v>22.5</v>
      </c>
      <c r="J1116" s="15">
        <v>7.1619724391352904</v>
      </c>
      <c r="K1116" s="7">
        <v>4.5</v>
      </c>
      <c r="L1116" s="7">
        <v>8</v>
      </c>
      <c r="M1116" s="7"/>
      <c r="N1116" s="12" t="s">
        <v>20</v>
      </c>
      <c r="O1116" s="12" t="s">
        <v>16</v>
      </c>
      <c r="P1116" s="57" t="str">
        <f t="shared" si="51"/>
        <v>un fuste</v>
      </c>
      <c r="Q1116">
        <f t="shared" si="52"/>
        <v>7.5</v>
      </c>
      <c r="R1116">
        <f t="shared" si="53"/>
        <v>5</v>
      </c>
    </row>
    <row r="1117" spans="1:21" x14ac:dyDescent="0.25">
      <c r="A1117" s="7">
        <v>2</v>
      </c>
      <c r="B1117" s="7">
        <v>500</v>
      </c>
      <c r="C1117" s="7">
        <v>2</v>
      </c>
      <c r="D1117" s="8">
        <v>32</v>
      </c>
      <c r="E1117" s="7">
        <v>33</v>
      </c>
      <c r="F1117" s="9" t="s">
        <v>73</v>
      </c>
      <c r="G1117" s="13" t="s">
        <v>74</v>
      </c>
      <c r="H1117" s="14" t="s">
        <v>75</v>
      </c>
      <c r="I1117" s="7">
        <v>37.5</v>
      </c>
      <c r="J1117" s="15">
        <v>11.93662073189215</v>
      </c>
      <c r="K1117" s="7">
        <v>8</v>
      </c>
      <c r="L1117" s="7">
        <v>12</v>
      </c>
      <c r="M1117" s="7"/>
      <c r="N1117" s="12" t="s">
        <v>20</v>
      </c>
      <c r="O1117" s="12" t="s">
        <v>16</v>
      </c>
      <c r="P1117" s="57" t="str">
        <f t="shared" si="51"/>
        <v>un fuste</v>
      </c>
      <c r="Q1117">
        <f t="shared" si="52"/>
        <v>12.5</v>
      </c>
      <c r="R1117">
        <f t="shared" si="53"/>
        <v>10</v>
      </c>
      <c r="S1117">
        <v>17</v>
      </c>
      <c r="T1117" t="s">
        <v>273</v>
      </c>
      <c r="U1117">
        <v>8.5303045465210489E-2</v>
      </c>
    </row>
    <row r="1118" spans="1:21" x14ac:dyDescent="0.25">
      <c r="A1118" s="7">
        <v>5</v>
      </c>
      <c r="B1118" s="7">
        <v>100</v>
      </c>
      <c r="C1118" s="7">
        <v>4</v>
      </c>
      <c r="D1118" s="8">
        <v>31</v>
      </c>
      <c r="E1118" s="7">
        <v>33</v>
      </c>
      <c r="F1118" s="9" t="s">
        <v>73</v>
      </c>
      <c r="G1118" s="13" t="s">
        <v>74</v>
      </c>
      <c r="H1118" s="14" t="s">
        <v>75</v>
      </c>
      <c r="I1118" s="7">
        <v>16</v>
      </c>
      <c r="J1118" s="15">
        <v>5.0929581789406511</v>
      </c>
      <c r="K1118" s="7">
        <v>2.5</v>
      </c>
      <c r="L1118" s="7">
        <v>6</v>
      </c>
      <c r="M1118" s="7"/>
      <c r="N1118" s="12" t="s">
        <v>20</v>
      </c>
      <c r="O1118" s="12" t="s">
        <v>16</v>
      </c>
      <c r="P1118" s="57" t="str">
        <f t="shared" si="51"/>
        <v>un fuste</v>
      </c>
      <c r="Q1118">
        <f t="shared" si="52"/>
        <v>5</v>
      </c>
      <c r="R1118">
        <f t="shared" si="53"/>
        <v>5</v>
      </c>
    </row>
    <row r="1119" spans="1:21" x14ac:dyDescent="0.25">
      <c r="A1119" s="7">
        <v>3</v>
      </c>
      <c r="B1119" s="7">
        <v>500</v>
      </c>
      <c r="C1119" s="8">
        <v>3</v>
      </c>
      <c r="D1119" s="8">
        <v>32</v>
      </c>
      <c r="E1119" s="8">
        <v>34</v>
      </c>
      <c r="F1119" s="9" t="s">
        <v>73</v>
      </c>
      <c r="G1119" s="13" t="s">
        <v>74</v>
      </c>
      <c r="H1119" s="11" t="s">
        <v>75</v>
      </c>
      <c r="I1119" s="7">
        <v>67</v>
      </c>
      <c r="J1119" s="15">
        <v>21.326762374313976</v>
      </c>
      <c r="K1119" s="7">
        <v>4.5</v>
      </c>
      <c r="L1119" s="8">
        <v>14</v>
      </c>
      <c r="M1119" s="7"/>
      <c r="N1119" s="12" t="s">
        <v>20</v>
      </c>
      <c r="O1119" s="12" t="s">
        <v>16</v>
      </c>
      <c r="P1119" s="57" t="str">
        <f t="shared" si="51"/>
        <v>un fuste</v>
      </c>
      <c r="Q1119">
        <f t="shared" si="52"/>
        <v>15</v>
      </c>
      <c r="R1119">
        <f t="shared" si="53"/>
        <v>20</v>
      </c>
      <c r="S1119">
        <v>17</v>
      </c>
      <c r="T1119" t="s">
        <v>273</v>
      </c>
      <c r="U1119">
        <v>0.28677138376563549</v>
      </c>
    </row>
    <row r="1120" spans="1:21" x14ac:dyDescent="0.25">
      <c r="A1120" s="7">
        <v>2</v>
      </c>
      <c r="B1120" s="7">
        <v>500</v>
      </c>
      <c r="C1120" s="8">
        <v>3</v>
      </c>
      <c r="D1120" s="8">
        <v>34</v>
      </c>
      <c r="E1120" s="8">
        <v>35</v>
      </c>
      <c r="F1120" s="9" t="s">
        <v>73</v>
      </c>
      <c r="G1120" s="13" t="s">
        <v>74</v>
      </c>
      <c r="H1120" s="11" t="s">
        <v>75</v>
      </c>
      <c r="I1120" s="7">
        <v>40</v>
      </c>
      <c r="J1120" s="15">
        <v>12.732395447351628</v>
      </c>
      <c r="K1120" s="7">
        <v>8</v>
      </c>
      <c r="L1120" s="8">
        <v>10</v>
      </c>
      <c r="M1120" s="7"/>
      <c r="N1120" s="12" t="s">
        <v>20</v>
      </c>
      <c r="O1120" s="12" t="s">
        <v>16</v>
      </c>
      <c r="P1120" s="57" t="str">
        <f t="shared" si="51"/>
        <v>un fuste</v>
      </c>
      <c r="Q1120">
        <f t="shared" si="52"/>
        <v>10</v>
      </c>
      <c r="R1120">
        <f t="shared" si="53"/>
        <v>15</v>
      </c>
      <c r="S1120">
        <v>17</v>
      </c>
      <c r="T1120" t="s">
        <v>273</v>
      </c>
      <c r="U1120">
        <v>7.9481060364469586E-2</v>
      </c>
    </row>
    <row r="1121" spans="1:21" x14ac:dyDescent="0.25">
      <c r="A1121" s="7">
        <v>2</v>
      </c>
      <c r="B1121" s="7">
        <v>500</v>
      </c>
      <c r="C1121" s="8">
        <v>3</v>
      </c>
      <c r="D1121" s="8">
        <v>35</v>
      </c>
      <c r="E1121" s="8">
        <v>36</v>
      </c>
      <c r="F1121" s="9" t="s">
        <v>73</v>
      </c>
      <c r="G1121" s="13" t="s">
        <v>74</v>
      </c>
      <c r="H1121" s="14" t="s">
        <v>75</v>
      </c>
      <c r="I1121" s="8">
        <v>36.5</v>
      </c>
      <c r="J1121" s="15">
        <v>11.618310845708359</v>
      </c>
      <c r="K1121" s="8">
        <v>2.5</v>
      </c>
      <c r="L1121" s="8">
        <v>9</v>
      </c>
      <c r="M1121" s="7"/>
      <c r="N1121" s="12" t="s">
        <v>20</v>
      </c>
      <c r="O1121" s="12" t="s">
        <v>16</v>
      </c>
      <c r="P1121" s="57" t="str">
        <f t="shared" si="51"/>
        <v>un fuste</v>
      </c>
      <c r="Q1121">
        <f t="shared" si="52"/>
        <v>10</v>
      </c>
      <c r="R1121">
        <f t="shared" si="53"/>
        <v>10</v>
      </c>
      <c r="S1121">
        <v>17</v>
      </c>
      <c r="T1121" t="s">
        <v>273</v>
      </c>
      <c r="U1121">
        <v>6.0383403395902875E-2</v>
      </c>
    </row>
    <row r="1122" spans="1:21" x14ac:dyDescent="0.25">
      <c r="A1122" s="7">
        <v>3</v>
      </c>
      <c r="B1122" s="7">
        <v>500</v>
      </c>
      <c r="C1122" s="8">
        <v>3</v>
      </c>
      <c r="D1122" s="8">
        <v>34</v>
      </c>
      <c r="E1122" s="8">
        <v>36</v>
      </c>
      <c r="F1122" s="9" t="s">
        <v>73</v>
      </c>
      <c r="G1122" s="13" t="s">
        <v>74</v>
      </c>
      <c r="H1122" s="14" t="s">
        <v>75</v>
      </c>
      <c r="I1122" s="8">
        <v>34.5</v>
      </c>
      <c r="J1122" s="15">
        <v>10.981691073340778</v>
      </c>
      <c r="K1122" s="8">
        <v>7</v>
      </c>
      <c r="L1122" s="8">
        <v>13</v>
      </c>
      <c r="M1122" s="7"/>
      <c r="N1122" s="12" t="s">
        <v>20</v>
      </c>
      <c r="O1122" s="12" t="s">
        <v>16</v>
      </c>
      <c r="P1122" s="57" t="str">
        <f t="shared" si="51"/>
        <v>un fuste</v>
      </c>
      <c r="Q1122">
        <f t="shared" si="52"/>
        <v>12.5</v>
      </c>
      <c r="R1122">
        <f t="shared" si="53"/>
        <v>10</v>
      </c>
      <c r="S1122">
        <v>17</v>
      </c>
      <c r="T1122" t="s">
        <v>273</v>
      </c>
      <c r="U1122">
        <v>7.9623114841205614E-2</v>
      </c>
    </row>
    <row r="1123" spans="1:21" x14ac:dyDescent="0.25">
      <c r="A1123" s="7">
        <v>2</v>
      </c>
      <c r="B1123" s="7">
        <v>500</v>
      </c>
      <c r="C1123" s="8">
        <v>3</v>
      </c>
      <c r="D1123" s="8">
        <v>36</v>
      </c>
      <c r="E1123" s="8">
        <v>37</v>
      </c>
      <c r="F1123" s="9" t="s">
        <v>73</v>
      </c>
      <c r="G1123" s="13" t="s">
        <v>74</v>
      </c>
      <c r="H1123" s="14" t="s">
        <v>75</v>
      </c>
      <c r="I1123" s="8">
        <v>120</v>
      </c>
      <c r="J1123" s="15">
        <v>38.197186342054884</v>
      </c>
      <c r="K1123" s="8">
        <v>2</v>
      </c>
      <c r="L1123" s="8">
        <v>10</v>
      </c>
      <c r="M1123" s="7"/>
      <c r="N1123" s="12" t="s">
        <v>29</v>
      </c>
      <c r="O1123" s="12" t="s">
        <v>16</v>
      </c>
      <c r="P1123" s="57" t="str">
        <f t="shared" si="51"/>
        <v>un fuste</v>
      </c>
      <c r="Q1123">
        <f t="shared" si="52"/>
        <v>10</v>
      </c>
      <c r="R1123">
        <f t="shared" si="53"/>
        <v>40</v>
      </c>
      <c r="S1123">
        <v>17</v>
      </c>
      <c r="T1123" t="s">
        <v>273</v>
      </c>
      <c r="U1123">
        <v>0.58409919616064987</v>
      </c>
    </row>
    <row r="1124" spans="1:21" x14ac:dyDescent="0.25">
      <c r="A1124" s="7">
        <v>3</v>
      </c>
      <c r="B1124" s="7">
        <v>500</v>
      </c>
      <c r="C1124" s="8">
        <v>3</v>
      </c>
      <c r="D1124" s="8">
        <v>35</v>
      </c>
      <c r="E1124" s="8">
        <v>37</v>
      </c>
      <c r="F1124" s="9" t="s">
        <v>73</v>
      </c>
      <c r="G1124" s="13" t="s">
        <v>74</v>
      </c>
      <c r="H1124" s="14" t="s">
        <v>75</v>
      </c>
      <c r="I1124" s="8">
        <v>37</v>
      </c>
      <c r="J1124" s="15">
        <v>11.777465788800255</v>
      </c>
      <c r="K1124" s="8">
        <v>6</v>
      </c>
      <c r="L1124" s="8">
        <v>12</v>
      </c>
      <c r="M1124" s="7"/>
      <c r="N1124" s="12" t="s">
        <v>20</v>
      </c>
      <c r="O1124" s="12" t="s">
        <v>16</v>
      </c>
      <c r="P1124" s="57" t="str">
        <f t="shared" si="51"/>
        <v>un fuste</v>
      </c>
      <c r="Q1124">
        <f t="shared" si="52"/>
        <v>12.5</v>
      </c>
      <c r="R1124">
        <f t="shared" si="53"/>
        <v>10</v>
      </c>
      <c r="S1124">
        <v>17</v>
      </c>
      <c r="T1124" t="s">
        <v>273</v>
      </c>
      <c r="U1124">
        <v>8.3249356682039422E-2</v>
      </c>
    </row>
    <row r="1125" spans="1:21" x14ac:dyDescent="0.25">
      <c r="A1125" s="7">
        <v>2</v>
      </c>
      <c r="B1125" s="7">
        <v>500</v>
      </c>
      <c r="C1125" s="8">
        <v>3</v>
      </c>
      <c r="D1125" s="8" t="s">
        <v>115</v>
      </c>
      <c r="E1125" s="8">
        <v>38</v>
      </c>
      <c r="F1125" s="9" t="s">
        <v>73</v>
      </c>
      <c r="G1125" s="13" t="s">
        <v>74</v>
      </c>
      <c r="H1125" s="14" t="s">
        <v>75</v>
      </c>
      <c r="I1125" s="8">
        <v>52</v>
      </c>
      <c r="J1125" s="15">
        <v>16.552114081557114</v>
      </c>
      <c r="K1125" s="8">
        <v>5.5</v>
      </c>
      <c r="L1125" s="8">
        <v>9</v>
      </c>
      <c r="M1125" s="7"/>
      <c r="N1125" s="12" t="s">
        <v>20</v>
      </c>
      <c r="O1125" s="12" t="s">
        <v>16</v>
      </c>
      <c r="P1125" s="31" t="e">
        <f t="shared" si="51"/>
        <v>#VALUE!</v>
      </c>
      <c r="Q1125">
        <f t="shared" si="52"/>
        <v>10</v>
      </c>
      <c r="R1125">
        <f t="shared" si="53"/>
        <v>15</v>
      </c>
      <c r="S1125">
        <v>17</v>
      </c>
      <c r="T1125" t="s">
        <v>273</v>
      </c>
      <c r="U1125">
        <v>0.11481059415829332</v>
      </c>
    </row>
    <row r="1126" spans="1:21" x14ac:dyDescent="0.25">
      <c r="A1126" s="7">
        <v>3</v>
      </c>
      <c r="B1126" s="7">
        <v>500</v>
      </c>
      <c r="C1126" s="8">
        <v>3</v>
      </c>
      <c r="D1126" s="8">
        <v>36</v>
      </c>
      <c r="E1126" s="8">
        <v>38</v>
      </c>
      <c r="F1126" s="9" t="s">
        <v>73</v>
      </c>
      <c r="G1126" s="13" t="s">
        <v>74</v>
      </c>
      <c r="H1126" s="14" t="s">
        <v>75</v>
      </c>
      <c r="I1126" s="8">
        <v>31.5</v>
      </c>
      <c r="J1126" s="15">
        <v>10.026761414789407</v>
      </c>
      <c r="K1126" s="8">
        <v>4</v>
      </c>
      <c r="L1126" s="8">
        <v>12</v>
      </c>
      <c r="M1126" s="7"/>
      <c r="N1126" s="12" t="s">
        <v>20</v>
      </c>
      <c r="O1126" s="12" t="s">
        <v>16</v>
      </c>
      <c r="P1126" s="57" t="str">
        <f t="shared" si="51"/>
        <v>un fuste</v>
      </c>
      <c r="Q1126">
        <f t="shared" si="52"/>
        <v>12.5</v>
      </c>
      <c r="R1126">
        <f t="shared" si="53"/>
        <v>10</v>
      </c>
      <c r="S1126">
        <v>17</v>
      </c>
      <c r="T1126" t="s">
        <v>273</v>
      </c>
      <c r="U1126">
        <v>6.2157294315506713E-2</v>
      </c>
    </row>
    <row r="1127" spans="1:21" x14ac:dyDescent="0.25">
      <c r="A1127" s="7">
        <v>2</v>
      </c>
      <c r="B1127" s="7">
        <v>500</v>
      </c>
      <c r="C1127" s="8">
        <v>3</v>
      </c>
      <c r="D1127" s="8">
        <v>37</v>
      </c>
      <c r="E1127" s="8">
        <v>39</v>
      </c>
      <c r="F1127" s="9" t="s">
        <v>73</v>
      </c>
      <c r="G1127" s="13" t="s">
        <v>74</v>
      </c>
      <c r="H1127" s="14" t="s">
        <v>75</v>
      </c>
      <c r="I1127" s="8">
        <v>33</v>
      </c>
      <c r="J1127" s="15">
        <v>10.504226244065093</v>
      </c>
      <c r="K1127" s="8">
        <v>5</v>
      </c>
      <c r="L1127" s="8">
        <v>10</v>
      </c>
      <c r="M1127" s="7"/>
      <c r="N1127" s="12" t="s">
        <v>20</v>
      </c>
      <c r="O1127" s="12" t="s">
        <v>16</v>
      </c>
      <c r="P1127" s="57" t="str">
        <f t="shared" si="51"/>
        <v>un fuste</v>
      </c>
      <c r="Q1127">
        <f t="shared" si="52"/>
        <v>10</v>
      </c>
      <c r="R1127">
        <f t="shared" si="53"/>
        <v>10</v>
      </c>
      <c r="S1127">
        <v>17</v>
      </c>
      <c r="T1127" t="s">
        <v>273</v>
      </c>
      <c r="U1127">
        <v>5.6051103143577655E-2</v>
      </c>
    </row>
    <row r="1128" spans="1:21" x14ac:dyDescent="0.25">
      <c r="A1128" s="7">
        <v>3</v>
      </c>
      <c r="B1128" s="7">
        <v>500</v>
      </c>
      <c r="C1128" s="8">
        <v>3</v>
      </c>
      <c r="D1128" s="8">
        <v>37</v>
      </c>
      <c r="E1128" s="8">
        <v>39</v>
      </c>
      <c r="F1128" s="9" t="s">
        <v>73</v>
      </c>
      <c r="G1128" s="13" t="s">
        <v>74</v>
      </c>
      <c r="H1128" s="14" t="s">
        <v>75</v>
      </c>
      <c r="I1128" s="8">
        <v>31.5</v>
      </c>
      <c r="J1128" s="15">
        <v>10.026761414789407</v>
      </c>
      <c r="K1128" s="8">
        <v>4</v>
      </c>
      <c r="L1128" s="8">
        <v>9</v>
      </c>
      <c r="M1128" s="7"/>
      <c r="N1128" s="12" t="s">
        <v>20</v>
      </c>
      <c r="O1128" s="12" t="s">
        <v>16</v>
      </c>
      <c r="P1128" s="57" t="str">
        <f t="shared" si="51"/>
        <v>un fuste</v>
      </c>
      <c r="Q1128">
        <f t="shared" si="52"/>
        <v>10</v>
      </c>
      <c r="R1128">
        <f t="shared" si="53"/>
        <v>10</v>
      </c>
      <c r="S1128">
        <v>17</v>
      </c>
      <c r="T1128" t="s">
        <v>273</v>
      </c>
      <c r="U1128">
        <v>4.6212179647431767E-2</v>
      </c>
    </row>
    <row r="1129" spans="1:21" x14ac:dyDescent="0.25">
      <c r="A1129" s="7">
        <v>5</v>
      </c>
      <c r="B1129" s="7">
        <v>500</v>
      </c>
      <c r="C1129" s="7">
        <v>4</v>
      </c>
      <c r="D1129" s="8">
        <v>37</v>
      </c>
      <c r="E1129" s="7">
        <v>39</v>
      </c>
      <c r="F1129" s="9" t="s">
        <v>73</v>
      </c>
      <c r="G1129" s="10" t="s">
        <v>74</v>
      </c>
      <c r="H1129" s="11" t="s">
        <v>75</v>
      </c>
      <c r="I1129" s="7">
        <v>32</v>
      </c>
      <c r="J1129" s="15">
        <v>10.185916357881302</v>
      </c>
      <c r="K1129" s="7">
        <v>5</v>
      </c>
      <c r="L1129" s="7">
        <v>10</v>
      </c>
      <c r="M1129" s="7"/>
      <c r="N1129" s="12" t="s">
        <v>20</v>
      </c>
      <c r="O1129" s="12" t="s">
        <v>16</v>
      </c>
      <c r="P1129" s="57" t="str">
        <f t="shared" si="51"/>
        <v>un fuste</v>
      </c>
      <c r="Q1129">
        <f t="shared" si="52"/>
        <v>10</v>
      </c>
      <c r="R1129">
        <f t="shared" si="53"/>
        <v>10</v>
      </c>
      <c r="S1129">
        <v>17</v>
      </c>
      <c r="T1129" t="s">
        <v>273</v>
      </c>
      <c r="U1129">
        <v>5.3005584899578816E-2</v>
      </c>
    </row>
    <row r="1130" spans="1:21" x14ac:dyDescent="0.25">
      <c r="A1130" s="7">
        <v>12</v>
      </c>
      <c r="B1130" s="7">
        <v>100</v>
      </c>
      <c r="C1130" s="8">
        <v>4</v>
      </c>
      <c r="D1130" s="8">
        <v>27</v>
      </c>
      <c r="E1130" s="8">
        <v>39</v>
      </c>
      <c r="F1130" s="9" t="s">
        <v>73</v>
      </c>
      <c r="G1130" s="13" t="s">
        <v>74</v>
      </c>
      <c r="H1130" s="14" t="s">
        <v>75</v>
      </c>
      <c r="I1130" s="8">
        <v>18.5</v>
      </c>
      <c r="J1130" s="15">
        <v>5.8887328944001274</v>
      </c>
      <c r="K1130" s="8">
        <v>10</v>
      </c>
      <c r="L1130" s="8">
        <v>12</v>
      </c>
      <c r="M1130" s="7"/>
      <c r="N1130" s="12" t="s">
        <v>20</v>
      </c>
      <c r="O1130" s="12" t="s">
        <v>16</v>
      </c>
      <c r="P1130" s="57" t="str">
        <f t="shared" si="51"/>
        <v>un fuste</v>
      </c>
      <c r="Q1130">
        <f t="shared" si="52"/>
        <v>12.5</v>
      </c>
      <c r="R1130">
        <f t="shared" si="53"/>
        <v>5</v>
      </c>
    </row>
    <row r="1131" spans="1:21" x14ac:dyDescent="0.25">
      <c r="A1131" s="7">
        <v>2</v>
      </c>
      <c r="B1131" s="7">
        <v>500</v>
      </c>
      <c r="C1131" s="8">
        <v>3</v>
      </c>
      <c r="D1131" s="8">
        <v>38</v>
      </c>
      <c r="E1131" s="8">
        <v>40</v>
      </c>
      <c r="F1131" s="9" t="s">
        <v>73</v>
      </c>
      <c r="G1131" s="10" t="s">
        <v>74</v>
      </c>
      <c r="H1131" s="11" t="s">
        <v>75</v>
      </c>
      <c r="I1131" s="8">
        <v>50</v>
      </c>
      <c r="J1131" s="15">
        <v>15.915494309189533</v>
      </c>
      <c r="K1131" s="8">
        <v>8</v>
      </c>
      <c r="L1131" s="8">
        <v>14</v>
      </c>
      <c r="M1131" s="7"/>
      <c r="N1131" s="12" t="s">
        <v>20</v>
      </c>
      <c r="O1131" s="12" t="s">
        <v>16</v>
      </c>
      <c r="P1131" s="57" t="str">
        <f t="shared" si="51"/>
        <v>un fuste</v>
      </c>
      <c r="Q1131">
        <f t="shared" si="52"/>
        <v>15</v>
      </c>
      <c r="R1131">
        <f t="shared" si="53"/>
        <v>15</v>
      </c>
      <c r="S1131">
        <v>17</v>
      </c>
      <c r="T1131" t="s">
        <v>273</v>
      </c>
      <c r="U1131">
        <v>0.16856778033591691</v>
      </c>
    </row>
    <row r="1132" spans="1:21" x14ac:dyDescent="0.25">
      <c r="A1132" s="7">
        <v>3</v>
      </c>
      <c r="B1132" s="7">
        <v>500</v>
      </c>
      <c r="C1132" s="7">
        <v>3</v>
      </c>
      <c r="D1132" s="8">
        <v>38</v>
      </c>
      <c r="E1132" s="7">
        <v>40</v>
      </c>
      <c r="F1132" s="9" t="s">
        <v>73</v>
      </c>
      <c r="G1132" s="10" t="s">
        <v>74</v>
      </c>
      <c r="H1132" s="11" t="s">
        <v>75</v>
      </c>
      <c r="I1132" s="7">
        <v>36</v>
      </c>
      <c r="J1132" s="15">
        <v>11.459155902616464</v>
      </c>
      <c r="K1132" s="7">
        <v>6</v>
      </c>
      <c r="L1132" s="7">
        <v>11</v>
      </c>
      <c r="M1132" s="7"/>
      <c r="N1132" s="12" t="s">
        <v>20</v>
      </c>
      <c r="O1132" s="12" t="s">
        <v>16</v>
      </c>
      <c r="P1132" s="57" t="str">
        <f t="shared" si="51"/>
        <v>un fuste</v>
      </c>
      <c r="Q1132">
        <f t="shared" si="52"/>
        <v>10</v>
      </c>
      <c r="R1132">
        <f t="shared" si="53"/>
        <v>10</v>
      </c>
      <c r="S1132">
        <v>17</v>
      </c>
      <c r="T1132" t="s">
        <v>273</v>
      </c>
      <c r="U1132">
        <v>7.2417020336136742E-2</v>
      </c>
    </row>
    <row r="1133" spans="1:21" x14ac:dyDescent="0.25">
      <c r="A1133" s="7">
        <v>5</v>
      </c>
      <c r="B1133" s="7">
        <v>500</v>
      </c>
      <c r="C1133" s="7">
        <v>4</v>
      </c>
      <c r="D1133" s="8">
        <v>38</v>
      </c>
      <c r="E1133" s="7">
        <v>40</v>
      </c>
      <c r="F1133" s="9" t="s">
        <v>73</v>
      </c>
      <c r="G1133" s="10" t="s">
        <v>74</v>
      </c>
      <c r="H1133" s="11" t="s">
        <v>75</v>
      </c>
      <c r="I1133" s="7">
        <v>36</v>
      </c>
      <c r="J1133" s="15">
        <v>11.459155902616464</v>
      </c>
      <c r="K1133" s="7">
        <v>7</v>
      </c>
      <c r="L1133" s="7">
        <v>11</v>
      </c>
      <c r="M1133" s="7"/>
      <c r="N1133" s="12" t="s">
        <v>20</v>
      </c>
      <c r="O1133" s="12" t="s">
        <v>16</v>
      </c>
      <c r="P1133" s="57" t="str">
        <f t="shared" si="51"/>
        <v>un fuste</v>
      </c>
      <c r="Q1133">
        <f t="shared" si="52"/>
        <v>10</v>
      </c>
      <c r="R1133">
        <f t="shared" si="53"/>
        <v>10</v>
      </c>
      <c r="S1133">
        <v>17</v>
      </c>
      <c r="T1133" t="s">
        <v>273</v>
      </c>
      <c r="U1133">
        <v>7.2417020336136742E-2</v>
      </c>
    </row>
    <row r="1134" spans="1:21" x14ac:dyDescent="0.25">
      <c r="A1134" s="7">
        <v>3</v>
      </c>
      <c r="B1134" s="7">
        <v>500</v>
      </c>
      <c r="C1134" s="8">
        <v>3</v>
      </c>
      <c r="D1134" s="8">
        <v>39</v>
      </c>
      <c r="E1134" s="8">
        <v>41</v>
      </c>
      <c r="F1134" s="9" t="s">
        <v>73</v>
      </c>
      <c r="G1134" s="10" t="s">
        <v>74</v>
      </c>
      <c r="H1134" s="11" t="s">
        <v>75</v>
      </c>
      <c r="I1134" s="7">
        <v>49</v>
      </c>
      <c r="J1134" s="15">
        <v>15.597184423005743</v>
      </c>
      <c r="K1134" s="7">
        <v>9</v>
      </c>
      <c r="L1134" s="8">
        <v>13</v>
      </c>
      <c r="M1134" s="7"/>
      <c r="N1134" s="12" t="s">
        <v>20</v>
      </c>
      <c r="O1134" s="12" t="s">
        <v>16</v>
      </c>
      <c r="P1134" s="57" t="str">
        <f t="shared" si="51"/>
        <v>un fuste</v>
      </c>
      <c r="Q1134">
        <f t="shared" si="52"/>
        <v>12.5</v>
      </c>
      <c r="R1134">
        <f t="shared" si="53"/>
        <v>15</v>
      </c>
      <c r="S1134">
        <v>17</v>
      </c>
      <c r="T1134" t="s">
        <v>273</v>
      </c>
      <c r="U1134">
        <v>0.15055062236980352</v>
      </c>
    </row>
    <row r="1135" spans="1:21" x14ac:dyDescent="0.25">
      <c r="A1135" s="7">
        <v>3</v>
      </c>
      <c r="B1135" s="7">
        <v>500</v>
      </c>
      <c r="C1135" s="8">
        <v>3</v>
      </c>
      <c r="D1135" s="8">
        <v>41</v>
      </c>
      <c r="E1135" s="8">
        <v>43</v>
      </c>
      <c r="F1135" s="9" t="s">
        <v>73</v>
      </c>
      <c r="G1135" s="10" t="s">
        <v>74</v>
      </c>
      <c r="H1135" s="11" t="s">
        <v>75</v>
      </c>
      <c r="I1135" s="7">
        <v>52</v>
      </c>
      <c r="J1135" s="15">
        <v>16.552114081557114</v>
      </c>
      <c r="K1135" s="7">
        <v>6</v>
      </c>
      <c r="L1135" s="8">
        <v>13</v>
      </c>
      <c r="M1135" s="7"/>
      <c r="N1135" s="12" t="s">
        <v>20</v>
      </c>
      <c r="O1135" s="12" t="s">
        <v>16</v>
      </c>
      <c r="P1135" s="57" t="str">
        <f t="shared" si="51"/>
        <v>un fuste</v>
      </c>
      <c r="Q1135">
        <f t="shared" si="52"/>
        <v>12.5</v>
      </c>
      <c r="R1135">
        <f t="shared" si="53"/>
        <v>15</v>
      </c>
      <c r="S1135">
        <v>17</v>
      </c>
      <c r="T1135" t="s">
        <v>273</v>
      </c>
      <c r="U1135">
        <v>0.16770119075276024</v>
      </c>
    </row>
    <row r="1136" spans="1:21" x14ac:dyDescent="0.25">
      <c r="A1136" s="7">
        <v>4</v>
      </c>
      <c r="B1136" s="7">
        <v>500</v>
      </c>
      <c r="C1136" s="8">
        <v>4</v>
      </c>
      <c r="D1136" s="8">
        <v>42</v>
      </c>
      <c r="E1136" s="8">
        <v>44</v>
      </c>
      <c r="F1136" s="9" t="s">
        <v>73</v>
      </c>
      <c r="G1136" s="10" t="s">
        <v>74</v>
      </c>
      <c r="H1136" s="11" t="s">
        <v>75</v>
      </c>
      <c r="I1136" s="7">
        <v>37</v>
      </c>
      <c r="J1136" s="15">
        <v>11.777465788800255</v>
      </c>
      <c r="K1136" s="7">
        <v>1.6</v>
      </c>
      <c r="L1136" s="8">
        <v>12</v>
      </c>
      <c r="M1136" s="7"/>
      <c r="N1136" s="12" t="s">
        <v>20</v>
      </c>
      <c r="O1136" s="12" t="s">
        <v>16</v>
      </c>
      <c r="P1136" s="57" t="str">
        <f t="shared" si="51"/>
        <v>un fuste</v>
      </c>
      <c r="Q1136">
        <f t="shared" si="52"/>
        <v>12.5</v>
      </c>
      <c r="R1136">
        <f t="shared" si="53"/>
        <v>10</v>
      </c>
      <c r="S1136">
        <v>17</v>
      </c>
      <c r="T1136" t="s">
        <v>273</v>
      </c>
      <c r="U1136">
        <v>8.3249356682039422E-2</v>
      </c>
    </row>
    <row r="1137" spans="1:21" x14ac:dyDescent="0.25">
      <c r="A1137" s="7">
        <v>3</v>
      </c>
      <c r="B1137" s="7">
        <v>500</v>
      </c>
      <c r="C1137" s="8">
        <v>3</v>
      </c>
      <c r="D1137" s="8">
        <v>43</v>
      </c>
      <c r="E1137" s="8">
        <v>45</v>
      </c>
      <c r="F1137" s="9" t="s">
        <v>73</v>
      </c>
      <c r="G1137" s="10" t="s">
        <v>74</v>
      </c>
      <c r="H1137" s="11" t="s">
        <v>75</v>
      </c>
      <c r="I1137" s="7">
        <v>40</v>
      </c>
      <c r="J1137" s="15">
        <v>12.732395447351628</v>
      </c>
      <c r="K1137" s="7">
        <v>2.5</v>
      </c>
      <c r="L1137" s="8">
        <v>12</v>
      </c>
      <c r="M1137" s="7"/>
      <c r="N1137" s="12" t="s">
        <v>29</v>
      </c>
      <c r="O1137" s="12" t="s">
        <v>16</v>
      </c>
      <c r="P1137" s="57" t="str">
        <f t="shared" si="51"/>
        <v>un fuste</v>
      </c>
      <c r="Q1137">
        <f t="shared" si="52"/>
        <v>12.5</v>
      </c>
      <c r="R1137">
        <f t="shared" si="53"/>
        <v>15</v>
      </c>
      <c r="S1137">
        <v>17</v>
      </c>
      <c r="T1137" t="s">
        <v>273</v>
      </c>
      <c r="U1137">
        <v>9.5907204328978965E-2</v>
      </c>
    </row>
    <row r="1138" spans="1:21" x14ac:dyDescent="0.25">
      <c r="A1138" s="7">
        <v>4</v>
      </c>
      <c r="B1138" s="7">
        <v>500</v>
      </c>
      <c r="C1138" s="8">
        <v>4</v>
      </c>
      <c r="D1138" s="8">
        <v>43</v>
      </c>
      <c r="E1138" s="8">
        <v>45</v>
      </c>
      <c r="F1138" s="9" t="s">
        <v>73</v>
      </c>
      <c r="G1138" s="10" t="s">
        <v>74</v>
      </c>
      <c r="H1138" s="11" t="s">
        <v>75</v>
      </c>
      <c r="I1138" s="7">
        <v>57</v>
      </c>
      <c r="J1138" s="15">
        <v>18.143663512476071</v>
      </c>
      <c r="K1138" s="7">
        <v>3.5</v>
      </c>
      <c r="L1138" s="8">
        <v>12</v>
      </c>
      <c r="M1138" s="7"/>
      <c r="N1138" s="12" t="s">
        <v>20</v>
      </c>
      <c r="O1138" s="12" t="s">
        <v>16</v>
      </c>
      <c r="P1138" s="57" t="str">
        <f t="shared" si="51"/>
        <v>un fuste</v>
      </c>
      <c r="Q1138">
        <f t="shared" si="52"/>
        <v>12.5</v>
      </c>
      <c r="R1138">
        <f t="shared" si="53"/>
        <v>20</v>
      </c>
      <c r="S1138">
        <v>17</v>
      </c>
      <c r="T1138" t="s">
        <v>273</v>
      </c>
      <c r="U1138">
        <v>0.18243372332483015</v>
      </c>
    </row>
    <row r="1139" spans="1:21" x14ac:dyDescent="0.25">
      <c r="A1139" s="7">
        <v>3</v>
      </c>
      <c r="B1139" s="7">
        <v>500</v>
      </c>
      <c r="C1139" s="8">
        <v>3</v>
      </c>
      <c r="D1139" s="8" t="s">
        <v>136</v>
      </c>
      <c r="E1139" s="8">
        <v>46</v>
      </c>
      <c r="F1139" s="9" t="s">
        <v>73</v>
      </c>
      <c r="G1139" s="10" t="s">
        <v>74</v>
      </c>
      <c r="H1139" s="11" t="s">
        <v>75</v>
      </c>
      <c r="I1139" s="7">
        <v>50</v>
      </c>
      <c r="J1139" s="15">
        <v>15.915494309189533</v>
      </c>
      <c r="K1139" s="7">
        <v>3</v>
      </c>
      <c r="L1139" s="8">
        <v>13</v>
      </c>
      <c r="M1139" s="7"/>
      <c r="N1139" s="12" t="s">
        <v>20</v>
      </c>
      <c r="O1139" s="12" t="s">
        <v>16</v>
      </c>
      <c r="P1139" s="31" t="e">
        <f t="shared" si="51"/>
        <v>#VALUE!</v>
      </c>
      <c r="Q1139">
        <f t="shared" si="52"/>
        <v>12.5</v>
      </c>
      <c r="R1139">
        <f t="shared" si="53"/>
        <v>15</v>
      </c>
      <c r="S1139">
        <v>17</v>
      </c>
      <c r="T1139" t="s">
        <v>273</v>
      </c>
      <c r="U1139">
        <v>0.15617509764181392</v>
      </c>
    </row>
    <row r="1140" spans="1:21" x14ac:dyDescent="0.25">
      <c r="A1140" s="7">
        <v>2</v>
      </c>
      <c r="B1140" s="7">
        <v>500</v>
      </c>
      <c r="C1140" s="8">
        <v>3</v>
      </c>
      <c r="D1140" s="8">
        <v>45</v>
      </c>
      <c r="E1140" s="8">
        <v>47</v>
      </c>
      <c r="F1140" s="9" t="s">
        <v>73</v>
      </c>
      <c r="G1140" s="10" t="s">
        <v>74</v>
      </c>
      <c r="H1140" s="11" t="s">
        <v>75</v>
      </c>
      <c r="I1140" s="7">
        <v>58.5</v>
      </c>
      <c r="J1140" s="15">
        <v>18.621128341751756</v>
      </c>
      <c r="K1140" s="7">
        <v>6</v>
      </c>
      <c r="L1140" s="8">
        <v>13</v>
      </c>
      <c r="M1140" s="7"/>
      <c r="N1140" s="12" t="s">
        <v>29</v>
      </c>
      <c r="O1140" s="12" t="s">
        <v>16</v>
      </c>
      <c r="P1140" s="57" t="str">
        <f t="shared" si="51"/>
        <v>un fuste</v>
      </c>
      <c r="Q1140">
        <f t="shared" si="52"/>
        <v>12.5</v>
      </c>
      <c r="R1140">
        <f t="shared" si="53"/>
        <v>20</v>
      </c>
      <c r="S1140">
        <v>17</v>
      </c>
      <c r="T1140" t="s">
        <v>273</v>
      </c>
      <c r="U1140">
        <v>0.20768472214000741</v>
      </c>
    </row>
    <row r="1141" spans="1:21" x14ac:dyDescent="0.25">
      <c r="A1141" s="7">
        <v>3</v>
      </c>
      <c r="B1141" s="7">
        <v>500</v>
      </c>
      <c r="C1141" s="7">
        <v>3</v>
      </c>
      <c r="D1141" s="8" t="s">
        <v>137</v>
      </c>
      <c r="E1141" s="7">
        <v>47</v>
      </c>
      <c r="F1141" s="9" t="s">
        <v>73</v>
      </c>
      <c r="G1141" s="10" t="s">
        <v>74</v>
      </c>
      <c r="H1141" s="11" t="s">
        <v>75</v>
      </c>
      <c r="I1141" s="7">
        <v>58</v>
      </c>
      <c r="J1141" s="15">
        <v>18.461973398659861</v>
      </c>
      <c r="K1141" s="7">
        <v>4</v>
      </c>
      <c r="L1141" s="7">
        <v>11</v>
      </c>
      <c r="M1141" s="7"/>
      <c r="N1141" s="12" t="s">
        <v>20</v>
      </c>
      <c r="O1141" s="12" t="s">
        <v>16</v>
      </c>
      <c r="P1141" s="31" t="e">
        <f t="shared" si="51"/>
        <v>#VALUE!</v>
      </c>
      <c r="Q1141">
        <f t="shared" si="52"/>
        <v>10</v>
      </c>
      <c r="R1141">
        <f t="shared" si="53"/>
        <v>20</v>
      </c>
      <c r="S1141">
        <v>17</v>
      </c>
      <c r="T1141" t="s">
        <v>273</v>
      </c>
      <c r="U1141">
        <v>0.17213969484156214</v>
      </c>
    </row>
    <row r="1142" spans="1:21" x14ac:dyDescent="0.25">
      <c r="A1142" s="7">
        <v>2</v>
      </c>
      <c r="B1142" s="7">
        <v>500</v>
      </c>
      <c r="C1142" s="7">
        <v>3</v>
      </c>
      <c r="D1142" s="8" t="s">
        <v>116</v>
      </c>
      <c r="E1142" s="7">
        <v>48</v>
      </c>
      <c r="F1142" s="9" t="s">
        <v>73</v>
      </c>
      <c r="G1142" s="13" t="s">
        <v>74</v>
      </c>
      <c r="H1142" s="11" t="s">
        <v>75</v>
      </c>
      <c r="I1142" s="7">
        <v>51</v>
      </c>
      <c r="J1142" s="15">
        <v>16.233804195373324</v>
      </c>
      <c r="K1142" s="7">
        <v>4</v>
      </c>
      <c r="L1142" s="7">
        <v>12</v>
      </c>
      <c r="M1142" s="7"/>
      <c r="N1142" s="12" t="s">
        <v>20</v>
      </c>
      <c r="O1142" s="12" t="s">
        <v>16</v>
      </c>
      <c r="P1142" s="31" t="e">
        <f t="shared" si="51"/>
        <v>#VALUE!</v>
      </c>
      <c r="Q1142">
        <f t="shared" si="52"/>
        <v>12.5</v>
      </c>
      <c r="R1142">
        <f t="shared" si="53"/>
        <v>15</v>
      </c>
      <c r="S1142">
        <v>17</v>
      </c>
      <c r="T1142" t="s">
        <v>273</v>
      </c>
      <c r="U1142">
        <v>0.14907576019673047</v>
      </c>
    </row>
    <row r="1143" spans="1:21" x14ac:dyDescent="0.25">
      <c r="A1143" s="7">
        <v>3</v>
      </c>
      <c r="B1143" s="7">
        <v>500</v>
      </c>
      <c r="C1143" s="7">
        <v>3</v>
      </c>
      <c r="D1143" s="8" t="s">
        <v>138</v>
      </c>
      <c r="E1143" s="7">
        <v>48</v>
      </c>
      <c r="F1143" s="9" t="s">
        <v>73</v>
      </c>
      <c r="G1143" s="13" t="s">
        <v>74</v>
      </c>
      <c r="H1143" s="11" t="s">
        <v>75</v>
      </c>
      <c r="I1143" s="7">
        <v>46</v>
      </c>
      <c r="J1143" s="15">
        <v>14.642254764454371</v>
      </c>
      <c r="K1143" s="7">
        <v>8</v>
      </c>
      <c r="L1143" s="7">
        <v>12</v>
      </c>
      <c r="M1143" s="7"/>
      <c r="N1143" s="12" t="s">
        <v>20</v>
      </c>
      <c r="O1143" s="12" t="s">
        <v>16</v>
      </c>
      <c r="P1143" s="31" t="e">
        <f t="shared" si="51"/>
        <v>#VALUE!</v>
      </c>
      <c r="Q1143">
        <f t="shared" si="52"/>
        <v>12.5</v>
      </c>
      <c r="R1143">
        <f t="shared" si="53"/>
        <v>15</v>
      </c>
      <c r="S1143">
        <v>17</v>
      </c>
      <c r="T1143" t="s">
        <v>273</v>
      </c>
      <c r="U1143">
        <v>0.12360878744721161</v>
      </c>
    </row>
    <row r="1144" spans="1:21" x14ac:dyDescent="0.25">
      <c r="A1144" s="7">
        <v>3</v>
      </c>
      <c r="B1144" s="7">
        <v>500</v>
      </c>
      <c r="C1144" s="8">
        <v>3</v>
      </c>
      <c r="D1144" s="8" t="s">
        <v>139</v>
      </c>
      <c r="E1144" s="8">
        <v>49</v>
      </c>
      <c r="F1144" s="9" t="s">
        <v>73</v>
      </c>
      <c r="G1144" s="13" t="s">
        <v>74</v>
      </c>
      <c r="H1144" s="14" t="s">
        <v>75</v>
      </c>
      <c r="I1144" s="7">
        <v>47</v>
      </c>
      <c r="J1144" s="15">
        <v>14.960564650638162</v>
      </c>
      <c r="K1144" s="7">
        <v>7</v>
      </c>
      <c r="L1144" s="8">
        <v>11</v>
      </c>
      <c r="M1144" s="7"/>
      <c r="N1144" s="12" t="s">
        <v>20</v>
      </c>
      <c r="O1144" s="12" t="s">
        <v>16</v>
      </c>
      <c r="P1144" s="31" t="e">
        <f t="shared" si="51"/>
        <v>#VALUE!</v>
      </c>
      <c r="Q1144">
        <f t="shared" si="52"/>
        <v>10</v>
      </c>
      <c r="R1144">
        <f t="shared" si="53"/>
        <v>15</v>
      </c>
      <c r="S1144">
        <v>17</v>
      </c>
      <c r="T1144" t="s">
        <v>273</v>
      </c>
      <c r="U1144">
        <v>0.11750852741246427</v>
      </c>
    </row>
    <row r="1145" spans="1:21" x14ac:dyDescent="0.25">
      <c r="A1145" s="7">
        <v>3</v>
      </c>
      <c r="B1145" s="7">
        <v>500</v>
      </c>
      <c r="C1145" s="7">
        <v>3</v>
      </c>
      <c r="D1145" s="8" t="s">
        <v>140</v>
      </c>
      <c r="E1145" s="8">
        <v>50</v>
      </c>
      <c r="F1145" s="9" t="s">
        <v>73</v>
      </c>
      <c r="G1145" s="13" t="s">
        <v>74</v>
      </c>
      <c r="H1145" s="11" t="s">
        <v>75</v>
      </c>
      <c r="I1145" s="7">
        <v>54</v>
      </c>
      <c r="J1145" s="15">
        <v>17.188733853924695</v>
      </c>
      <c r="K1145" s="7">
        <v>6</v>
      </c>
      <c r="L1145" s="7">
        <v>11</v>
      </c>
      <c r="M1145" s="7"/>
      <c r="N1145" s="12" t="s">
        <v>20</v>
      </c>
      <c r="O1145" s="12" t="s">
        <v>16</v>
      </c>
      <c r="P1145" s="31" t="e">
        <f t="shared" si="51"/>
        <v>#VALUE!</v>
      </c>
      <c r="Q1145">
        <f t="shared" si="52"/>
        <v>10</v>
      </c>
      <c r="R1145">
        <f t="shared" si="53"/>
        <v>15</v>
      </c>
      <c r="S1145">
        <v>17</v>
      </c>
      <c r="T1145" t="s">
        <v>273</v>
      </c>
      <c r="U1145">
        <v>0.15119511904599825</v>
      </c>
    </row>
    <row r="1146" spans="1:21" x14ac:dyDescent="0.25">
      <c r="A1146" s="7">
        <v>3</v>
      </c>
      <c r="B1146" s="7">
        <v>500</v>
      </c>
      <c r="C1146" s="7">
        <v>3</v>
      </c>
      <c r="D1146" s="8" t="s">
        <v>141</v>
      </c>
      <c r="E1146" s="7">
        <v>51</v>
      </c>
      <c r="F1146" s="9" t="s">
        <v>73</v>
      </c>
      <c r="G1146" s="13" t="s">
        <v>74</v>
      </c>
      <c r="H1146" s="14" t="s">
        <v>75</v>
      </c>
      <c r="I1146" s="7">
        <v>40</v>
      </c>
      <c r="J1146" s="15">
        <v>12.732395447351628</v>
      </c>
      <c r="K1146" s="7">
        <v>7</v>
      </c>
      <c r="L1146" s="7">
        <v>12</v>
      </c>
      <c r="M1146" s="7"/>
      <c r="N1146" s="12" t="s">
        <v>20</v>
      </c>
      <c r="O1146" s="12" t="s">
        <v>16</v>
      </c>
      <c r="P1146" s="31" t="e">
        <f t="shared" si="51"/>
        <v>#VALUE!</v>
      </c>
      <c r="Q1146">
        <f t="shared" si="52"/>
        <v>12.5</v>
      </c>
      <c r="R1146">
        <f t="shared" si="53"/>
        <v>15</v>
      </c>
      <c r="S1146">
        <v>17</v>
      </c>
      <c r="T1146" t="s">
        <v>273</v>
      </c>
      <c r="U1146">
        <v>9.5907204328978965E-2</v>
      </c>
    </row>
    <row r="1147" spans="1:21" x14ac:dyDescent="0.25">
      <c r="A1147" s="7">
        <v>3</v>
      </c>
      <c r="B1147" s="7">
        <v>500</v>
      </c>
      <c r="C1147" s="7">
        <v>3</v>
      </c>
      <c r="D1147" s="8" t="s">
        <v>142</v>
      </c>
      <c r="E1147" s="7">
        <v>52</v>
      </c>
      <c r="F1147" s="9" t="s">
        <v>73</v>
      </c>
      <c r="G1147" s="10" t="s">
        <v>74</v>
      </c>
      <c r="H1147" s="11" t="s">
        <v>75</v>
      </c>
      <c r="I1147" s="7">
        <v>49.5</v>
      </c>
      <c r="J1147" s="15">
        <v>15.756339366097638</v>
      </c>
      <c r="K1147" s="7">
        <v>4</v>
      </c>
      <c r="L1147" s="7">
        <v>13</v>
      </c>
      <c r="M1147" s="7"/>
      <c r="N1147" s="12" t="s">
        <v>20</v>
      </c>
      <c r="O1147" s="12" t="s">
        <v>16</v>
      </c>
      <c r="P1147" s="31" t="e">
        <f t="shared" si="51"/>
        <v>#VALUE!</v>
      </c>
      <c r="Q1147">
        <f t="shared" si="52"/>
        <v>12.5</v>
      </c>
      <c r="R1147">
        <f t="shared" si="53"/>
        <v>15</v>
      </c>
      <c r="S1147">
        <v>17</v>
      </c>
      <c r="T1147" t="s">
        <v>273</v>
      </c>
      <c r="U1147">
        <v>0.15335127695104184</v>
      </c>
    </row>
    <row r="1148" spans="1:21" x14ac:dyDescent="0.25">
      <c r="A1148" s="7">
        <v>3</v>
      </c>
      <c r="B1148" s="7">
        <v>500</v>
      </c>
      <c r="C1148" s="7">
        <v>3</v>
      </c>
      <c r="D1148" s="8">
        <v>44</v>
      </c>
      <c r="E1148" s="7">
        <v>53</v>
      </c>
      <c r="F1148" s="9" t="s">
        <v>73</v>
      </c>
      <c r="G1148" s="13" t="s">
        <v>74</v>
      </c>
      <c r="H1148" s="14" t="s">
        <v>75</v>
      </c>
      <c r="I1148" s="7">
        <v>59.5</v>
      </c>
      <c r="J1148" s="15">
        <v>18.939438227935547</v>
      </c>
      <c r="K1148" s="7">
        <v>3</v>
      </c>
      <c r="L1148" s="7">
        <v>14</v>
      </c>
      <c r="M1148" s="7"/>
      <c r="N1148" s="12" t="s">
        <v>20</v>
      </c>
      <c r="O1148" s="12" t="s">
        <v>16</v>
      </c>
      <c r="P1148" s="57" t="str">
        <f t="shared" si="51"/>
        <v>un fuste</v>
      </c>
      <c r="Q1148">
        <f t="shared" si="52"/>
        <v>15</v>
      </c>
      <c r="R1148">
        <f t="shared" si="53"/>
        <v>20</v>
      </c>
      <c r="S1148">
        <v>17</v>
      </c>
      <c r="T1148" t="s">
        <v>273</v>
      </c>
      <c r="U1148">
        <v>0.2311700420480558</v>
      </c>
    </row>
    <row r="1149" spans="1:21" x14ac:dyDescent="0.25">
      <c r="A1149" s="7">
        <v>3</v>
      </c>
      <c r="B1149" s="7">
        <v>500</v>
      </c>
      <c r="C1149" s="7">
        <v>4</v>
      </c>
      <c r="D1149" s="8">
        <v>52</v>
      </c>
      <c r="E1149" s="7">
        <v>61</v>
      </c>
      <c r="F1149" s="9" t="s">
        <v>73</v>
      </c>
      <c r="G1149" s="13" t="s">
        <v>74</v>
      </c>
      <c r="H1149" s="14" t="s">
        <v>75</v>
      </c>
      <c r="I1149" s="7">
        <v>36</v>
      </c>
      <c r="J1149" s="15">
        <v>11.459155902616464</v>
      </c>
      <c r="K1149" s="7">
        <v>6</v>
      </c>
      <c r="L1149" s="7">
        <v>10</v>
      </c>
      <c r="M1149" s="7"/>
      <c r="N1149" s="12" t="s">
        <v>20</v>
      </c>
      <c r="O1149" s="12" t="s">
        <v>16</v>
      </c>
      <c r="P1149" s="57" t="str">
        <f t="shared" si="51"/>
        <v>un fuste</v>
      </c>
      <c r="Q1149">
        <f t="shared" si="52"/>
        <v>10</v>
      </c>
      <c r="R1149">
        <f t="shared" si="53"/>
        <v>10</v>
      </c>
      <c r="S1149">
        <v>17</v>
      </c>
      <c r="T1149" t="s">
        <v>273</v>
      </c>
      <c r="U1149">
        <v>6.5643243928823439E-2</v>
      </c>
    </row>
    <row r="1150" spans="1:21" x14ac:dyDescent="0.25">
      <c r="A1150" s="7">
        <v>5</v>
      </c>
      <c r="B1150" s="7">
        <v>500</v>
      </c>
      <c r="C1150" s="7">
        <v>1</v>
      </c>
      <c r="D1150" s="8">
        <v>1</v>
      </c>
      <c r="E1150" s="7">
        <v>1</v>
      </c>
      <c r="F1150" s="9" t="s">
        <v>166</v>
      </c>
      <c r="G1150" s="13" t="s">
        <v>293</v>
      </c>
      <c r="H1150" s="11" t="s">
        <v>167</v>
      </c>
      <c r="I1150" s="7">
        <v>31.5</v>
      </c>
      <c r="J1150" s="15">
        <v>10.026761414789407</v>
      </c>
      <c r="K1150" s="7">
        <v>4.5</v>
      </c>
      <c r="L1150" s="7">
        <v>9</v>
      </c>
      <c r="M1150" s="7"/>
      <c r="N1150" s="12" t="s">
        <v>20</v>
      </c>
      <c r="O1150" s="12" t="s">
        <v>16</v>
      </c>
      <c r="P1150" s="57" t="str">
        <f t="shared" si="51"/>
        <v>un fuste</v>
      </c>
      <c r="Q1150">
        <f t="shared" si="52"/>
        <v>10</v>
      </c>
      <c r="R1150">
        <f t="shared" si="53"/>
        <v>10</v>
      </c>
      <c r="S1150">
        <v>17</v>
      </c>
      <c r="T1150" t="s">
        <v>273</v>
      </c>
      <c r="U1150">
        <v>4.6212179647431767E-2</v>
      </c>
    </row>
    <row r="1151" spans="1:21" x14ac:dyDescent="0.25">
      <c r="A1151" s="7">
        <v>2</v>
      </c>
      <c r="B1151" s="7">
        <v>500</v>
      </c>
      <c r="C1151" s="7">
        <v>3</v>
      </c>
      <c r="D1151" s="8">
        <v>33</v>
      </c>
      <c r="E1151" s="8">
        <v>34</v>
      </c>
      <c r="F1151" s="9" t="s">
        <v>108</v>
      </c>
      <c r="G1151" s="10" t="s">
        <v>109</v>
      </c>
      <c r="H1151" s="11" t="s">
        <v>110</v>
      </c>
      <c r="I1151" s="7">
        <v>65.5</v>
      </c>
      <c r="J1151" s="15">
        <v>20.84929754503829</v>
      </c>
      <c r="K1151" s="7">
        <v>8</v>
      </c>
      <c r="L1151" s="7">
        <v>14</v>
      </c>
      <c r="M1151" s="7"/>
      <c r="N1151" s="12" t="s">
        <v>20</v>
      </c>
      <c r="O1151" s="12" t="s">
        <v>16</v>
      </c>
      <c r="P1151" s="57" t="str">
        <f t="shared" si="51"/>
        <v>un fuste</v>
      </c>
      <c r="Q1151">
        <f t="shared" si="52"/>
        <v>15</v>
      </c>
      <c r="R1151">
        <f t="shared" si="53"/>
        <v>20</v>
      </c>
      <c r="S1151">
        <v>17</v>
      </c>
      <c r="T1151" t="s">
        <v>273</v>
      </c>
      <c r="U1151">
        <v>0.27522184108988007</v>
      </c>
    </row>
    <row r="1152" spans="1:21" x14ac:dyDescent="0.25">
      <c r="A1152" s="7">
        <v>3</v>
      </c>
      <c r="B1152" s="7">
        <v>500</v>
      </c>
      <c r="C1152" s="7">
        <v>4</v>
      </c>
      <c r="D1152" s="8">
        <v>46</v>
      </c>
      <c r="E1152" s="8">
        <v>55</v>
      </c>
      <c r="F1152" s="9" t="s">
        <v>108</v>
      </c>
      <c r="G1152" s="10" t="s">
        <v>109</v>
      </c>
      <c r="H1152" s="11" t="s">
        <v>110</v>
      </c>
      <c r="I1152" s="7">
        <v>36</v>
      </c>
      <c r="J1152" s="15">
        <v>11.459155902616464</v>
      </c>
      <c r="K1152" s="7">
        <v>7</v>
      </c>
      <c r="L1152" s="7">
        <v>10</v>
      </c>
      <c r="M1152" s="7"/>
      <c r="N1152" s="12" t="s">
        <v>20</v>
      </c>
      <c r="O1152" s="12" t="s">
        <v>16</v>
      </c>
      <c r="P1152" s="57" t="str">
        <f t="shared" si="51"/>
        <v>un fuste</v>
      </c>
      <c r="Q1152">
        <f t="shared" si="52"/>
        <v>10</v>
      </c>
      <c r="R1152">
        <f t="shared" si="53"/>
        <v>10</v>
      </c>
      <c r="S1152">
        <v>17</v>
      </c>
      <c r="T1152" t="s">
        <v>273</v>
      </c>
      <c r="U1152">
        <v>6.5643243928823439E-2</v>
      </c>
    </row>
    <row r="1153" spans="2:21" x14ac:dyDescent="0.25">
      <c r="B1153" s="7">
        <v>500</v>
      </c>
      <c r="P1153" s="31"/>
      <c r="U1153" s="26">
        <f>SUM(U2:U1152)</f>
        <v>55.832869513236155</v>
      </c>
    </row>
  </sheetData>
  <autoFilter ref="A1:Y1153"/>
  <sortState ref="A2:U1153">
    <sortCondition ref="D1"/>
  </sortState>
  <dataValidations disablePrompts="1" count="1">
    <dataValidation type="list" allowBlank="1" showInputMessage="1" showErrorMessage="1" sqref="G1154">
      <formula1>nombre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cipal" altText="CALCULAR VOLUMEN">
                <anchor moveWithCells="1" sizeWithCells="1">
                  <from>
                    <xdr:col>19</xdr:col>
                    <xdr:colOff>1906438</xdr:colOff>
                    <xdr:row>0</xdr:row>
                    <xdr:rowOff>43132</xdr:rowOff>
                  </from>
                  <to>
                    <xdr:col>19</xdr:col>
                    <xdr:colOff>2984740</xdr:colOff>
                    <xdr:row>0</xdr:row>
                    <xdr:rowOff>353683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"/>
  <sheetViews>
    <sheetView workbookViewId="0">
      <selection activeCell="A15" sqref="A15"/>
    </sheetView>
  </sheetViews>
  <sheetFormatPr baseColWidth="10" defaultRowHeight="14.3" x14ac:dyDescent="0.25"/>
  <cols>
    <col min="1" max="1" width="16.5" bestFit="1" customWidth="1"/>
    <col min="2" max="2" width="14.5" bestFit="1" customWidth="1"/>
  </cols>
  <sheetData>
    <row r="1" spans="1:2" x14ac:dyDescent="0.25">
      <c r="A1" t="s">
        <v>1</v>
      </c>
      <c r="B1" s="29">
        <v>500</v>
      </c>
    </row>
    <row r="2" spans="1:2" x14ac:dyDescent="0.25">
      <c r="A2" t="s">
        <v>302</v>
      </c>
      <c r="B2" t="s">
        <v>303</v>
      </c>
    </row>
    <row r="4" spans="1:2" x14ac:dyDescent="0.25">
      <c r="A4" t="s">
        <v>304</v>
      </c>
      <c r="B4" t="s">
        <v>314</v>
      </c>
    </row>
    <row r="5" spans="1:2" x14ac:dyDescent="0.25">
      <c r="A5" s="29">
        <v>5</v>
      </c>
      <c r="B5" s="30">
        <v>4</v>
      </c>
    </row>
    <row r="6" spans="1:2" x14ac:dyDescent="0.25">
      <c r="A6" s="29">
        <v>7.5</v>
      </c>
      <c r="B6" s="30">
        <v>20</v>
      </c>
    </row>
    <row r="7" spans="1:2" x14ac:dyDescent="0.25">
      <c r="A7" s="29">
        <v>10</v>
      </c>
      <c r="B7" s="30">
        <v>192</v>
      </c>
    </row>
    <row r="8" spans="1:2" x14ac:dyDescent="0.25">
      <c r="A8" s="29">
        <v>12.5</v>
      </c>
      <c r="B8" s="30">
        <v>169</v>
      </c>
    </row>
    <row r="9" spans="1:2" x14ac:dyDescent="0.25">
      <c r="A9" s="29">
        <v>15</v>
      </c>
      <c r="B9" s="30">
        <v>39</v>
      </c>
    </row>
    <row r="10" spans="1:2" x14ac:dyDescent="0.25">
      <c r="A10" s="29">
        <v>20</v>
      </c>
      <c r="B10" s="30">
        <v>1</v>
      </c>
    </row>
    <row r="11" spans="1:2" x14ac:dyDescent="0.25">
      <c r="A11" s="29" t="s">
        <v>294</v>
      </c>
      <c r="B11" s="30">
        <v>425</v>
      </c>
    </row>
    <row r="12" spans="1:2" x14ac:dyDescent="0.25">
      <c r="A12" t="s">
        <v>1</v>
      </c>
      <c r="B12" s="29">
        <v>500</v>
      </c>
    </row>
    <row r="13" spans="1:2" x14ac:dyDescent="0.25">
      <c r="A13" t="s">
        <v>302</v>
      </c>
      <c r="B13" t="s">
        <v>303</v>
      </c>
    </row>
    <row r="15" spans="1:2" x14ac:dyDescent="0.25">
      <c r="A15" t="s">
        <v>304</v>
      </c>
      <c r="B15" t="s">
        <v>315</v>
      </c>
    </row>
    <row r="16" spans="1:2" x14ac:dyDescent="0.25">
      <c r="A16" s="29">
        <v>10</v>
      </c>
      <c r="B16" s="30">
        <v>235</v>
      </c>
    </row>
    <row r="17" spans="1:2" x14ac:dyDescent="0.25">
      <c r="A17" s="29">
        <v>15</v>
      </c>
      <c r="B17" s="30">
        <v>113</v>
      </c>
    </row>
    <row r="18" spans="1:2" x14ac:dyDescent="0.25">
      <c r="A18" s="29">
        <v>20</v>
      </c>
      <c r="B18" s="30">
        <v>46</v>
      </c>
    </row>
    <row r="19" spans="1:2" x14ac:dyDescent="0.25">
      <c r="A19" s="29">
        <v>25</v>
      </c>
      <c r="B19" s="30">
        <v>17</v>
      </c>
    </row>
    <row r="20" spans="1:2" x14ac:dyDescent="0.25">
      <c r="A20" s="29">
        <v>30</v>
      </c>
      <c r="B20" s="30">
        <v>9</v>
      </c>
    </row>
    <row r="21" spans="1:2" x14ac:dyDescent="0.25">
      <c r="A21" s="29">
        <v>35</v>
      </c>
      <c r="B21" s="30">
        <v>1</v>
      </c>
    </row>
    <row r="22" spans="1:2" x14ac:dyDescent="0.25">
      <c r="A22" s="29">
        <v>40</v>
      </c>
      <c r="B22" s="30">
        <v>2</v>
      </c>
    </row>
    <row r="23" spans="1:2" x14ac:dyDescent="0.25">
      <c r="A23" s="29">
        <v>45</v>
      </c>
      <c r="B23" s="30">
        <v>1</v>
      </c>
    </row>
    <row r="24" spans="1:2" x14ac:dyDescent="0.25">
      <c r="A24" s="29">
        <v>55</v>
      </c>
      <c r="B24" s="30">
        <v>1</v>
      </c>
    </row>
    <row r="25" spans="1:2" x14ac:dyDescent="0.25">
      <c r="A25" s="29" t="s">
        <v>294</v>
      </c>
      <c r="B25" s="30">
        <v>425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153"/>
  <sheetViews>
    <sheetView workbookViewId="0">
      <selection activeCell="I263" sqref="I263"/>
    </sheetView>
  </sheetViews>
  <sheetFormatPr baseColWidth="10" defaultRowHeight="14.3" x14ac:dyDescent="0.25"/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312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281</v>
      </c>
      <c r="N1" t="s">
        <v>11</v>
      </c>
      <c r="O1" t="s">
        <v>12</v>
      </c>
      <c r="P1" t="s">
        <v>302</v>
      </c>
      <c r="Q1" t="s">
        <v>300</v>
      </c>
      <c r="R1" t="s">
        <v>301</v>
      </c>
      <c r="S1" t="s">
        <v>248</v>
      </c>
      <c r="T1" t="s">
        <v>279</v>
      </c>
      <c r="U1" t="s">
        <v>256</v>
      </c>
    </row>
    <row r="2" spans="1:21" x14ac:dyDescent="0.25">
      <c r="A2">
        <v>6</v>
      </c>
      <c r="B2">
        <v>100</v>
      </c>
      <c r="C2">
        <v>1</v>
      </c>
      <c r="D2">
        <v>1</v>
      </c>
      <c r="E2">
        <v>1</v>
      </c>
      <c r="F2" t="s">
        <v>13</v>
      </c>
      <c r="G2" t="s">
        <v>14</v>
      </c>
      <c r="H2" t="s">
        <v>15</v>
      </c>
      <c r="I2">
        <v>22</v>
      </c>
      <c r="J2">
        <v>7.0028174960433951</v>
      </c>
      <c r="K2">
        <v>3.5</v>
      </c>
      <c r="L2">
        <v>7.5</v>
      </c>
      <c r="N2" t="s">
        <v>20</v>
      </c>
      <c r="O2" t="s">
        <v>16</v>
      </c>
      <c r="P2" t="s">
        <v>303</v>
      </c>
      <c r="Q2">
        <v>7.5</v>
      </c>
      <c r="R2">
        <v>5</v>
      </c>
    </row>
    <row r="3" spans="1:21" x14ac:dyDescent="0.25">
      <c r="A3">
        <v>7</v>
      </c>
      <c r="B3">
        <v>100</v>
      </c>
      <c r="C3">
        <v>1</v>
      </c>
      <c r="D3">
        <v>1</v>
      </c>
      <c r="E3">
        <v>1</v>
      </c>
      <c r="F3" t="s">
        <v>13</v>
      </c>
      <c r="G3" t="s">
        <v>14</v>
      </c>
      <c r="H3" t="s">
        <v>15</v>
      </c>
      <c r="I3">
        <v>30</v>
      </c>
      <c r="J3">
        <v>9.5492965855137211</v>
      </c>
      <c r="K3">
        <v>6</v>
      </c>
      <c r="L3">
        <v>9</v>
      </c>
      <c r="N3" t="s">
        <v>20</v>
      </c>
      <c r="O3" t="s">
        <v>16</v>
      </c>
      <c r="P3" t="s">
        <v>303</v>
      </c>
      <c r="Q3">
        <v>10</v>
      </c>
      <c r="R3">
        <v>10</v>
      </c>
    </row>
    <row r="4" spans="1:21" x14ac:dyDescent="0.25">
      <c r="A4">
        <v>1</v>
      </c>
      <c r="B4">
        <v>5</v>
      </c>
      <c r="D4">
        <v>1</v>
      </c>
      <c r="E4">
        <v>1</v>
      </c>
      <c r="F4" t="s">
        <v>13</v>
      </c>
      <c r="G4" t="s">
        <v>14</v>
      </c>
      <c r="H4" t="s">
        <v>15</v>
      </c>
      <c r="L4">
        <v>6</v>
      </c>
      <c r="M4" t="e">
        <v>#REF!</v>
      </c>
      <c r="O4" t="s">
        <v>16</v>
      </c>
      <c r="P4" t="s">
        <v>303</v>
      </c>
      <c r="Q4">
        <v>5</v>
      </c>
      <c r="R4">
        <v>5</v>
      </c>
    </row>
    <row r="5" spans="1:21" x14ac:dyDescent="0.25">
      <c r="A5">
        <v>1</v>
      </c>
      <c r="B5">
        <v>5</v>
      </c>
      <c r="D5">
        <v>2</v>
      </c>
      <c r="E5">
        <v>2</v>
      </c>
      <c r="F5" t="s">
        <v>13</v>
      </c>
      <c r="G5" t="s">
        <v>14</v>
      </c>
      <c r="H5" t="s">
        <v>15</v>
      </c>
      <c r="L5">
        <v>0.7</v>
      </c>
      <c r="M5" t="e">
        <v>#REF!</v>
      </c>
      <c r="O5" t="s">
        <v>16</v>
      </c>
      <c r="P5" t="s">
        <v>303</v>
      </c>
      <c r="Q5">
        <v>2.5</v>
      </c>
      <c r="R5">
        <v>5</v>
      </c>
    </row>
    <row r="6" spans="1:21" x14ac:dyDescent="0.25">
      <c r="A6">
        <v>1</v>
      </c>
      <c r="B6">
        <v>5</v>
      </c>
      <c r="D6">
        <v>3</v>
      </c>
      <c r="E6">
        <v>3</v>
      </c>
      <c r="F6" t="s">
        <v>13</v>
      </c>
      <c r="G6" t="s">
        <v>14</v>
      </c>
      <c r="H6" t="s">
        <v>15</v>
      </c>
      <c r="L6">
        <v>0.5</v>
      </c>
      <c r="M6" t="e">
        <v>#REF!</v>
      </c>
      <c r="O6" t="s">
        <v>16</v>
      </c>
      <c r="P6" t="s">
        <v>303</v>
      </c>
      <c r="Q6">
        <v>2.5</v>
      </c>
      <c r="R6">
        <v>5</v>
      </c>
    </row>
    <row r="7" spans="1:21" x14ac:dyDescent="0.25">
      <c r="A7">
        <v>1</v>
      </c>
      <c r="B7">
        <v>5</v>
      </c>
      <c r="D7">
        <v>4</v>
      </c>
      <c r="E7">
        <v>4</v>
      </c>
      <c r="F7" t="s">
        <v>13</v>
      </c>
      <c r="G7" t="s">
        <v>14</v>
      </c>
      <c r="H7" t="s">
        <v>15</v>
      </c>
      <c r="L7">
        <v>0.2</v>
      </c>
      <c r="M7" t="e">
        <v>#REF!</v>
      </c>
      <c r="O7" t="s">
        <v>16</v>
      </c>
      <c r="P7" t="s">
        <v>303</v>
      </c>
      <c r="Q7">
        <v>2.5</v>
      </c>
      <c r="R7">
        <v>5</v>
      </c>
    </row>
    <row r="8" spans="1:21" x14ac:dyDescent="0.25">
      <c r="A8">
        <v>1</v>
      </c>
      <c r="B8">
        <v>5</v>
      </c>
      <c r="D8">
        <v>5</v>
      </c>
      <c r="E8">
        <v>5</v>
      </c>
      <c r="F8" t="s">
        <v>36</v>
      </c>
      <c r="G8" t="s">
        <v>37</v>
      </c>
      <c r="H8" t="s">
        <v>38</v>
      </c>
      <c r="L8">
        <v>0.5</v>
      </c>
      <c r="M8" t="e">
        <v>#REF!</v>
      </c>
      <c r="O8" t="s">
        <v>16</v>
      </c>
      <c r="P8" t="s">
        <v>303</v>
      </c>
      <c r="Q8">
        <v>2.5</v>
      </c>
      <c r="R8">
        <v>5</v>
      </c>
    </row>
    <row r="9" spans="1:21" x14ac:dyDescent="0.25">
      <c r="A9">
        <v>6</v>
      </c>
      <c r="B9">
        <v>100</v>
      </c>
      <c r="C9">
        <v>1</v>
      </c>
      <c r="D9">
        <v>2</v>
      </c>
      <c r="E9">
        <v>2</v>
      </c>
      <c r="F9" t="s">
        <v>13</v>
      </c>
      <c r="G9" t="s">
        <v>14</v>
      </c>
      <c r="H9" t="s">
        <v>15</v>
      </c>
      <c r="I9">
        <v>22</v>
      </c>
      <c r="J9">
        <v>7.0028174960433951</v>
      </c>
      <c r="K9">
        <v>4</v>
      </c>
      <c r="L9">
        <v>7.5</v>
      </c>
      <c r="N9" t="s">
        <v>20</v>
      </c>
      <c r="O9" t="s">
        <v>16</v>
      </c>
      <c r="P9" t="s">
        <v>303</v>
      </c>
      <c r="Q9">
        <v>7.5</v>
      </c>
      <c r="R9">
        <v>5</v>
      </c>
    </row>
    <row r="10" spans="1:21" x14ac:dyDescent="0.25">
      <c r="A10">
        <v>10</v>
      </c>
      <c r="B10">
        <v>100</v>
      </c>
      <c r="C10">
        <v>1</v>
      </c>
      <c r="D10">
        <v>2</v>
      </c>
      <c r="E10">
        <v>2</v>
      </c>
      <c r="F10" t="s">
        <v>13</v>
      </c>
      <c r="G10" t="s">
        <v>14</v>
      </c>
      <c r="H10" t="s">
        <v>15</v>
      </c>
      <c r="I10">
        <v>17.5</v>
      </c>
      <c r="J10">
        <v>5.5704230082163368</v>
      </c>
      <c r="K10">
        <v>5</v>
      </c>
      <c r="L10">
        <v>8</v>
      </c>
      <c r="N10" t="s">
        <v>20</v>
      </c>
      <c r="O10" t="s">
        <v>16</v>
      </c>
      <c r="P10" t="s">
        <v>303</v>
      </c>
      <c r="Q10">
        <v>7.5</v>
      </c>
      <c r="R10">
        <v>5</v>
      </c>
    </row>
    <row r="11" spans="1:21" x14ac:dyDescent="0.25">
      <c r="A11">
        <v>1</v>
      </c>
      <c r="B11">
        <v>5</v>
      </c>
      <c r="D11">
        <v>6</v>
      </c>
      <c r="E11">
        <v>6</v>
      </c>
      <c r="F11" t="s">
        <v>43</v>
      </c>
      <c r="G11" t="s">
        <v>44</v>
      </c>
      <c r="H11" t="s">
        <v>45</v>
      </c>
      <c r="L11">
        <v>0.7</v>
      </c>
      <c r="M11" t="e">
        <v>#REF!</v>
      </c>
      <c r="O11" t="s">
        <v>16</v>
      </c>
      <c r="P11" t="s">
        <v>303</v>
      </c>
      <c r="Q11">
        <v>2.5</v>
      </c>
      <c r="R11">
        <v>5</v>
      </c>
    </row>
    <row r="12" spans="1:21" x14ac:dyDescent="0.25">
      <c r="A12">
        <v>1</v>
      </c>
      <c r="B12">
        <v>5</v>
      </c>
      <c r="D12">
        <v>7</v>
      </c>
      <c r="E12">
        <v>7</v>
      </c>
      <c r="F12" t="s">
        <v>43</v>
      </c>
      <c r="G12" t="s">
        <v>46</v>
      </c>
      <c r="H12" t="s">
        <v>47</v>
      </c>
      <c r="L12">
        <v>1.7</v>
      </c>
      <c r="M12" t="e">
        <v>#REF!</v>
      </c>
      <c r="O12" t="s">
        <v>16</v>
      </c>
      <c r="P12" t="s">
        <v>303</v>
      </c>
      <c r="Q12">
        <v>2.5</v>
      </c>
      <c r="R12">
        <v>5</v>
      </c>
    </row>
    <row r="13" spans="1:21" x14ac:dyDescent="0.25">
      <c r="A13">
        <v>1</v>
      </c>
      <c r="B13">
        <v>5</v>
      </c>
      <c r="D13">
        <v>8</v>
      </c>
      <c r="E13">
        <v>8</v>
      </c>
      <c r="F13" t="s">
        <v>51</v>
      </c>
      <c r="G13" t="s">
        <v>52</v>
      </c>
      <c r="H13" t="s">
        <v>53</v>
      </c>
      <c r="L13">
        <v>2.5</v>
      </c>
      <c r="M13" t="e">
        <v>#REF!</v>
      </c>
      <c r="O13" t="s">
        <v>16</v>
      </c>
      <c r="P13" t="s">
        <v>303</v>
      </c>
      <c r="Q13">
        <v>2.5</v>
      </c>
      <c r="R13">
        <v>5</v>
      </c>
    </row>
    <row r="14" spans="1:21" x14ac:dyDescent="0.25">
      <c r="A14">
        <v>1</v>
      </c>
      <c r="B14">
        <v>5</v>
      </c>
      <c r="D14">
        <v>9</v>
      </c>
      <c r="E14">
        <v>9</v>
      </c>
      <c r="F14" t="s">
        <v>17</v>
      </c>
      <c r="G14" t="s">
        <v>54</v>
      </c>
      <c r="H14" t="s">
        <v>55</v>
      </c>
      <c r="L14">
        <v>2</v>
      </c>
      <c r="M14" t="e">
        <v>#REF!</v>
      </c>
      <c r="O14" t="s">
        <v>16</v>
      </c>
      <c r="P14" t="s">
        <v>303</v>
      </c>
      <c r="Q14">
        <v>2.5</v>
      </c>
      <c r="R14">
        <v>5</v>
      </c>
    </row>
    <row r="15" spans="1:21" x14ac:dyDescent="0.25">
      <c r="A15">
        <v>1</v>
      </c>
      <c r="B15">
        <v>5</v>
      </c>
      <c r="D15">
        <v>10</v>
      </c>
      <c r="E15">
        <v>10</v>
      </c>
      <c r="F15" t="s">
        <v>17</v>
      </c>
      <c r="G15" t="s">
        <v>58</v>
      </c>
      <c r="H15" t="s">
        <v>59</v>
      </c>
      <c r="L15">
        <v>0.8</v>
      </c>
      <c r="M15" t="e">
        <v>#REF!</v>
      </c>
      <c r="O15" t="s">
        <v>16</v>
      </c>
      <c r="P15" t="s">
        <v>303</v>
      </c>
      <c r="Q15">
        <v>2.5</v>
      </c>
      <c r="R15">
        <v>5</v>
      </c>
    </row>
    <row r="16" spans="1:21" x14ac:dyDescent="0.25">
      <c r="A16">
        <v>1</v>
      </c>
      <c r="B16">
        <v>5</v>
      </c>
      <c r="D16">
        <v>11</v>
      </c>
      <c r="E16">
        <v>11</v>
      </c>
      <c r="F16" t="s">
        <v>17</v>
      </c>
      <c r="G16" t="s">
        <v>54</v>
      </c>
      <c r="H16" t="s">
        <v>55</v>
      </c>
      <c r="L16">
        <v>0.9</v>
      </c>
      <c r="M16" t="e">
        <v>#REF!</v>
      </c>
      <c r="O16" t="s">
        <v>16</v>
      </c>
      <c r="P16" t="s">
        <v>303</v>
      </c>
      <c r="Q16">
        <v>2.5</v>
      </c>
      <c r="R16">
        <v>5</v>
      </c>
    </row>
    <row r="17" spans="1:18" x14ac:dyDescent="0.25">
      <c r="A17">
        <v>3</v>
      </c>
      <c r="B17">
        <v>100</v>
      </c>
      <c r="C17">
        <v>1</v>
      </c>
      <c r="D17">
        <v>3</v>
      </c>
      <c r="E17">
        <v>3</v>
      </c>
      <c r="F17" t="s">
        <v>13</v>
      </c>
      <c r="G17" t="s">
        <v>14</v>
      </c>
      <c r="H17" t="s">
        <v>15</v>
      </c>
      <c r="I17">
        <v>17.5</v>
      </c>
      <c r="J17">
        <v>5.5704230082163368</v>
      </c>
      <c r="K17">
        <v>3</v>
      </c>
      <c r="L17">
        <v>8</v>
      </c>
      <c r="N17" t="s">
        <v>20</v>
      </c>
      <c r="O17" t="s">
        <v>16</v>
      </c>
      <c r="P17" t="s">
        <v>303</v>
      </c>
      <c r="Q17">
        <v>7.5</v>
      </c>
      <c r="R17">
        <v>5</v>
      </c>
    </row>
    <row r="18" spans="1:18" x14ac:dyDescent="0.25">
      <c r="A18">
        <v>7</v>
      </c>
      <c r="B18">
        <v>100</v>
      </c>
      <c r="C18">
        <v>1</v>
      </c>
      <c r="D18">
        <v>3</v>
      </c>
      <c r="E18">
        <v>3</v>
      </c>
      <c r="F18" t="s">
        <v>13</v>
      </c>
      <c r="G18" t="s">
        <v>14</v>
      </c>
      <c r="H18" t="s">
        <v>15</v>
      </c>
      <c r="I18">
        <v>18</v>
      </c>
      <c r="J18">
        <v>5.7295779513082321</v>
      </c>
      <c r="K18">
        <v>5</v>
      </c>
      <c r="L18">
        <v>9</v>
      </c>
      <c r="N18" t="s">
        <v>20</v>
      </c>
      <c r="O18" t="s">
        <v>16</v>
      </c>
      <c r="P18" t="s">
        <v>303</v>
      </c>
      <c r="Q18">
        <v>10</v>
      </c>
      <c r="R18">
        <v>5</v>
      </c>
    </row>
    <row r="19" spans="1:18" x14ac:dyDescent="0.25">
      <c r="A19">
        <v>11</v>
      </c>
      <c r="B19">
        <v>100</v>
      </c>
      <c r="C19">
        <v>1</v>
      </c>
      <c r="D19">
        <v>3</v>
      </c>
      <c r="E19">
        <v>3</v>
      </c>
      <c r="F19" t="s">
        <v>13</v>
      </c>
      <c r="G19" t="s">
        <v>14</v>
      </c>
      <c r="H19" t="s">
        <v>15</v>
      </c>
      <c r="I19">
        <v>17.5</v>
      </c>
      <c r="J19">
        <v>5.5704230082163368</v>
      </c>
      <c r="K19">
        <v>3.3</v>
      </c>
      <c r="L19">
        <v>7</v>
      </c>
      <c r="N19" t="s">
        <v>20</v>
      </c>
      <c r="O19" t="s">
        <v>16</v>
      </c>
      <c r="P19" t="s">
        <v>303</v>
      </c>
      <c r="Q19">
        <v>7.5</v>
      </c>
      <c r="R19">
        <v>5</v>
      </c>
    </row>
    <row r="20" spans="1:18" x14ac:dyDescent="0.25">
      <c r="A20">
        <v>1</v>
      </c>
      <c r="B20">
        <v>5</v>
      </c>
      <c r="D20">
        <v>12</v>
      </c>
      <c r="E20">
        <v>12</v>
      </c>
      <c r="F20" t="s">
        <v>62</v>
      </c>
      <c r="G20" t="s">
        <v>63</v>
      </c>
      <c r="H20" t="s">
        <v>64</v>
      </c>
      <c r="L20">
        <v>0.7</v>
      </c>
      <c r="M20" t="e">
        <v>#REF!</v>
      </c>
      <c r="O20" t="s">
        <v>16</v>
      </c>
      <c r="P20" t="s">
        <v>303</v>
      </c>
      <c r="Q20">
        <v>2.5</v>
      </c>
      <c r="R20">
        <v>5</v>
      </c>
    </row>
    <row r="21" spans="1:18" x14ac:dyDescent="0.25">
      <c r="A21">
        <v>1</v>
      </c>
      <c r="B21">
        <v>5</v>
      </c>
      <c r="D21">
        <v>13</v>
      </c>
      <c r="E21">
        <v>13</v>
      </c>
      <c r="F21" t="s">
        <v>67</v>
      </c>
      <c r="G21" t="s">
        <v>68</v>
      </c>
      <c r="H21" t="s">
        <v>69</v>
      </c>
      <c r="L21">
        <v>0.15</v>
      </c>
      <c r="M21" t="e">
        <v>#REF!</v>
      </c>
      <c r="O21" t="s">
        <v>16</v>
      </c>
      <c r="P21" t="s">
        <v>303</v>
      </c>
      <c r="Q21">
        <v>2.5</v>
      </c>
      <c r="R21">
        <v>5</v>
      </c>
    </row>
    <row r="22" spans="1:18" x14ac:dyDescent="0.25">
      <c r="A22">
        <v>1</v>
      </c>
      <c r="B22">
        <v>5</v>
      </c>
      <c r="D22">
        <v>14</v>
      </c>
      <c r="E22">
        <v>14</v>
      </c>
      <c r="F22" t="s">
        <v>13</v>
      </c>
      <c r="G22" t="s">
        <v>14</v>
      </c>
      <c r="H22" t="s">
        <v>15</v>
      </c>
      <c r="L22">
        <v>0.3</v>
      </c>
      <c r="M22" t="e">
        <v>#REF!</v>
      </c>
      <c r="O22" t="s">
        <v>16</v>
      </c>
      <c r="P22" t="s">
        <v>303</v>
      </c>
      <c r="Q22">
        <v>2.5</v>
      </c>
      <c r="R22">
        <v>5</v>
      </c>
    </row>
    <row r="23" spans="1:18" x14ac:dyDescent="0.25">
      <c r="A23">
        <v>1</v>
      </c>
      <c r="B23">
        <v>5</v>
      </c>
      <c r="D23">
        <v>15</v>
      </c>
      <c r="E23">
        <v>15</v>
      </c>
      <c r="F23" t="s">
        <v>13</v>
      </c>
      <c r="G23" t="s">
        <v>14</v>
      </c>
      <c r="H23" t="s">
        <v>15</v>
      </c>
      <c r="L23">
        <v>2</v>
      </c>
      <c r="M23" t="e">
        <v>#REF!</v>
      </c>
      <c r="O23" t="s">
        <v>16</v>
      </c>
      <c r="P23" t="s">
        <v>303</v>
      </c>
      <c r="Q23">
        <v>2.5</v>
      </c>
      <c r="R23">
        <v>5</v>
      </c>
    </row>
    <row r="24" spans="1:18" x14ac:dyDescent="0.25">
      <c r="A24">
        <v>1</v>
      </c>
      <c r="B24">
        <v>5</v>
      </c>
      <c r="D24">
        <v>16</v>
      </c>
      <c r="E24">
        <v>16</v>
      </c>
      <c r="F24" t="s">
        <v>17</v>
      </c>
      <c r="G24" t="s">
        <v>54</v>
      </c>
      <c r="H24" t="s">
        <v>55</v>
      </c>
      <c r="L24">
        <v>4</v>
      </c>
      <c r="M24" t="e">
        <v>#REF!</v>
      </c>
      <c r="O24" t="s">
        <v>16</v>
      </c>
      <c r="P24" t="s">
        <v>303</v>
      </c>
      <c r="Q24">
        <v>5</v>
      </c>
      <c r="R24">
        <v>5</v>
      </c>
    </row>
    <row r="25" spans="1:18" x14ac:dyDescent="0.25">
      <c r="A25">
        <v>1</v>
      </c>
      <c r="B25">
        <v>5</v>
      </c>
      <c r="D25">
        <v>17</v>
      </c>
      <c r="E25">
        <v>17</v>
      </c>
      <c r="F25" t="s">
        <v>17</v>
      </c>
      <c r="G25" t="s">
        <v>54</v>
      </c>
      <c r="H25" t="s">
        <v>55</v>
      </c>
      <c r="L25">
        <v>4</v>
      </c>
      <c r="M25" t="e">
        <v>#REF!</v>
      </c>
      <c r="O25" t="s">
        <v>16</v>
      </c>
      <c r="P25" t="s">
        <v>303</v>
      </c>
      <c r="Q25">
        <v>5</v>
      </c>
      <c r="R25">
        <v>5</v>
      </c>
    </row>
    <row r="26" spans="1:18" x14ac:dyDescent="0.25">
      <c r="A26">
        <v>1</v>
      </c>
      <c r="B26">
        <v>5</v>
      </c>
      <c r="D26">
        <v>18</v>
      </c>
      <c r="E26">
        <v>18</v>
      </c>
      <c r="F26" t="s">
        <v>13</v>
      </c>
      <c r="G26" t="s">
        <v>14</v>
      </c>
      <c r="H26" t="s">
        <v>15</v>
      </c>
      <c r="L26">
        <v>0.15</v>
      </c>
      <c r="M26" t="e">
        <v>#REF!</v>
      </c>
      <c r="O26" t="s">
        <v>16</v>
      </c>
      <c r="P26" t="s">
        <v>303</v>
      </c>
      <c r="Q26">
        <v>2.5</v>
      </c>
      <c r="R26">
        <v>5</v>
      </c>
    </row>
    <row r="27" spans="1:18" x14ac:dyDescent="0.25">
      <c r="A27">
        <v>1</v>
      </c>
      <c r="B27">
        <v>5</v>
      </c>
      <c r="D27">
        <v>19</v>
      </c>
      <c r="E27">
        <v>19</v>
      </c>
      <c r="F27" t="s">
        <v>13</v>
      </c>
      <c r="G27" t="s">
        <v>14</v>
      </c>
      <c r="H27" t="s">
        <v>15</v>
      </c>
      <c r="L27">
        <v>0.7</v>
      </c>
      <c r="M27" t="e">
        <v>#REF!</v>
      </c>
      <c r="O27" t="s">
        <v>16</v>
      </c>
      <c r="P27" t="s">
        <v>303</v>
      </c>
      <c r="Q27">
        <v>2.5</v>
      </c>
      <c r="R27">
        <v>5</v>
      </c>
    </row>
    <row r="28" spans="1:18" x14ac:dyDescent="0.25">
      <c r="A28">
        <v>1</v>
      </c>
      <c r="B28">
        <v>5</v>
      </c>
      <c r="D28">
        <v>20</v>
      </c>
      <c r="E28">
        <v>20</v>
      </c>
      <c r="F28" t="s">
        <v>13</v>
      </c>
      <c r="G28" t="s">
        <v>14</v>
      </c>
      <c r="H28" t="s">
        <v>15</v>
      </c>
      <c r="L28">
        <v>0.3</v>
      </c>
      <c r="M28" t="e">
        <v>#REF!</v>
      </c>
      <c r="O28" t="s">
        <v>16</v>
      </c>
      <c r="P28" t="s">
        <v>303</v>
      </c>
      <c r="Q28">
        <v>2.5</v>
      </c>
      <c r="R28">
        <v>5</v>
      </c>
    </row>
    <row r="29" spans="1:18" x14ac:dyDescent="0.25">
      <c r="A29">
        <v>1</v>
      </c>
      <c r="B29">
        <v>5</v>
      </c>
      <c r="D29">
        <v>21</v>
      </c>
      <c r="E29">
        <v>21</v>
      </c>
      <c r="F29" t="s">
        <v>73</v>
      </c>
      <c r="G29" t="s">
        <v>74</v>
      </c>
      <c r="H29" t="s">
        <v>75</v>
      </c>
      <c r="L29">
        <v>0.1</v>
      </c>
      <c r="M29" t="e">
        <v>#REF!</v>
      </c>
      <c r="O29" t="s">
        <v>16</v>
      </c>
      <c r="P29" t="s">
        <v>303</v>
      </c>
      <c r="Q29">
        <v>2.5</v>
      </c>
      <c r="R29">
        <v>5</v>
      </c>
    </row>
    <row r="30" spans="1:18" x14ac:dyDescent="0.25">
      <c r="A30">
        <v>1</v>
      </c>
      <c r="B30">
        <v>100</v>
      </c>
      <c r="C30">
        <v>2</v>
      </c>
      <c r="D30">
        <v>8</v>
      </c>
      <c r="E30">
        <v>8</v>
      </c>
      <c r="F30" t="s">
        <v>13</v>
      </c>
      <c r="G30" t="s">
        <v>14</v>
      </c>
      <c r="H30" t="s">
        <v>15</v>
      </c>
      <c r="I30">
        <v>18</v>
      </c>
      <c r="J30">
        <v>5.7295779513082321</v>
      </c>
      <c r="K30">
        <v>4.5</v>
      </c>
      <c r="L30">
        <v>8</v>
      </c>
      <c r="N30" t="s">
        <v>20</v>
      </c>
      <c r="O30" t="s">
        <v>16</v>
      </c>
      <c r="P30" t="s">
        <v>303</v>
      </c>
      <c r="Q30">
        <v>7.5</v>
      </c>
      <c r="R30">
        <v>5</v>
      </c>
    </row>
    <row r="31" spans="1:18" x14ac:dyDescent="0.25">
      <c r="A31">
        <v>2</v>
      </c>
      <c r="B31">
        <v>5</v>
      </c>
      <c r="D31">
        <v>1</v>
      </c>
      <c r="E31">
        <v>1</v>
      </c>
      <c r="F31" t="s">
        <v>13</v>
      </c>
      <c r="G31" t="s">
        <v>14</v>
      </c>
      <c r="H31" t="s">
        <v>15</v>
      </c>
      <c r="L31">
        <v>1.7</v>
      </c>
      <c r="M31" t="e">
        <v>#REF!</v>
      </c>
      <c r="P31" t="s">
        <v>303</v>
      </c>
      <c r="Q31">
        <v>2.5</v>
      </c>
      <c r="R31">
        <v>5</v>
      </c>
    </row>
    <row r="32" spans="1:18" x14ac:dyDescent="0.25">
      <c r="A32">
        <v>7</v>
      </c>
      <c r="B32">
        <v>100</v>
      </c>
      <c r="C32">
        <v>4</v>
      </c>
      <c r="D32">
        <v>9</v>
      </c>
      <c r="E32">
        <v>9</v>
      </c>
      <c r="F32" t="s">
        <v>13</v>
      </c>
      <c r="G32" t="s">
        <v>14</v>
      </c>
      <c r="H32" t="s">
        <v>15</v>
      </c>
      <c r="I32">
        <v>17</v>
      </c>
      <c r="J32">
        <v>5.4112680651244416</v>
      </c>
      <c r="K32">
        <v>3</v>
      </c>
      <c r="L32">
        <v>5</v>
      </c>
      <c r="N32" t="s">
        <v>20</v>
      </c>
      <c r="O32" t="s">
        <v>16</v>
      </c>
      <c r="P32" t="s">
        <v>303</v>
      </c>
      <c r="Q32">
        <v>5</v>
      </c>
      <c r="R32">
        <v>5</v>
      </c>
    </row>
    <row r="33" spans="1:18" x14ac:dyDescent="0.25">
      <c r="A33">
        <v>2</v>
      </c>
      <c r="B33">
        <v>5</v>
      </c>
      <c r="D33">
        <v>2</v>
      </c>
      <c r="E33">
        <v>2</v>
      </c>
      <c r="F33" t="s">
        <v>13</v>
      </c>
      <c r="G33" t="s">
        <v>14</v>
      </c>
      <c r="H33" t="s">
        <v>15</v>
      </c>
      <c r="L33">
        <v>3.5</v>
      </c>
      <c r="M33" t="e">
        <v>#REF!</v>
      </c>
      <c r="P33" t="s">
        <v>303</v>
      </c>
      <c r="Q33">
        <v>2.5</v>
      </c>
      <c r="R33">
        <v>5</v>
      </c>
    </row>
    <row r="34" spans="1:18" x14ac:dyDescent="0.25">
      <c r="A34">
        <v>2</v>
      </c>
      <c r="B34">
        <v>5</v>
      </c>
      <c r="D34">
        <v>3</v>
      </c>
      <c r="E34">
        <v>3</v>
      </c>
      <c r="F34" t="s">
        <v>17</v>
      </c>
      <c r="G34" t="s">
        <v>54</v>
      </c>
      <c r="H34" t="s">
        <v>55</v>
      </c>
      <c r="L34">
        <v>3</v>
      </c>
      <c r="M34" t="e">
        <v>#REF!</v>
      </c>
      <c r="P34" t="s">
        <v>303</v>
      </c>
      <c r="Q34">
        <v>2.5</v>
      </c>
      <c r="R34">
        <v>5</v>
      </c>
    </row>
    <row r="35" spans="1:18" x14ac:dyDescent="0.25">
      <c r="A35">
        <v>2</v>
      </c>
      <c r="B35">
        <v>5</v>
      </c>
      <c r="D35">
        <v>4</v>
      </c>
      <c r="E35">
        <v>4</v>
      </c>
      <c r="F35" t="s">
        <v>13</v>
      </c>
      <c r="G35" t="s">
        <v>14</v>
      </c>
      <c r="H35" t="s">
        <v>15</v>
      </c>
      <c r="L35">
        <v>1.7</v>
      </c>
      <c r="M35" t="e">
        <v>#REF!</v>
      </c>
      <c r="P35" t="s">
        <v>303</v>
      </c>
      <c r="Q35">
        <v>2.5</v>
      </c>
      <c r="R35">
        <v>5</v>
      </c>
    </row>
    <row r="36" spans="1:18" x14ac:dyDescent="0.25">
      <c r="A36">
        <v>2</v>
      </c>
      <c r="B36">
        <v>5</v>
      </c>
      <c r="D36">
        <v>5</v>
      </c>
      <c r="E36">
        <v>5</v>
      </c>
      <c r="F36" t="s">
        <v>17</v>
      </c>
      <c r="G36" t="s">
        <v>54</v>
      </c>
      <c r="H36" t="s">
        <v>55</v>
      </c>
      <c r="L36">
        <v>3.5</v>
      </c>
      <c r="M36" t="e">
        <v>#REF!</v>
      </c>
      <c r="P36" t="s">
        <v>303</v>
      </c>
      <c r="Q36">
        <v>2.5</v>
      </c>
      <c r="R36">
        <v>5</v>
      </c>
    </row>
    <row r="37" spans="1:18" x14ac:dyDescent="0.25">
      <c r="A37">
        <v>2</v>
      </c>
      <c r="B37">
        <v>100</v>
      </c>
      <c r="C37">
        <v>3</v>
      </c>
      <c r="D37">
        <v>10</v>
      </c>
      <c r="E37">
        <v>10</v>
      </c>
      <c r="F37" t="s">
        <v>13</v>
      </c>
      <c r="G37" t="s">
        <v>14</v>
      </c>
      <c r="H37" t="s">
        <v>15</v>
      </c>
      <c r="I37">
        <v>18.5</v>
      </c>
      <c r="J37">
        <v>5.8887328944001274</v>
      </c>
      <c r="K37">
        <v>4</v>
      </c>
      <c r="L37">
        <v>8</v>
      </c>
      <c r="N37" t="s">
        <v>20</v>
      </c>
      <c r="O37" t="s">
        <v>16</v>
      </c>
      <c r="P37" t="s">
        <v>303</v>
      </c>
      <c r="Q37">
        <v>7.5</v>
      </c>
      <c r="R37">
        <v>5</v>
      </c>
    </row>
    <row r="38" spans="1:18" x14ac:dyDescent="0.25">
      <c r="A38">
        <v>10</v>
      </c>
      <c r="B38">
        <v>100</v>
      </c>
      <c r="C38">
        <v>1</v>
      </c>
      <c r="D38">
        <v>10</v>
      </c>
      <c r="E38">
        <v>10</v>
      </c>
      <c r="F38" t="s">
        <v>13</v>
      </c>
      <c r="G38" t="s">
        <v>14</v>
      </c>
      <c r="H38" t="s">
        <v>15</v>
      </c>
      <c r="I38">
        <v>16</v>
      </c>
      <c r="J38">
        <v>5.0929581789406511</v>
      </c>
      <c r="K38">
        <v>3.5</v>
      </c>
      <c r="L38">
        <v>7</v>
      </c>
      <c r="N38" t="s">
        <v>20</v>
      </c>
      <c r="O38" t="s">
        <v>16</v>
      </c>
      <c r="P38" t="s">
        <v>303</v>
      </c>
      <c r="Q38">
        <v>7.5</v>
      </c>
      <c r="R38">
        <v>5</v>
      </c>
    </row>
    <row r="39" spans="1:18" x14ac:dyDescent="0.25">
      <c r="A39">
        <v>2</v>
      </c>
      <c r="B39">
        <v>5</v>
      </c>
      <c r="D39">
        <v>6</v>
      </c>
      <c r="E39">
        <v>6</v>
      </c>
      <c r="F39" t="s">
        <v>90</v>
      </c>
      <c r="G39" t="s">
        <v>91</v>
      </c>
      <c r="H39" t="s">
        <v>92</v>
      </c>
      <c r="L39">
        <v>1.8</v>
      </c>
      <c r="M39" t="e">
        <v>#REF!</v>
      </c>
      <c r="P39" t="s">
        <v>303</v>
      </c>
      <c r="Q39">
        <v>2.5</v>
      </c>
      <c r="R39">
        <v>5</v>
      </c>
    </row>
    <row r="40" spans="1:18" x14ac:dyDescent="0.25">
      <c r="A40">
        <v>2</v>
      </c>
      <c r="B40">
        <v>5</v>
      </c>
      <c r="D40">
        <v>7</v>
      </c>
      <c r="E40">
        <v>7</v>
      </c>
      <c r="F40" t="s">
        <v>90</v>
      </c>
      <c r="G40" t="s">
        <v>91</v>
      </c>
      <c r="H40" t="s">
        <v>92</v>
      </c>
      <c r="L40">
        <v>1.8</v>
      </c>
      <c r="M40" t="e">
        <v>#REF!</v>
      </c>
      <c r="P40" t="s">
        <v>303</v>
      </c>
      <c r="Q40">
        <v>2.5</v>
      </c>
      <c r="R40">
        <v>5</v>
      </c>
    </row>
    <row r="41" spans="1:18" x14ac:dyDescent="0.25">
      <c r="A41">
        <v>2</v>
      </c>
      <c r="B41">
        <v>5</v>
      </c>
      <c r="D41">
        <v>8</v>
      </c>
      <c r="E41">
        <v>8</v>
      </c>
      <c r="F41" t="s">
        <v>96</v>
      </c>
      <c r="G41" t="s">
        <v>97</v>
      </c>
      <c r="H41" t="s">
        <v>98</v>
      </c>
      <c r="L41">
        <v>4</v>
      </c>
      <c r="M41" t="e">
        <v>#REF!</v>
      </c>
      <c r="P41" t="s">
        <v>303</v>
      </c>
      <c r="Q41">
        <v>5</v>
      </c>
      <c r="R41">
        <v>5</v>
      </c>
    </row>
    <row r="42" spans="1:18" x14ac:dyDescent="0.25">
      <c r="A42">
        <v>2</v>
      </c>
      <c r="B42">
        <v>5</v>
      </c>
      <c r="D42">
        <v>9</v>
      </c>
      <c r="E42">
        <v>9</v>
      </c>
      <c r="F42" t="s">
        <v>17</v>
      </c>
      <c r="G42" t="s">
        <v>54</v>
      </c>
      <c r="H42" t="s">
        <v>55</v>
      </c>
      <c r="L42">
        <v>1</v>
      </c>
      <c r="M42" t="e">
        <v>#REF!</v>
      </c>
      <c r="P42" t="s">
        <v>303</v>
      </c>
      <c r="Q42">
        <v>2.5</v>
      </c>
      <c r="R42">
        <v>5</v>
      </c>
    </row>
    <row r="43" spans="1:18" x14ac:dyDescent="0.25">
      <c r="A43">
        <v>5</v>
      </c>
      <c r="B43">
        <v>100</v>
      </c>
      <c r="C43">
        <v>1</v>
      </c>
      <c r="D43">
        <v>10</v>
      </c>
      <c r="E43">
        <v>11</v>
      </c>
      <c r="F43" t="s">
        <v>13</v>
      </c>
      <c r="G43" t="s">
        <v>14</v>
      </c>
      <c r="H43" t="s">
        <v>15</v>
      </c>
      <c r="I43">
        <v>17</v>
      </c>
      <c r="J43">
        <v>5.4112680651244416</v>
      </c>
      <c r="K43">
        <v>4</v>
      </c>
      <c r="L43">
        <v>8</v>
      </c>
      <c r="N43" t="s">
        <v>20</v>
      </c>
      <c r="O43" t="s">
        <v>16</v>
      </c>
      <c r="P43" t="s">
        <v>303</v>
      </c>
      <c r="Q43">
        <v>7.5</v>
      </c>
      <c r="R43">
        <v>5</v>
      </c>
    </row>
    <row r="44" spans="1:18" x14ac:dyDescent="0.25">
      <c r="A44">
        <v>2</v>
      </c>
      <c r="B44">
        <v>5</v>
      </c>
      <c r="D44">
        <v>10</v>
      </c>
      <c r="E44">
        <v>10</v>
      </c>
      <c r="F44" t="s">
        <v>90</v>
      </c>
      <c r="G44" t="s">
        <v>91</v>
      </c>
      <c r="H44" t="s">
        <v>92</v>
      </c>
      <c r="L44">
        <v>2.2999999999999998</v>
      </c>
      <c r="M44" t="e">
        <v>#REF!</v>
      </c>
      <c r="P44" t="s">
        <v>303</v>
      </c>
      <c r="Q44">
        <v>2.5</v>
      </c>
      <c r="R44">
        <v>5</v>
      </c>
    </row>
    <row r="45" spans="1:18" x14ac:dyDescent="0.25">
      <c r="A45">
        <v>2</v>
      </c>
      <c r="B45">
        <v>5</v>
      </c>
      <c r="D45">
        <v>11</v>
      </c>
      <c r="E45">
        <v>11</v>
      </c>
      <c r="F45" t="s">
        <v>17</v>
      </c>
      <c r="G45" t="s">
        <v>54</v>
      </c>
      <c r="H45" t="s">
        <v>55</v>
      </c>
      <c r="L45">
        <v>1</v>
      </c>
      <c r="M45" t="e">
        <v>#REF!</v>
      </c>
      <c r="P45" t="s">
        <v>303</v>
      </c>
      <c r="Q45">
        <v>2.5</v>
      </c>
      <c r="R45">
        <v>5</v>
      </c>
    </row>
    <row r="46" spans="1:18" x14ac:dyDescent="0.25">
      <c r="A46">
        <v>2</v>
      </c>
      <c r="B46">
        <v>5</v>
      </c>
      <c r="D46">
        <v>12</v>
      </c>
      <c r="E46">
        <v>12</v>
      </c>
      <c r="F46" t="s">
        <v>43</v>
      </c>
      <c r="G46" t="s">
        <v>44</v>
      </c>
      <c r="H46" t="s">
        <v>45</v>
      </c>
      <c r="L46">
        <v>1.7</v>
      </c>
      <c r="M46" t="e">
        <v>#REF!</v>
      </c>
      <c r="P46" t="s">
        <v>303</v>
      </c>
      <c r="Q46">
        <v>2.5</v>
      </c>
      <c r="R46">
        <v>5</v>
      </c>
    </row>
    <row r="47" spans="1:18" x14ac:dyDescent="0.25">
      <c r="A47">
        <v>2</v>
      </c>
      <c r="B47">
        <v>5</v>
      </c>
      <c r="D47">
        <v>13</v>
      </c>
      <c r="E47">
        <v>13</v>
      </c>
      <c r="F47" t="s">
        <v>43</v>
      </c>
      <c r="G47" t="s">
        <v>44</v>
      </c>
      <c r="H47" t="s">
        <v>45</v>
      </c>
      <c r="L47">
        <v>7</v>
      </c>
      <c r="M47" t="e">
        <v>#REF!</v>
      </c>
      <c r="P47" t="s">
        <v>303</v>
      </c>
      <c r="Q47">
        <v>7.5</v>
      </c>
      <c r="R47">
        <v>5</v>
      </c>
    </row>
    <row r="48" spans="1:18" x14ac:dyDescent="0.25">
      <c r="A48">
        <v>2</v>
      </c>
      <c r="B48">
        <v>100</v>
      </c>
      <c r="C48">
        <v>4</v>
      </c>
      <c r="D48">
        <v>12</v>
      </c>
      <c r="E48">
        <v>12</v>
      </c>
      <c r="F48" t="s">
        <v>13</v>
      </c>
      <c r="G48" t="s">
        <v>14</v>
      </c>
      <c r="H48" t="s">
        <v>15</v>
      </c>
      <c r="I48">
        <v>21</v>
      </c>
      <c r="J48">
        <v>6.6845076098596046</v>
      </c>
      <c r="K48">
        <v>4</v>
      </c>
      <c r="L48">
        <v>9</v>
      </c>
      <c r="N48" t="s">
        <v>20</v>
      </c>
      <c r="O48" t="s">
        <v>16</v>
      </c>
      <c r="P48" t="s">
        <v>303</v>
      </c>
      <c r="Q48">
        <v>10</v>
      </c>
      <c r="R48">
        <v>5</v>
      </c>
    </row>
    <row r="49" spans="1:18" x14ac:dyDescent="0.25">
      <c r="A49">
        <v>2</v>
      </c>
      <c r="B49">
        <v>5</v>
      </c>
      <c r="D49">
        <v>14</v>
      </c>
      <c r="E49">
        <v>14</v>
      </c>
      <c r="F49" t="s">
        <v>36</v>
      </c>
      <c r="G49" t="s">
        <v>101</v>
      </c>
      <c r="H49" t="s">
        <v>102</v>
      </c>
      <c r="L49">
        <v>0.6</v>
      </c>
      <c r="M49" t="e">
        <v>#REF!</v>
      </c>
      <c r="P49" t="s">
        <v>303</v>
      </c>
      <c r="Q49">
        <v>2.5</v>
      </c>
      <c r="R49">
        <v>5</v>
      </c>
    </row>
    <row r="50" spans="1:18" x14ac:dyDescent="0.25">
      <c r="A50">
        <v>2</v>
      </c>
      <c r="B50">
        <v>5</v>
      </c>
      <c r="D50">
        <v>15</v>
      </c>
      <c r="E50">
        <v>15</v>
      </c>
      <c r="F50" t="s">
        <v>36</v>
      </c>
      <c r="G50" t="s">
        <v>101</v>
      </c>
      <c r="H50" t="s">
        <v>102</v>
      </c>
      <c r="L50">
        <v>0.4</v>
      </c>
      <c r="M50" t="e">
        <v>#REF!</v>
      </c>
      <c r="P50" t="s">
        <v>303</v>
      </c>
      <c r="Q50">
        <v>2.5</v>
      </c>
      <c r="R50">
        <v>5</v>
      </c>
    </row>
    <row r="51" spans="1:18" x14ac:dyDescent="0.25">
      <c r="A51">
        <v>2</v>
      </c>
      <c r="B51">
        <v>5</v>
      </c>
      <c r="D51">
        <v>16</v>
      </c>
      <c r="E51">
        <v>16</v>
      </c>
      <c r="F51" t="s">
        <v>36</v>
      </c>
      <c r="G51" t="s">
        <v>101</v>
      </c>
      <c r="H51" t="s">
        <v>102</v>
      </c>
      <c r="L51">
        <v>0.15</v>
      </c>
      <c r="M51" t="e">
        <v>#REF!</v>
      </c>
      <c r="P51" t="s">
        <v>303</v>
      </c>
      <c r="Q51">
        <v>2.5</v>
      </c>
      <c r="R51">
        <v>5</v>
      </c>
    </row>
    <row r="52" spans="1:18" x14ac:dyDescent="0.25">
      <c r="A52">
        <v>2</v>
      </c>
      <c r="B52">
        <v>5</v>
      </c>
      <c r="D52">
        <v>17</v>
      </c>
      <c r="E52">
        <v>17</v>
      </c>
      <c r="F52" t="s">
        <v>36</v>
      </c>
      <c r="G52" t="s">
        <v>101</v>
      </c>
      <c r="H52" t="s">
        <v>102</v>
      </c>
      <c r="L52">
        <v>0.4</v>
      </c>
      <c r="M52" t="e">
        <v>#REF!</v>
      </c>
      <c r="P52" t="s">
        <v>303</v>
      </c>
      <c r="Q52">
        <v>2.5</v>
      </c>
      <c r="R52">
        <v>5</v>
      </c>
    </row>
    <row r="53" spans="1:18" x14ac:dyDescent="0.25">
      <c r="A53">
        <v>2</v>
      </c>
      <c r="B53">
        <v>5</v>
      </c>
      <c r="D53">
        <v>18</v>
      </c>
      <c r="E53">
        <v>18</v>
      </c>
      <c r="F53" t="s">
        <v>26</v>
      </c>
      <c r="G53" t="s">
        <v>27</v>
      </c>
      <c r="H53" t="s">
        <v>28</v>
      </c>
      <c r="L53">
        <v>0.6</v>
      </c>
      <c r="M53" t="e">
        <v>#REF!</v>
      </c>
      <c r="P53" t="s">
        <v>303</v>
      </c>
      <c r="Q53">
        <v>2.5</v>
      </c>
      <c r="R53">
        <v>5</v>
      </c>
    </row>
    <row r="54" spans="1:18" x14ac:dyDescent="0.25">
      <c r="A54">
        <v>2</v>
      </c>
      <c r="B54">
        <v>5</v>
      </c>
      <c r="D54">
        <v>19</v>
      </c>
      <c r="E54">
        <v>19</v>
      </c>
      <c r="F54" t="s">
        <v>13</v>
      </c>
      <c r="G54" t="s">
        <v>14</v>
      </c>
      <c r="H54" t="s">
        <v>15</v>
      </c>
      <c r="L54">
        <v>0.6</v>
      </c>
      <c r="M54" t="e">
        <v>#REF!</v>
      </c>
      <c r="P54" t="s">
        <v>303</v>
      </c>
      <c r="Q54">
        <v>2.5</v>
      </c>
      <c r="R54">
        <v>5</v>
      </c>
    </row>
    <row r="55" spans="1:18" x14ac:dyDescent="0.25">
      <c r="A55">
        <v>1</v>
      </c>
      <c r="B55">
        <v>100</v>
      </c>
      <c r="C55">
        <v>3</v>
      </c>
      <c r="D55">
        <v>14</v>
      </c>
      <c r="E55">
        <v>14</v>
      </c>
      <c r="F55" t="s">
        <v>13</v>
      </c>
      <c r="G55" t="s">
        <v>14</v>
      </c>
      <c r="H55" t="s">
        <v>15</v>
      </c>
      <c r="I55">
        <v>18</v>
      </c>
      <c r="J55">
        <v>5.7295779513082321</v>
      </c>
      <c r="K55">
        <v>1.5</v>
      </c>
      <c r="L55">
        <v>5</v>
      </c>
      <c r="N55" t="s">
        <v>20</v>
      </c>
      <c r="O55" t="s">
        <v>16</v>
      </c>
      <c r="P55" t="s">
        <v>303</v>
      </c>
      <c r="Q55">
        <v>5</v>
      </c>
      <c r="R55">
        <v>5</v>
      </c>
    </row>
    <row r="56" spans="1:18" x14ac:dyDescent="0.25">
      <c r="A56">
        <v>2</v>
      </c>
      <c r="B56">
        <v>5</v>
      </c>
      <c r="D56">
        <v>20</v>
      </c>
      <c r="E56">
        <v>20</v>
      </c>
      <c r="F56" t="s">
        <v>13</v>
      </c>
      <c r="G56" t="s">
        <v>14</v>
      </c>
      <c r="H56" t="s">
        <v>15</v>
      </c>
      <c r="L56">
        <v>0.4</v>
      </c>
      <c r="M56" t="e">
        <v>#REF!</v>
      </c>
      <c r="P56" t="s">
        <v>303</v>
      </c>
      <c r="Q56">
        <v>2.5</v>
      </c>
      <c r="R56">
        <v>5</v>
      </c>
    </row>
    <row r="57" spans="1:18" x14ac:dyDescent="0.25">
      <c r="A57">
        <v>2</v>
      </c>
      <c r="B57">
        <v>5</v>
      </c>
      <c r="D57">
        <v>21</v>
      </c>
      <c r="E57">
        <v>21</v>
      </c>
      <c r="F57" t="s">
        <v>13</v>
      </c>
      <c r="G57" t="s">
        <v>14</v>
      </c>
      <c r="H57" t="s">
        <v>15</v>
      </c>
      <c r="L57">
        <v>0.3</v>
      </c>
      <c r="M57" t="e">
        <v>#REF!</v>
      </c>
      <c r="P57" t="s">
        <v>303</v>
      </c>
      <c r="Q57">
        <v>2.5</v>
      </c>
      <c r="R57">
        <v>5</v>
      </c>
    </row>
    <row r="58" spans="1:18" x14ac:dyDescent="0.25">
      <c r="A58">
        <v>2</v>
      </c>
      <c r="B58">
        <v>5</v>
      </c>
      <c r="D58">
        <v>22</v>
      </c>
      <c r="E58">
        <v>22</v>
      </c>
      <c r="F58" t="s">
        <v>90</v>
      </c>
      <c r="G58" t="s">
        <v>103</v>
      </c>
      <c r="H58" t="s">
        <v>104</v>
      </c>
      <c r="L58">
        <v>13</v>
      </c>
      <c r="M58" t="e">
        <v>#REF!</v>
      </c>
      <c r="P58" t="s">
        <v>303</v>
      </c>
      <c r="Q58">
        <v>12.5</v>
      </c>
      <c r="R58">
        <v>5</v>
      </c>
    </row>
    <row r="59" spans="1:18" x14ac:dyDescent="0.25">
      <c r="A59">
        <v>3</v>
      </c>
      <c r="B59">
        <v>5</v>
      </c>
      <c r="D59">
        <v>1</v>
      </c>
      <c r="E59">
        <v>1</v>
      </c>
      <c r="F59" t="s">
        <v>13</v>
      </c>
      <c r="G59" t="s">
        <v>14</v>
      </c>
      <c r="H59" t="s">
        <v>15</v>
      </c>
      <c r="L59">
        <v>8</v>
      </c>
      <c r="M59" t="e">
        <v>#REF!</v>
      </c>
      <c r="O59" t="s">
        <v>16</v>
      </c>
      <c r="P59" t="s">
        <v>303</v>
      </c>
      <c r="Q59">
        <v>7.5</v>
      </c>
      <c r="R59">
        <v>5</v>
      </c>
    </row>
    <row r="60" spans="1:18" x14ac:dyDescent="0.25">
      <c r="A60">
        <v>10</v>
      </c>
      <c r="B60">
        <v>100</v>
      </c>
      <c r="C60">
        <v>1</v>
      </c>
      <c r="D60">
        <v>15</v>
      </c>
      <c r="E60">
        <v>15</v>
      </c>
      <c r="F60" t="s">
        <v>13</v>
      </c>
      <c r="G60" t="s">
        <v>14</v>
      </c>
      <c r="H60" t="s">
        <v>15</v>
      </c>
      <c r="I60">
        <v>26.5</v>
      </c>
      <c r="J60">
        <v>8.4352119838704525</v>
      </c>
      <c r="K60">
        <v>6</v>
      </c>
      <c r="L60">
        <v>12</v>
      </c>
      <c r="N60" t="s">
        <v>20</v>
      </c>
      <c r="O60" t="s">
        <v>16</v>
      </c>
      <c r="P60" t="s">
        <v>303</v>
      </c>
      <c r="Q60">
        <v>12.5</v>
      </c>
      <c r="R60">
        <v>10</v>
      </c>
    </row>
    <row r="61" spans="1:18" x14ac:dyDescent="0.25">
      <c r="A61">
        <v>3</v>
      </c>
      <c r="B61">
        <v>5</v>
      </c>
      <c r="D61">
        <v>2</v>
      </c>
      <c r="E61">
        <v>2</v>
      </c>
      <c r="F61" t="s">
        <v>13</v>
      </c>
      <c r="G61" t="s">
        <v>14</v>
      </c>
      <c r="H61" t="s">
        <v>15</v>
      </c>
      <c r="L61">
        <v>8</v>
      </c>
      <c r="M61" t="e">
        <v>#REF!</v>
      </c>
      <c r="O61" t="s">
        <v>16</v>
      </c>
      <c r="P61" t="s">
        <v>303</v>
      </c>
      <c r="Q61">
        <v>7.5</v>
      </c>
      <c r="R61">
        <v>5</v>
      </c>
    </row>
    <row r="62" spans="1:18" x14ac:dyDescent="0.25">
      <c r="A62">
        <v>3</v>
      </c>
      <c r="B62">
        <v>5</v>
      </c>
      <c r="D62">
        <v>3</v>
      </c>
      <c r="E62">
        <v>3</v>
      </c>
      <c r="F62" t="s">
        <v>62</v>
      </c>
      <c r="G62" t="s">
        <v>63</v>
      </c>
      <c r="H62" t="s">
        <v>64</v>
      </c>
      <c r="L62">
        <v>3.5</v>
      </c>
      <c r="M62" t="e">
        <v>#REF!</v>
      </c>
      <c r="O62" t="s">
        <v>16</v>
      </c>
      <c r="P62" t="s">
        <v>303</v>
      </c>
      <c r="Q62">
        <v>2.5</v>
      </c>
      <c r="R62">
        <v>5</v>
      </c>
    </row>
    <row r="63" spans="1:18" x14ac:dyDescent="0.25">
      <c r="A63">
        <v>3</v>
      </c>
      <c r="B63">
        <v>5</v>
      </c>
      <c r="D63">
        <v>4</v>
      </c>
      <c r="E63">
        <v>4</v>
      </c>
      <c r="F63" t="s">
        <v>90</v>
      </c>
      <c r="G63" t="s">
        <v>282</v>
      </c>
      <c r="H63" t="s">
        <v>124</v>
      </c>
      <c r="L63">
        <v>3.5</v>
      </c>
      <c r="M63" t="e">
        <v>#REF!</v>
      </c>
      <c r="O63" t="s">
        <v>16</v>
      </c>
      <c r="P63" t="s">
        <v>303</v>
      </c>
      <c r="Q63">
        <v>2.5</v>
      </c>
      <c r="R63">
        <v>5</v>
      </c>
    </row>
    <row r="64" spans="1:18" x14ac:dyDescent="0.25">
      <c r="A64">
        <v>3</v>
      </c>
      <c r="B64">
        <v>100</v>
      </c>
      <c r="C64">
        <v>4</v>
      </c>
      <c r="D64">
        <v>16</v>
      </c>
      <c r="E64">
        <v>16</v>
      </c>
      <c r="F64" t="s">
        <v>13</v>
      </c>
      <c r="G64" t="s">
        <v>14</v>
      </c>
      <c r="H64" t="s">
        <v>15</v>
      </c>
      <c r="I64">
        <v>17.5</v>
      </c>
      <c r="J64">
        <v>5.5704230082163368</v>
      </c>
      <c r="K64">
        <v>3.5</v>
      </c>
      <c r="L64">
        <v>9</v>
      </c>
      <c r="N64" t="s">
        <v>20</v>
      </c>
      <c r="O64" t="s">
        <v>16</v>
      </c>
      <c r="P64" t="s">
        <v>303</v>
      </c>
      <c r="Q64">
        <v>10</v>
      </c>
      <c r="R64">
        <v>5</v>
      </c>
    </row>
    <row r="65" spans="1:21" x14ac:dyDescent="0.25">
      <c r="A65">
        <v>3</v>
      </c>
      <c r="B65">
        <v>5</v>
      </c>
      <c r="D65">
        <v>5</v>
      </c>
      <c r="E65">
        <v>5</v>
      </c>
      <c r="F65" t="s">
        <v>13</v>
      </c>
      <c r="G65" t="s">
        <v>14</v>
      </c>
      <c r="H65" t="s">
        <v>15</v>
      </c>
      <c r="L65">
        <v>5</v>
      </c>
      <c r="M65" t="e">
        <v>#REF!</v>
      </c>
      <c r="O65" t="s">
        <v>16</v>
      </c>
      <c r="P65" t="s">
        <v>303</v>
      </c>
      <c r="Q65">
        <v>5</v>
      </c>
      <c r="R65">
        <v>5</v>
      </c>
    </row>
    <row r="66" spans="1:21" x14ac:dyDescent="0.25">
      <c r="A66">
        <v>3</v>
      </c>
      <c r="B66">
        <v>5</v>
      </c>
      <c r="D66">
        <v>6</v>
      </c>
      <c r="E66">
        <v>6</v>
      </c>
      <c r="F66" t="s">
        <v>13</v>
      </c>
      <c r="G66" t="s">
        <v>14</v>
      </c>
      <c r="H66" t="s">
        <v>15</v>
      </c>
      <c r="L66">
        <v>4</v>
      </c>
      <c r="M66" t="e">
        <v>#REF!</v>
      </c>
      <c r="O66" t="s">
        <v>16</v>
      </c>
      <c r="P66" t="s">
        <v>303</v>
      </c>
      <c r="Q66">
        <v>5</v>
      </c>
      <c r="R66">
        <v>5</v>
      </c>
    </row>
    <row r="67" spans="1:21" x14ac:dyDescent="0.25">
      <c r="A67">
        <v>3</v>
      </c>
      <c r="B67">
        <v>5</v>
      </c>
      <c r="D67">
        <v>7</v>
      </c>
      <c r="E67">
        <v>7</v>
      </c>
      <c r="F67" t="s">
        <v>36</v>
      </c>
      <c r="G67" t="s">
        <v>37</v>
      </c>
      <c r="H67" t="s">
        <v>38</v>
      </c>
      <c r="L67">
        <v>0.6</v>
      </c>
      <c r="M67" t="e">
        <v>#REF!</v>
      </c>
      <c r="O67" t="s">
        <v>16</v>
      </c>
      <c r="P67" t="s">
        <v>303</v>
      </c>
      <c r="Q67">
        <v>2.5</v>
      </c>
      <c r="R67">
        <v>5</v>
      </c>
    </row>
    <row r="68" spans="1:21" x14ac:dyDescent="0.25">
      <c r="A68">
        <v>3</v>
      </c>
      <c r="B68">
        <v>5</v>
      </c>
      <c r="D68">
        <v>8</v>
      </c>
      <c r="E68">
        <v>8</v>
      </c>
      <c r="F68" t="s">
        <v>125</v>
      </c>
      <c r="G68" t="s">
        <v>126</v>
      </c>
      <c r="H68" t="s">
        <v>127</v>
      </c>
      <c r="L68">
        <v>0.15</v>
      </c>
      <c r="M68" t="e">
        <v>#REF!</v>
      </c>
      <c r="O68" t="s">
        <v>16</v>
      </c>
      <c r="P68" t="s">
        <v>303</v>
      </c>
      <c r="Q68">
        <v>2.5</v>
      </c>
      <c r="R68">
        <v>5</v>
      </c>
    </row>
    <row r="69" spans="1:21" x14ac:dyDescent="0.25">
      <c r="A69">
        <v>3</v>
      </c>
      <c r="B69">
        <v>5</v>
      </c>
      <c r="D69">
        <v>9</v>
      </c>
      <c r="E69">
        <v>9</v>
      </c>
      <c r="F69" t="s">
        <v>36</v>
      </c>
      <c r="G69" t="s">
        <v>101</v>
      </c>
      <c r="H69" t="s">
        <v>102</v>
      </c>
      <c r="L69">
        <v>0.8</v>
      </c>
      <c r="M69" t="e">
        <v>#REF!</v>
      </c>
      <c r="O69" t="s">
        <v>16</v>
      </c>
      <c r="P69" t="s">
        <v>303</v>
      </c>
      <c r="Q69">
        <v>2.5</v>
      </c>
      <c r="R69">
        <v>5</v>
      </c>
    </row>
    <row r="70" spans="1:21" x14ac:dyDescent="0.25">
      <c r="A70">
        <v>3</v>
      </c>
      <c r="B70">
        <v>5</v>
      </c>
      <c r="D70">
        <v>10</v>
      </c>
      <c r="E70">
        <v>10</v>
      </c>
      <c r="F70" t="s">
        <v>13</v>
      </c>
      <c r="G70" t="s">
        <v>14</v>
      </c>
      <c r="H70" t="s">
        <v>15</v>
      </c>
      <c r="L70">
        <v>0.2</v>
      </c>
      <c r="M70" t="e">
        <v>#REF!</v>
      </c>
      <c r="O70" t="s">
        <v>16</v>
      </c>
      <c r="P70" t="s">
        <v>303</v>
      </c>
      <c r="Q70">
        <v>2.5</v>
      </c>
      <c r="R70">
        <v>5</v>
      </c>
    </row>
    <row r="71" spans="1:21" x14ac:dyDescent="0.25">
      <c r="A71">
        <v>1</v>
      </c>
      <c r="B71">
        <v>100</v>
      </c>
      <c r="C71">
        <v>3</v>
      </c>
      <c r="D71">
        <v>19</v>
      </c>
      <c r="E71">
        <v>19</v>
      </c>
      <c r="F71" t="s">
        <v>13</v>
      </c>
      <c r="G71" t="s">
        <v>14</v>
      </c>
      <c r="H71" t="s">
        <v>15</v>
      </c>
      <c r="I71">
        <v>24</v>
      </c>
      <c r="J71">
        <v>7.6394372684109761</v>
      </c>
      <c r="K71">
        <v>6</v>
      </c>
      <c r="L71">
        <v>10</v>
      </c>
      <c r="N71" t="s">
        <v>20</v>
      </c>
      <c r="O71" t="s">
        <v>16</v>
      </c>
      <c r="P71" t="s">
        <v>303</v>
      </c>
      <c r="Q71">
        <v>10</v>
      </c>
      <c r="R71">
        <v>10</v>
      </c>
    </row>
    <row r="72" spans="1:21" x14ac:dyDescent="0.25">
      <c r="A72">
        <v>9</v>
      </c>
      <c r="B72">
        <v>100</v>
      </c>
      <c r="C72">
        <v>2</v>
      </c>
      <c r="D72">
        <v>19</v>
      </c>
      <c r="E72">
        <v>19</v>
      </c>
      <c r="F72" t="s">
        <v>13</v>
      </c>
      <c r="G72" t="s">
        <v>14</v>
      </c>
      <c r="H72" t="s">
        <v>15</v>
      </c>
      <c r="I72">
        <v>20.5</v>
      </c>
      <c r="J72">
        <v>6.5253526667677093</v>
      </c>
      <c r="K72">
        <v>3.5</v>
      </c>
      <c r="L72">
        <v>8</v>
      </c>
      <c r="N72" t="s">
        <v>20</v>
      </c>
      <c r="O72" t="s">
        <v>16</v>
      </c>
      <c r="P72" t="s">
        <v>303</v>
      </c>
      <c r="Q72">
        <v>7.5</v>
      </c>
      <c r="R72">
        <v>5</v>
      </c>
    </row>
    <row r="73" spans="1:21" x14ac:dyDescent="0.25">
      <c r="A73">
        <v>3</v>
      </c>
      <c r="B73">
        <v>5</v>
      </c>
      <c r="D73">
        <v>11</v>
      </c>
      <c r="E73">
        <v>11</v>
      </c>
      <c r="F73" t="s">
        <v>13</v>
      </c>
      <c r="G73" t="s">
        <v>14</v>
      </c>
      <c r="H73" t="s">
        <v>15</v>
      </c>
      <c r="L73">
        <v>0.2</v>
      </c>
      <c r="M73" t="e">
        <v>#REF!</v>
      </c>
      <c r="O73" t="s">
        <v>16</v>
      </c>
      <c r="P73" t="s">
        <v>303</v>
      </c>
      <c r="Q73">
        <v>2.5</v>
      </c>
      <c r="R73">
        <v>5</v>
      </c>
    </row>
    <row r="74" spans="1:21" x14ac:dyDescent="0.25">
      <c r="A74">
        <v>3</v>
      </c>
      <c r="B74">
        <v>5</v>
      </c>
      <c r="D74">
        <v>12</v>
      </c>
      <c r="E74">
        <v>12</v>
      </c>
      <c r="F74" t="s">
        <v>13</v>
      </c>
      <c r="G74" t="s">
        <v>14</v>
      </c>
      <c r="H74" t="s">
        <v>15</v>
      </c>
      <c r="L74">
        <v>0.2</v>
      </c>
      <c r="M74" t="e">
        <v>#REF!</v>
      </c>
      <c r="O74" t="s">
        <v>16</v>
      </c>
      <c r="P74" t="s">
        <v>303</v>
      </c>
      <c r="Q74">
        <v>2.5</v>
      </c>
      <c r="R74">
        <v>5</v>
      </c>
    </row>
    <row r="75" spans="1:21" x14ac:dyDescent="0.25">
      <c r="A75">
        <v>3</v>
      </c>
      <c r="B75">
        <v>5</v>
      </c>
      <c r="D75">
        <v>13</v>
      </c>
      <c r="E75">
        <v>13</v>
      </c>
      <c r="F75" t="s">
        <v>13</v>
      </c>
      <c r="G75" t="s">
        <v>14</v>
      </c>
      <c r="H75" t="s">
        <v>15</v>
      </c>
      <c r="L75">
        <v>0.2</v>
      </c>
      <c r="M75" t="e">
        <v>#REF!</v>
      </c>
      <c r="O75" t="s">
        <v>16</v>
      </c>
      <c r="P75" t="s">
        <v>303</v>
      </c>
      <c r="Q75">
        <v>2.5</v>
      </c>
      <c r="R75">
        <v>5</v>
      </c>
    </row>
    <row r="76" spans="1:21" x14ac:dyDescent="0.25">
      <c r="A76">
        <v>4</v>
      </c>
      <c r="B76">
        <v>500</v>
      </c>
      <c r="C76">
        <v>2</v>
      </c>
      <c r="D76">
        <v>19</v>
      </c>
      <c r="E76">
        <v>20</v>
      </c>
      <c r="F76" t="s">
        <v>13</v>
      </c>
      <c r="G76" t="s">
        <v>14</v>
      </c>
      <c r="H76" t="s">
        <v>15</v>
      </c>
      <c r="I76">
        <v>31.5</v>
      </c>
      <c r="J76">
        <v>10.026761414789407</v>
      </c>
      <c r="K76">
        <v>6</v>
      </c>
      <c r="L76">
        <v>9</v>
      </c>
      <c r="N76" t="s">
        <v>20</v>
      </c>
      <c r="O76" t="s">
        <v>16</v>
      </c>
      <c r="P76" t="s">
        <v>303</v>
      </c>
      <c r="Q76">
        <v>10</v>
      </c>
      <c r="R76">
        <v>10</v>
      </c>
      <c r="S76">
        <v>9</v>
      </c>
      <c r="T76" t="s">
        <v>268</v>
      </c>
      <c r="U76">
        <v>4.7547789333731237E-2</v>
      </c>
    </row>
    <row r="77" spans="1:21" x14ac:dyDescent="0.25">
      <c r="A77">
        <v>8</v>
      </c>
      <c r="B77">
        <v>500</v>
      </c>
      <c r="C77">
        <v>2</v>
      </c>
      <c r="D77">
        <v>18</v>
      </c>
      <c r="E77">
        <v>20</v>
      </c>
      <c r="F77" t="s">
        <v>13</v>
      </c>
      <c r="G77" t="s">
        <v>14</v>
      </c>
      <c r="H77" t="s">
        <v>15</v>
      </c>
      <c r="I77">
        <v>34</v>
      </c>
      <c r="J77">
        <v>10.822536130248883</v>
      </c>
      <c r="K77">
        <v>4</v>
      </c>
      <c r="L77">
        <v>12</v>
      </c>
      <c r="N77" t="s">
        <v>20</v>
      </c>
      <c r="O77" t="s">
        <v>16</v>
      </c>
      <c r="P77" t="s">
        <v>303</v>
      </c>
      <c r="Q77">
        <v>12.5</v>
      </c>
      <c r="R77">
        <v>10</v>
      </c>
      <c r="S77">
        <v>9</v>
      </c>
      <c r="T77" t="s">
        <v>268</v>
      </c>
      <c r="U77">
        <v>7.2941751612467562E-2</v>
      </c>
    </row>
    <row r="78" spans="1:21" x14ac:dyDescent="0.25">
      <c r="A78">
        <v>12</v>
      </c>
      <c r="B78">
        <v>100</v>
      </c>
      <c r="C78">
        <v>2</v>
      </c>
      <c r="D78">
        <v>15</v>
      </c>
      <c r="E78">
        <v>20</v>
      </c>
      <c r="F78" t="s">
        <v>13</v>
      </c>
      <c r="G78" t="s">
        <v>14</v>
      </c>
      <c r="H78" t="s">
        <v>15</v>
      </c>
      <c r="I78">
        <v>17.5</v>
      </c>
      <c r="J78">
        <v>5.5704230082163368</v>
      </c>
      <c r="K78">
        <v>6</v>
      </c>
      <c r="L78">
        <v>9</v>
      </c>
      <c r="N78" t="s">
        <v>20</v>
      </c>
      <c r="O78" t="s">
        <v>16</v>
      </c>
      <c r="P78" t="s">
        <v>303</v>
      </c>
      <c r="Q78">
        <v>10</v>
      </c>
      <c r="R78">
        <v>5</v>
      </c>
    </row>
    <row r="79" spans="1:21" x14ac:dyDescent="0.25">
      <c r="A79">
        <v>3</v>
      </c>
      <c r="B79">
        <v>5</v>
      </c>
      <c r="D79">
        <v>14</v>
      </c>
      <c r="E79">
        <v>14</v>
      </c>
      <c r="F79" t="s">
        <v>13</v>
      </c>
      <c r="G79" t="s">
        <v>14</v>
      </c>
      <c r="H79" t="s">
        <v>15</v>
      </c>
      <c r="L79">
        <v>0.2</v>
      </c>
      <c r="M79" t="e">
        <v>#REF!</v>
      </c>
      <c r="O79" t="s">
        <v>16</v>
      </c>
      <c r="P79" t="s">
        <v>303</v>
      </c>
      <c r="Q79">
        <v>2.5</v>
      </c>
      <c r="R79">
        <v>5</v>
      </c>
    </row>
    <row r="80" spans="1:21" x14ac:dyDescent="0.25">
      <c r="A80">
        <v>3</v>
      </c>
      <c r="B80">
        <v>5</v>
      </c>
      <c r="D80">
        <v>15</v>
      </c>
      <c r="E80">
        <v>15</v>
      </c>
      <c r="F80" t="s">
        <v>13</v>
      </c>
      <c r="G80" t="s">
        <v>14</v>
      </c>
      <c r="H80" t="s">
        <v>15</v>
      </c>
      <c r="L80">
        <v>0.2</v>
      </c>
      <c r="M80" t="e">
        <v>#REF!</v>
      </c>
      <c r="O80" t="s">
        <v>16</v>
      </c>
      <c r="P80" t="s">
        <v>303</v>
      </c>
      <c r="Q80">
        <v>2.5</v>
      </c>
      <c r="R80">
        <v>5</v>
      </c>
    </row>
    <row r="81" spans="1:18" x14ac:dyDescent="0.25">
      <c r="A81">
        <v>3</v>
      </c>
      <c r="B81">
        <v>5</v>
      </c>
      <c r="D81">
        <v>16</v>
      </c>
      <c r="E81">
        <v>16</v>
      </c>
      <c r="F81" t="s">
        <v>13</v>
      </c>
      <c r="G81" t="s">
        <v>14</v>
      </c>
      <c r="H81" t="s">
        <v>15</v>
      </c>
      <c r="L81">
        <v>0.15</v>
      </c>
      <c r="M81" t="e">
        <v>#REF!</v>
      </c>
      <c r="O81" t="s">
        <v>16</v>
      </c>
      <c r="P81" t="s">
        <v>303</v>
      </c>
      <c r="Q81">
        <v>2.5</v>
      </c>
      <c r="R81">
        <v>5</v>
      </c>
    </row>
    <row r="82" spans="1:18" x14ac:dyDescent="0.25">
      <c r="A82">
        <v>3</v>
      </c>
      <c r="B82">
        <v>5</v>
      </c>
      <c r="D82">
        <v>17</v>
      </c>
      <c r="E82">
        <v>17</v>
      </c>
      <c r="F82" t="s">
        <v>13</v>
      </c>
      <c r="G82" t="s">
        <v>14</v>
      </c>
      <c r="H82" t="s">
        <v>15</v>
      </c>
      <c r="L82">
        <v>0.15</v>
      </c>
      <c r="M82" t="e">
        <v>#REF!</v>
      </c>
      <c r="O82" t="s">
        <v>16</v>
      </c>
      <c r="P82" t="s">
        <v>303</v>
      </c>
      <c r="Q82">
        <v>2.5</v>
      </c>
      <c r="R82">
        <v>5</v>
      </c>
    </row>
    <row r="83" spans="1:18" x14ac:dyDescent="0.25">
      <c r="A83">
        <v>3</v>
      </c>
      <c r="B83">
        <v>5</v>
      </c>
      <c r="D83">
        <v>18</v>
      </c>
      <c r="E83">
        <v>18</v>
      </c>
      <c r="F83" t="s">
        <v>13</v>
      </c>
      <c r="G83" t="s">
        <v>14</v>
      </c>
      <c r="H83" t="s">
        <v>15</v>
      </c>
      <c r="L83">
        <v>0.15</v>
      </c>
      <c r="M83" t="e">
        <v>#REF!</v>
      </c>
      <c r="O83" t="s">
        <v>16</v>
      </c>
      <c r="P83" t="s">
        <v>303</v>
      </c>
      <c r="Q83">
        <v>2.5</v>
      </c>
      <c r="R83">
        <v>5</v>
      </c>
    </row>
    <row r="84" spans="1:18" x14ac:dyDescent="0.25">
      <c r="A84">
        <v>6</v>
      </c>
      <c r="B84">
        <v>100</v>
      </c>
      <c r="C84">
        <v>3</v>
      </c>
      <c r="D84">
        <v>19</v>
      </c>
      <c r="E84">
        <v>22</v>
      </c>
      <c r="F84" t="s">
        <v>13</v>
      </c>
      <c r="G84" t="s">
        <v>14</v>
      </c>
      <c r="H84" t="s">
        <v>15</v>
      </c>
      <c r="I84">
        <v>23.5</v>
      </c>
      <c r="J84">
        <v>7.4802823253190809</v>
      </c>
      <c r="K84">
        <v>3</v>
      </c>
      <c r="L84">
        <v>8</v>
      </c>
      <c r="N84" t="s">
        <v>20</v>
      </c>
      <c r="O84" t="s">
        <v>16</v>
      </c>
      <c r="P84" t="s">
        <v>303</v>
      </c>
      <c r="Q84">
        <v>7.5</v>
      </c>
      <c r="R84">
        <v>5</v>
      </c>
    </row>
    <row r="85" spans="1:18" x14ac:dyDescent="0.25">
      <c r="A85">
        <v>3</v>
      </c>
      <c r="B85">
        <v>5</v>
      </c>
      <c r="D85">
        <v>19</v>
      </c>
      <c r="E85">
        <v>19</v>
      </c>
      <c r="F85" t="s">
        <v>13</v>
      </c>
      <c r="G85" t="s">
        <v>14</v>
      </c>
      <c r="H85" t="s">
        <v>15</v>
      </c>
      <c r="L85">
        <v>0.15</v>
      </c>
      <c r="M85" t="e">
        <v>#REF!</v>
      </c>
      <c r="O85" t="s">
        <v>16</v>
      </c>
      <c r="P85" t="s">
        <v>303</v>
      </c>
      <c r="Q85">
        <v>2.5</v>
      </c>
      <c r="R85">
        <v>5</v>
      </c>
    </row>
    <row r="86" spans="1:18" x14ac:dyDescent="0.25">
      <c r="A86">
        <v>3</v>
      </c>
      <c r="B86">
        <v>5</v>
      </c>
      <c r="D86">
        <v>20</v>
      </c>
      <c r="E86">
        <v>20</v>
      </c>
      <c r="F86" t="s">
        <v>13</v>
      </c>
      <c r="G86" t="s">
        <v>14</v>
      </c>
      <c r="H86" t="s">
        <v>15</v>
      </c>
      <c r="L86">
        <v>0.2</v>
      </c>
      <c r="M86" t="e">
        <v>#REF!</v>
      </c>
      <c r="O86" t="s">
        <v>16</v>
      </c>
      <c r="P86" t="s">
        <v>303</v>
      </c>
      <c r="Q86">
        <v>2.5</v>
      </c>
      <c r="R86">
        <v>5</v>
      </c>
    </row>
    <row r="87" spans="1:18" x14ac:dyDescent="0.25">
      <c r="A87">
        <v>3</v>
      </c>
      <c r="B87">
        <v>5</v>
      </c>
      <c r="D87">
        <v>21</v>
      </c>
      <c r="E87">
        <v>21</v>
      </c>
      <c r="F87" t="s">
        <v>13</v>
      </c>
      <c r="G87" t="s">
        <v>14</v>
      </c>
      <c r="H87" t="s">
        <v>15</v>
      </c>
      <c r="L87">
        <v>0.2</v>
      </c>
      <c r="M87" t="e">
        <v>#REF!</v>
      </c>
      <c r="O87" t="s">
        <v>16</v>
      </c>
      <c r="P87" t="s">
        <v>303</v>
      </c>
      <c r="Q87">
        <v>2.5</v>
      </c>
      <c r="R87">
        <v>5</v>
      </c>
    </row>
    <row r="88" spans="1:18" x14ac:dyDescent="0.25">
      <c r="A88">
        <v>3</v>
      </c>
      <c r="B88">
        <v>5</v>
      </c>
      <c r="D88">
        <v>22</v>
      </c>
      <c r="E88">
        <v>22</v>
      </c>
      <c r="F88" t="s">
        <v>13</v>
      </c>
      <c r="G88" t="s">
        <v>14</v>
      </c>
      <c r="H88" t="s">
        <v>15</v>
      </c>
      <c r="L88">
        <v>0.2</v>
      </c>
      <c r="M88" t="e">
        <v>#REF!</v>
      </c>
      <c r="O88" t="s">
        <v>16</v>
      </c>
      <c r="P88" t="s">
        <v>303</v>
      </c>
      <c r="Q88">
        <v>2.5</v>
      </c>
      <c r="R88">
        <v>5</v>
      </c>
    </row>
    <row r="89" spans="1:18" x14ac:dyDescent="0.25">
      <c r="A89">
        <v>3</v>
      </c>
      <c r="B89">
        <v>5</v>
      </c>
      <c r="D89">
        <v>23</v>
      </c>
      <c r="E89">
        <v>23</v>
      </c>
      <c r="F89" t="s">
        <v>13</v>
      </c>
      <c r="G89" t="s">
        <v>14</v>
      </c>
      <c r="H89" t="s">
        <v>15</v>
      </c>
      <c r="L89">
        <v>0.2</v>
      </c>
      <c r="M89" t="e">
        <v>#REF!</v>
      </c>
      <c r="O89" t="s">
        <v>16</v>
      </c>
      <c r="P89" t="s">
        <v>303</v>
      </c>
      <c r="Q89">
        <v>2.5</v>
      </c>
      <c r="R89">
        <v>5</v>
      </c>
    </row>
    <row r="90" spans="1:18" x14ac:dyDescent="0.25">
      <c r="A90">
        <v>1</v>
      </c>
      <c r="B90">
        <v>100</v>
      </c>
      <c r="C90">
        <v>4</v>
      </c>
      <c r="D90">
        <v>26</v>
      </c>
      <c r="E90">
        <v>26</v>
      </c>
      <c r="F90" t="s">
        <v>13</v>
      </c>
      <c r="G90" t="s">
        <v>14</v>
      </c>
      <c r="H90" t="s">
        <v>15</v>
      </c>
      <c r="I90">
        <v>22</v>
      </c>
      <c r="J90">
        <v>7.0028174960433951</v>
      </c>
      <c r="K90">
        <v>7</v>
      </c>
      <c r="L90">
        <v>10</v>
      </c>
      <c r="N90" t="s">
        <v>20</v>
      </c>
      <c r="O90" t="s">
        <v>16</v>
      </c>
      <c r="P90" t="s">
        <v>303</v>
      </c>
      <c r="Q90">
        <v>10</v>
      </c>
      <c r="R90">
        <v>5</v>
      </c>
    </row>
    <row r="91" spans="1:18" x14ac:dyDescent="0.25">
      <c r="A91">
        <v>6</v>
      </c>
      <c r="B91">
        <v>100</v>
      </c>
      <c r="C91">
        <v>4</v>
      </c>
      <c r="D91">
        <v>23</v>
      </c>
      <c r="E91">
        <v>26</v>
      </c>
      <c r="F91" t="s">
        <v>13</v>
      </c>
      <c r="G91" t="s">
        <v>14</v>
      </c>
      <c r="H91" t="s">
        <v>15</v>
      </c>
      <c r="I91">
        <v>19</v>
      </c>
      <c r="J91">
        <v>6.0478878374920226</v>
      </c>
      <c r="K91">
        <v>4</v>
      </c>
      <c r="L91">
        <v>10</v>
      </c>
      <c r="N91" t="s">
        <v>20</v>
      </c>
      <c r="O91" t="s">
        <v>16</v>
      </c>
      <c r="P91" t="s">
        <v>303</v>
      </c>
      <c r="Q91">
        <v>10</v>
      </c>
      <c r="R91">
        <v>5</v>
      </c>
    </row>
    <row r="92" spans="1:18" x14ac:dyDescent="0.25">
      <c r="A92">
        <v>3</v>
      </c>
      <c r="B92">
        <v>5</v>
      </c>
      <c r="D92">
        <v>24</v>
      </c>
      <c r="E92">
        <v>24</v>
      </c>
      <c r="F92" t="s">
        <v>13</v>
      </c>
      <c r="G92" t="s">
        <v>14</v>
      </c>
      <c r="H92" t="s">
        <v>15</v>
      </c>
      <c r="L92">
        <v>0.15</v>
      </c>
      <c r="M92" t="e">
        <v>#REF!</v>
      </c>
      <c r="O92" t="s">
        <v>16</v>
      </c>
      <c r="P92" t="s">
        <v>303</v>
      </c>
      <c r="Q92">
        <v>2.5</v>
      </c>
      <c r="R92">
        <v>5</v>
      </c>
    </row>
    <row r="93" spans="1:18" x14ac:dyDescent="0.25">
      <c r="A93">
        <v>3</v>
      </c>
      <c r="B93">
        <v>5</v>
      </c>
      <c r="D93">
        <v>25</v>
      </c>
      <c r="E93">
        <v>25</v>
      </c>
      <c r="F93" t="s">
        <v>13</v>
      </c>
      <c r="G93" t="s">
        <v>14</v>
      </c>
      <c r="H93" t="s">
        <v>15</v>
      </c>
      <c r="L93">
        <v>0.15</v>
      </c>
      <c r="M93" t="e">
        <v>#REF!</v>
      </c>
      <c r="O93" t="s">
        <v>16</v>
      </c>
      <c r="P93" t="s">
        <v>303</v>
      </c>
      <c r="Q93">
        <v>2.5</v>
      </c>
      <c r="R93">
        <v>5</v>
      </c>
    </row>
    <row r="94" spans="1:18" x14ac:dyDescent="0.25">
      <c r="A94">
        <v>6</v>
      </c>
      <c r="B94">
        <v>100</v>
      </c>
      <c r="C94">
        <v>4</v>
      </c>
      <c r="D94">
        <v>24</v>
      </c>
      <c r="E94">
        <v>27</v>
      </c>
      <c r="F94" t="s">
        <v>13</v>
      </c>
      <c r="G94" t="s">
        <v>14</v>
      </c>
      <c r="H94" t="s">
        <v>15</v>
      </c>
      <c r="I94">
        <v>17.5</v>
      </c>
      <c r="J94">
        <v>5.5704230082163368</v>
      </c>
      <c r="K94">
        <v>4.5</v>
      </c>
      <c r="L94">
        <v>9</v>
      </c>
      <c r="N94" t="s">
        <v>20</v>
      </c>
      <c r="O94" t="s">
        <v>16</v>
      </c>
      <c r="P94" t="s">
        <v>303</v>
      </c>
      <c r="Q94">
        <v>10</v>
      </c>
      <c r="R94">
        <v>5</v>
      </c>
    </row>
    <row r="95" spans="1:18" x14ac:dyDescent="0.25">
      <c r="A95">
        <v>3</v>
      </c>
      <c r="B95">
        <v>5</v>
      </c>
      <c r="D95">
        <v>26</v>
      </c>
      <c r="E95">
        <v>26</v>
      </c>
      <c r="F95" t="s">
        <v>13</v>
      </c>
      <c r="G95" t="s">
        <v>14</v>
      </c>
      <c r="H95" t="s">
        <v>15</v>
      </c>
      <c r="L95">
        <v>0.15</v>
      </c>
      <c r="M95" t="e">
        <v>#REF!</v>
      </c>
      <c r="O95" t="s">
        <v>16</v>
      </c>
      <c r="P95" t="s">
        <v>303</v>
      </c>
      <c r="Q95">
        <v>2.5</v>
      </c>
      <c r="R95">
        <v>5</v>
      </c>
    </row>
    <row r="96" spans="1:18" x14ac:dyDescent="0.25">
      <c r="A96">
        <v>6</v>
      </c>
      <c r="B96">
        <v>100</v>
      </c>
      <c r="C96">
        <v>4</v>
      </c>
      <c r="D96">
        <v>26</v>
      </c>
      <c r="E96">
        <v>29</v>
      </c>
      <c r="F96" t="s">
        <v>13</v>
      </c>
      <c r="G96" t="s">
        <v>14</v>
      </c>
      <c r="H96" t="s">
        <v>15</v>
      </c>
      <c r="I96">
        <v>20.5</v>
      </c>
      <c r="J96">
        <v>6.5253526667677093</v>
      </c>
      <c r="K96">
        <v>5</v>
      </c>
      <c r="L96">
        <v>9</v>
      </c>
      <c r="N96" t="s">
        <v>20</v>
      </c>
      <c r="O96" t="s">
        <v>16</v>
      </c>
      <c r="P96" t="s">
        <v>303</v>
      </c>
      <c r="Q96">
        <v>10</v>
      </c>
      <c r="R96">
        <v>5</v>
      </c>
    </row>
    <row r="97" spans="1:21" x14ac:dyDescent="0.25">
      <c r="A97">
        <v>10</v>
      </c>
      <c r="B97">
        <v>100</v>
      </c>
      <c r="C97">
        <v>3</v>
      </c>
      <c r="D97">
        <v>33</v>
      </c>
      <c r="E97">
        <v>33</v>
      </c>
      <c r="F97" t="s">
        <v>13</v>
      </c>
      <c r="G97" t="s">
        <v>14</v>
      </c>
      <c r="H97" t="s">
        <v>15</v>
      </c>
      <c r="I97">
        <v>19</v>
      </c>
      <c r="J97">
        <v>6.0478878374920226</v>
      </c>
      <c r="K97">
        <v>5</v>
      </c>
      <c r="L97">
        <v>11</v>
      </c>
      <c r="N97" t="s">
        <v>20</v>
      </c>
      <c r="O97" t="s">
        <v>16</v>
      </c>
      <c r="P97" t="s">
        <v>303</v>
      </c>
      <c r="Q97">
        <v>10</v>
      </c>
      <c r="R97">
        <v>5</v>
      </c>
    </row>
    <row r="98" spans="1:21" x14ac:dyDescent="0.25">
      <c r="A98">
        <v>11</v>
      </c>
      <c r="B98">
        <v>100</v>
      </c>
      <c r="C98">
        <v>3</v>
      </c>
      <c r="D98">
        <v>35</v>
      </c>
      <c r="E98">
        <v>35</v>
      </c>
      <c r="F98" t="s">
        <v>13</v>
      </c>
      <c r="G98" t="s">
        <v>14</v>
      </c>
      <c r="H98" t="s">
        <v>15</v>
      </c>
      <c r="I98">
        <v>19.5</v>
      </c>
      <c r="J98">
        <v>6.2070427805839179</v>
      </c>
      <c r="K98">
        <v>3</v>
      </c>
      <c r="L98">
        <v>8</v>
      </c>
      <c r="N98" t="s">
        <v>20</v>
      </c>
      <c r="O98" t="s">
        <v>16</v>
      </c>
      <c r="P98" t="s">
        <v>303</v>
      </c>
      <c r="Q98">
        <v>7.5</v>
      </c>
      <c r="R98">
        <v>5</v>
      </c>
    </row>
    <row r="99" spans="1:21" x14ac:dyDescent="0.25">
      <c r="A99">
        <v>12</v>
      </c>
      <c r="B99">
        <v>100</v>
      </c>
      <c r="C99">
        <v>4</v>
      </c>
      <c r="D99">
        <v>25</v>
      </c>
      <c r="E99">
        <v>37</v>
      </c>
      <c r="F99" t="s">
        <v>13</v>
      </c>
      <c r="G99" t="s">
        <v>14</v>
      </c>
      <c r="H99" t="s">
        <v>15</v>
      </c>
      <c r="I99">
        <v>16.5</v>
      </c>
      <c r="J99">
        <v>5.2521131220325463</v>
      </c>
      <c r="K99">
        <v>2</v>
      </c>
      <c r="L99">
        <v>7</v>
      </c>
      <c r="N99" t="s">
        <v>20</v>
      </c>
      <c r="O99" t="s">
        <v>16</v>
      </c>
      <c r="P99" t="s">
        <v>303</v>
      </c>
      <c r="Q99">
        <v>7.5</v>
      </c>
      <c r="R99">
        <v>5</v>
      </c>
    </row>
    <row r="100" spans="1:21" x14ac:dyDescent="0.25">
      <c r="A100">
        <v>11</v>
      </c>
      <c r="B100">
        <v>100</v>
      </c>
      <c r="C100">
        <v>4</v>
      </c>
      <c r="D100">
        <v>38</v>
      </c>
      <c r="E100">
        <v>38</v>
      </c>
      <c r="F100" t="s">
        <v>13</v>
      </c>
      <c r="G100" t="s">
        <v>14</v>
      </c>
      <c r="H100" t="s">
        <v>15</v>
      </c>
      <c r="I100">
        <v>20.5</v>
      </c>
      <c r="J100">
        <v>6.5253526667677093</v>
      </c>
      <c r="K100">
        <v>7</v>
      </c>
      <c r="L100">
        <v>10</v>
      </c>
      <c r="N100" t="s">
        <v>20</v>
      </c>
      <c r="O100" t="s">
        <v>16</v>
      </c>
      <c r="P100" t="s">
        <v>303</v>
      </c>
      <c r="Q100">
        <v>10</v>
      </c>
      <c r="R100">
        <v>5</v>
      </c>
    </row>
    <row r="101" spans="1:21" x14ac:dyDescent="0.25">
      <c r="A101">
        <v>10</v>
      </c>
      <c r="B101">
        <v>100</v>
      </c>
      <c r="C101">
        <v>4</v>
      </c>
      <c r="D101">
        <v>39</v>
      </c>
      <c r="E101">
        <v>39</v>
      </c>
      <c r="F101" t="s">
        <v>13</v>
      </c>
      <c r="G101" t="s">
        <v>14</v>
      </c>
      <c r="H101" t="s">
        <v>15</v>
      </c>
      <c r="I101">
        <v>26.5</v>
      </c>
      <c r="J101">
        <v>8.4352119838704525</v>
      </c>
      <c r="K101">
        <v>2.5</v>
      </c>
      <c r="L101">
        <v>11</v>
      </c>
      <c r="N101" t="s">
        <v>20</v>
      </c>
      <c r="O101" t="s">
        <v>16</v>
      </c>
      <c r="P101" t="s">
        <v>303</v>
      </c>
      <c r="Q101">
        <v>10</v>
      </c>
      <c r="R101">
        <v>10</v>
      </c>
    </row>
    <row r="102" spans="1:21" x14ac:dyDescent="0.25">
      <c r="A102">
        <v>7</v>
      </c>
      <c r="B102">
        <v>500</v>
      </c>
      <c r="C102">
        <v>4</v>
      </c>
      <c r="D102">
        <v>40</v>
      </c>
      <c r="E102">
        <v>43</v>
      </c>
      <c r="F102" t="s">
        <v>13</v>
      </c>
      <c r="G102" t="s">
        <v>14</v>
      </c>
      <c r="H102" t="s">
        <v>15</v>
      </c>
      <c r="I102">
        <v>33</v>
      </c>
      <c r="J102">
        <v>10.504226244065093</v>
      </c>
      <c r="K102">
        <v>4</v>
      </c>
      <c r="L102">
        <v>10</v>
      </c>
      <c r="N102" t="s">
        <v>20</v>
      </c>
      <c r="O102" t="s">
        <v>16</v>
      </c>
      <c r="P102" t="s">
        <v>303</v>
      </c>
      <c r="Q102">
        <v>10</v>
      </c>
      <c r="R102">
        <v>10</v>
      </c>
      <c r="S102">
        <v>9</v>
      </c>
      <c r="T102" t="s">
        <v>268</v>
      </c>
      <c r="U102">
        <v>5.753098414258366E-2</v>
      </c>
    </row>
    <row r="103" spans="1:21" x14ac:dyDescent="0.25">
      <c r="A103">
        <v>9</v>
      </c>
      <c r="B103">
        <v>100</v>
      </c>
      <c r="C103">
        <v>4</v>
      </c>
      <c r="D103">
        <v>43</v>
      </c>
      <c r="E103">
        <v>43</v>
      </c>
      <c r="F103" t="s">
        <v>13</v>
      </c>
      <c r="G103" t="s">
        <v>14</v>
      </c>
      <c r="H103" t="s">
        <v>15</v>
      </c>
      <c r="I103">
        <v>18</v>
      </c>
      <c r="J103">
        <v>5.7295779513082321</v>
      </c>
      <c r="K103">
        <v>4.5</v>
      </c>
      <c r="L103">
        <v>9</v>
      </c>
      <c r="N103" t="s">
        <v>20</v>
      </c>
      <c r="O103" t="s">
        <v>16</v>
      </c>
      <c r="P103" t="s">
        <v>303</v>
      </c>
      <c r="Q103">
        <v>10</v>
      </c>
      <c r="R103">
        <v>5</v>
      </c>
    </row>
    <row r="104" spans="1:21" x14ac:dyDescent="0.25">
      <c r="A104">
        <v>7</v>
      </c>
      <c r="B104">
        <v>500</v>
      </c>
      <c r="C104">
        <v>4</v>
      </c>
      <c r="D104">
        <v>41</v>
      </c>
      <c r="E104">
        <v>44</v>
      </c>
      <c r="F104" t="s">
        <v>13</v>
      </c>
      <c r="G104" t="s">
        <v>14</v>
      </c>
      <c r="H104" t="s">
        <v>15</v>
      </c>
      <c r="I104">
        <v>33</v>
      </c>
      <c r="J104">
        <v>10.504226244065093</v>
      </c>
      <c r="K104">
        <v>4</v>
      </c>
      <c r="L104">
        <v>14</v>
      </c>
      <c r="N104" t="s">
        <v>20</v>
      </c>
      <c r="O104" t="s">
        <v>16</v>
      </c>
      <c r="P104" t="s">
        <v>303</v>
      </c>
      <c r="Q104">
        <v>15</v>
      </c>
      <c r="R104">
        <v>10</v>
      </c>
      <c r="S104">
        <v>9</v>
      </c>
      <c r="T104" t="s">
        <v>268</v>
      </c>
      <c r="U104">
        <v>8.0619799541885084E-2</v>
      </c>
    </row>
    <row r="105" spans="1:21" x14ac:dyDescent="0.25">
      <c r="A105">
        <v>9</v>
      </c>
      <c r="B105">
        <v>100</v>
      </c>
      <c r="C105">
        <v>4</v>
      </c>
      <c r="D105">
        <v>44</v>
      </c>
      <c r="E105">
        <v>44</v>
      </c>
      <c r="F105" t="s">
        <v>13</v>
      </c>
      <c r="G105" t="s">
        <v>14</v>
      </c>
      <c r="H105" t="s">
        <v>15</v>
      </c>
      <c r="I105">
        <v>18.5</v>
      </c>
      <c r="J105">
        <v>5.8887328944001274</v>
      </c>
      <c r="K105">
        <v>5</v>
      </c>
      <c r="L105">
        <v>5</v>
      </c>
      <c r="N105" t="s">
        <v>20</v>
      </c>
      <c r="O105" t="s">
        <v>16</v>
      </c>
      <c r="P105" t="s">
        <v>303</v>
      </c>
      <c r="Q105">
        <v>5</v>
      </c>
      <c r="R105">
        <v>5</v>
      </c>
    </row>
    <row r="106" spans="1:21" x14ac:dyDescent="0.25">
      <c r="A106">
        <v>12</v>
      </c>
      <c r="B106">
        <v>100</v>
      </c>
      <c r="C106">
        <v>4</v>
      </c>
      <c r="D106">
        <v>34</v>
      </c>
      <c r="E106">
        <v>51</v>
      </c>
      <c r="F106" t="s">
        <v>13</v>
      </c>
      <c r="G106" t="s">
        <v>14</v>
      </c>
      <c r="H106" t="s">
        <v>15</v>
      </c>
      <c r="I106">
        <v>18</v>
      </c>
      <c r="J106">
        <v>5.7295779513082321</v>
      </c>
      <c r="K106">
        <v>3</v>
      </c>
      <c r="L106">
        <v>9</v>
      </c>
      <c r="N106" t="s">
        <v>20</v>
      </c>
      <c r="O106" t="s">
        <v>16</v>
      </c>
      <c r="P106" t="s">
        <v>303</v>
      </c>
      <c r="Q106">
        <v>10</v>
      </c>
      <c r="R106">
        <v>5</v>
      </c>
    </row>
    <row r="107" spans="1:21" x14ac:dyDescent="0.25">
      <c r="A107">
        <v>3</v>
      </c>
      <c r="B107">
        <v>5</v>
      </c>
      <c r="D107">
        <v>27</v>
      </c>
      <c r="E107">
        <v>27</v>
      </c>
      <c r="F107" t="s">
        <v>13</v>
      </c>
      <c r="G107" t="s">
        <v>14</v>
      </c>
      <c r="H107" t="s">
        <v>15</v>
      </c>
      <c r="L107">
        <v>0.15</v>
      </c>
      <c r="M107" t="e">
        <v>#REF!</v>
      </c>
      <c r="O107" t="s">
        <v>16</v>
      </c>
      <c r="P107" t="s">
        <v>303</v>
      </c>
      <c r="Q107">
        <v>2.5</v>
      </c>
      <c r="R107">
        <v>5</v>
      </c>
    </row>
    <row r="108" spans="1:21" x14ac:dyDescent="0.25">
      <c r="A108">
        <v>4</v>
      </c>
      <c r="B108">
        <v>100</v>
      </c>
      <c r="C108">
        <v>1</v>
      </c>
      <c r="D108">
        <v>7</v>
      </c>
      <c r="E108">
        <v>8</v>
      </c>
      <c r="F108" t="s">
        <v>17</v>
      </c>
      <c r="G108" t="s">
        <v>148</v>
      </c>
      <c r="H108" t="s">
        <v>149</v>
      </c>
      <c r="I108">
        <v>16.5</v>
      </c>
      <c r="J108">
        <v>5.2521131220325463</v>
      </c>
      <c r="K108">
        <v>1.8</v>
      </c>
      <c r="L108">
        <v>10</v>
      </c>
      <c r="N108" t="s">
        <v>20</v>
      </c>
      <c r="O108" t="s">
        <v>16</v>
      </c>
      <c r="P108" t="s">
        <v>303</v>
      </c>
      <c r="Q108">
        <v>10</v>
      </c>
      <c r="R108">
        <v>5</v>
      </c>
    </row>
    <row r="109" spans="1:21" x14ac:dyDescent="0.25">
      <c r="A109">
        <v>3</v>
      </c>
      <c r="B109">
        <v>5</v>
      </c>
      <c r="D109">
        <v>28</v>
      </c>
      <c r="E109">
        <v>28</v>
      </c>
      <c r="F109" t="s">
        <v>43</v>
      </c>
      <c r="G109" t="s">
        <v>46</v>
      </c>
      <c r="H109" t="s">
        <v>47</v>
      </c>
      <c r="L109">
        <v>4</v>
      </c>
      <c r="M109" t="e">
        <v>#REF!</v>
      </c>
      <c r="O109" t="s">
        <v>16</v>
      </c>
      <c r="P109" t="s">
        <v>303</v>
      </c>
      <c r="Q109">
        <v>5</v>
      </c>
      <c r="R109">
        <v>5</v>
      </c>
    </row>
    <row r="110" spans="1:21" x14ac:dyDescent="0.25">
      <c r="A110">
        <v>3</v>
      </c>
      <c r="B110">
        <v>5</v>
      </c>
      <c r="D110">
        <v>29</v>
      </c>
      <c r="E110">
        <v>29</v>
      </c>
      <c r="F110" t="s">
        <v>108</v>
      </c>
      <c r="G110" t="s">
        <v>132</v>
      </c>
      <c r="H110" t="s">
        <v>133</v>
      </c>
      <c r="L110">
        <v>1.7</v>
      </c>
      <c r="M110" t="e">
        <v>#REF!</v>
      </c>
      <c r="O110" t="s">
        <v>16</v>
      </c>
      <c r="P110" t="s">
        <v>303</v>
      </c>
      <c r="Q110">
        <v>2.5</v>
      </c>
      <c r="R110">
        <v>5</v>
      </c>
    </row>
    <row r="111" spans="1:21" x14ac:dyDescent="0.25">
      <c r="A111">
        <v>1</v>
      </c>
      <c r="B111">
        <v>100</v>
      </c>
      <c r="C111">
        <v>1</v>
      </c>
      <c r="D111">
        <v>6</v>
      </c>
      <c r="E111">
        <v>6</v>
      </c>
      <c r="F111" t="s">
        <v>40</v>
      </c>
      <c r="G111" t="s">
        <v>41</v>
      </c>
      <c r="H111" t="s">
        <v>42</v>
      </c>
      <c r="I111">
        <v>23</v>
      </c>
      <c r="J111">
        <v>7.3211273822271856</v>
      </c>
      <c r="K111">
        <v>5</v>
      </c>
      <c r="L111">
        <v>10</v>
      </c>
      <c r="N111" t="s">
        <v>20</v>
      </c>
      <c r="O111" t="s">
        <v>16</v>
      </c>
      <c r="P111" t="s">
        <v>303</v>
      </c>
      <c r="Q111">
        <v>10</v>
      </c>
      <c r="R111">
        <v>5</v>
      </c>
    </row>
    <row r="112" spans="1:21" x14ac:dyDescent="0.25">
      <c r="A112">
        <v>7</v>
      </c>
      <c r="B112">
        <v>500</v>
      </c>
      <c r="C112">
        <v>2</v>
      </c>
      <c r="D112">
        <v>9</v>
      </c>
      <c r="E112">
        <v>12</v>
      </c>
      <c r="F112" t="s">
        <v>40</v>
      </c>
      <c r="G112" t="s">
        <v>41</v>
      </c>
      <c r="H112" t="s">
        <v>42</v>
      </c>
      <c r="I112">
        <v>37</v>
      </c>
      <c r="J112">
        <v>11.777465788800255</v>
      </c>
      <c r="K112">
        <v>3</v>
      </c>
      <c r="L112">
        <v>10</v>
      </c>
      <c r="N112" t="s">
        <v>20</v>
      </c>
      <c r="O112" t="s">
        <v>16</v>
      </c>
      <c r="P112" t="s">
        <v>303</v>
      </c>
      <c r="Q112">
        <v>10</v>
      </c>
      <c r="R112">
        <v>10</v>
      </c>
      <c r="S112">
        <v>17</v>
      </c>
      <c r="T112" t="s">
        <v>273</v>
      </c>
      <c r="U112">
        <v>6.8991137736137118E-2</v>
      </c>
    </row>
    <row r="113" spans="1:21" x14ac:dyDescent="0.25">
      <c r="A113">
        <v>4</v>
      </c>
      <c r="B113">
        <v>100</v>
      </c>
      <c r="C113">
        <v>2</v>
      </c>
      <c r="D113">
        <v>15</v>
      </c>
      <c r="E113">
        <v>16</v>
      </c>
      <c r="F113" t="s">
        <v>40</v>
      </c>
      <c r="G113" t="s">
        <v>41</v>
      </c>
      <c r="H113" t="s">
        <v>42</v>
      </c>
      <c r="I113">
        <v>21.5</v>
      </c>
      <c r="J113">
        <v>6.8436625529514998</v>
      </c>
      <c r="K113">
        <v>10</v>
      </c>
      <c r="L113">
        <v>12</v>
      </c>
      <c r="N113" t="s">
        <v>20</v>
      </c>
      <c r="O113" t="s">
        <v>16</v>
      </c>
      <c r="P113" t="s">
        <v>303</v>
      </c>
      <c r="Q113">
        <v>12.5</v>
      </c>
      <c r="R113">
        <v>5</v>
      </c>
    </row>
    <row r="114" spans="1:21" x14ac:dyDescent="0.25">
      <c r="A114">
        <v>6</v>
      </c>
      <c r="B114">
        <v>100</v>
      </c>
      <c r="C114">
        <v>3</v>
      </c>
      <c r="D114">
        <v>17</v>
      </c>
      <c r="E114">
        <v>20</v>
      </c>
      <c r="F114" t="s">
        <v>40</v>
      </c>
      <c r="G114" t="s">
        <v>41</v>
      </c>
      <c r="H114" t="s">
        <v>42</v>
      </c>
      <c r="I114">
        <v>19.5</v>
      </c>
      <c r="J114">
        <v>6.2070427805839179</v>
      </c>
      <c r="K114">
        <v>3</v>
      </c>
      <c r="L114">
        <v>8</v>
      </c>
      <c r="N114" t="s">
        <v>20</v>
      </c>
      <c r="O114" t="s">
        <v>16</v>
      </c>
      <c r="P114" t="s">
        <v>303</v>
      </c>
      <c r="Q114">
        <v>7.5</v>
      </c>
      <c r="R114">
        <v>5</v>
      </c>
    </row>
    <row r="115" spans="1:21" x14ac:dyDescent="0.25">
      <c r="A115">
        <v>6</v>
      </c>
      <c r="B115">
        <v>100</v>
      </c>
      <c r="C115">
        <v>4</v>
      </c>
      <c r="D115">
        <v>22</v>
      </c>
      <c r="E115">
        <v>25</v>
      </c>
      <c r="F115" t="s">
        <v>40</v>
      </c>
      <c r="G115" t="s">
        <v>41</v>
      </c>
      <c r="H115" t="s">
        <v>42</v>
      </c>
      <c r="I115">
        <v>22.5</v>
      </c>
      <c r="J115">
        <v>7.1619724391352904</v>
      </c>
      <c r="K115">
        <v>2</v>
      </c>
      <c r="L115">
        <v>9</v>
      </c>
      <c r="N115" t="s">
        <v>20</v>
      </c>
      <c r="O115" t="s">
        <v>16</v>
      </c>
      <c r="P115" t="s">
        <v>303</v>
      </c>
      <c r="Q115">
        <v>10</v>
      </c>
      <c r="R115">
        <v>5</v>
      </c>
    </row>
    <row r="116" spans="1:21" x14ac:dyDescent="0.25">
      <c r="A116">
        <v>11</v>
      </c>
      <c r="B116">
        <v>100</v>
      </c>
      <c r="C116">
        <v>4</v>
      </c>
      <c r="D116">
        <v>39</v>
      </c>
      <c r="E116">
        <v>39</v>
      </c>
      <c r="F116" t="s">
        <v>40</v>
      </c>
      <c r="G116" t="s">
        <v>41</v>
      </c>
      <c r="H116" t="s">
        <v>42</v>
      </c>
      <c r="I116">
        <v>17.5</v>
      </c>
      <c r="J116">
        <v>5.5704230082163368</v>
      </c>
      <c r="K116">
        <v>2.5</v>
      </c>
      <c r="L116">
        <v>7</v>
      </c>
      <c r="N116" t="s">
        <v>20</v>
      </c>
      <c r="O116" t="s">
        <v>16</v>
      </c>
      <c r="P116" t="s">
        <v>303</v>
      </c>
      <c r="Q116">
        <v>7.5</v>
      </c>
      <c r="R116">
        <v>5</v>
      </c>
    </row>
    <row r="117" spans="1:21" x14ac:dyDescent="0.25">
      <c r="A117">
        <v>6</v>
      </c>
      <c r="B117">
        <v>500</v>
      </c>
      <c r="C117">
        <v>2</v>
      </c>
      <c r="D117">
        <v>4</v>
      </c>
      <c r="E117">
        <v>5</v>
      </c>
      <c r="F117" t="s">
        <v>81</v>
      </c>
      <c r="G117" t="s">
        <v>174</v>
      </c>
      <c r="H117" t="s">
        <v>175</v>
      </c>
      <c r="I117">
        <v>34</v>
      </c>
      <c r="J117">
        <v>10.822536130248883</v>
      </c>
      <c r="K117">
        <v>3</v>
      </c>
      <c r="L117">
        <v>10</v>
      </c>
      <c r="N117" t="s">
        <v>20</v>
      </c>
      <c r="O117" t="s">
        <v>16</v>
      </c>
      <c r="P117" t="s">
        <v>303</v>
      </c>
      <c r="Q117">
        <v>10</v>
      </c>
      <c r="R117">
        <v>10</v>
      </c>
      <c r="S117">
        <v>17</v>
      </c>
      <c r="T117" t="s">
        <v>273</v>
      </c>
      <c r="U117">
        <v>5.9172829084870877E-2</v>
      </c>
    </row>
    <row r="118" spans="1:21" x14ac:dyDescent="0.25">
      <c r="A118">
        <v>6</v>
      </c>
      <c r="B118">
        <v>500</v>
      </c>
      <c r="C118">
        <v>1</v>
      </c>
      <c r="D118">
        <v>2</v>
      </c>
      <c r="E118">
        <v>2</v>
      </c>
      <c r="F118" t="s">
        <v>81</v>
      </c>
      <c r="G118" t="s">
        <v>82</v>
      </c>
      <c r="H118" t="s">
        <v>83</v>
      </c>
      <c r="I118">
        <v>48.5</v>
      </c>
      <c r="J118">
        <v>15.438029479913848</v>
      </c>
      <c r="K118">
        <v>4.5</v>
      </c>
      <c r="L118">
        <v>9</v>
      </c>
      <c r="N118" t="s">
        <v>20</v>
      </c>
      <c r="O118" t="s">
        <v>16</v>
      </c>
      <c r="P118" t="s">
        <v>303</v>
      </c>
      <c r="Q118">
        <v>10</v>
      </c>
      <c r="R118">
        <v>15</v>
      </c>
      <c r="S118">
        <v>6</v>
      </c>
      <c r="T118" t="s">
        <v>270</v>
      </c>
      <c r="U118">
        <v>9.8831596293402643E-2</v>
      </c>
    </row>
    <row r="119" spans="1:21" x14ac:dyDescent="0.25">
      <c r="A119">
        <v>4</v>
      </c>
      <c r="B119">
        <v>500</v>
      </c>
      <c r="C119">
        <v>1</v>
      </c>
      <c r="D119">
        <v>3</v>
      </c>
      <c r="E119">
        <v>3</v>
      </c>
      <c r="F119" t="s">
        <v>81</v>
      </c>
      <c r="G119" t="s">
        <v>82</v>
      </c>
      <c r="H119" t="s">
        <v>83</v>
      </c>
      <c r="I119">
        <v>85</v>
      </c>
      <c r="J119">
        <v>27.056340325622209</v>
      </c>
      <c r="K119">
        <v>1.5</v>
      </c>
      <c r="L119">
        <v>12</v>
      </c>
      <c r="N119" t="s">
        <v>20</v>
      </c>
      <c r="O119" t="s">
        <v>16</v>
      </c>
      <c r="P119" t="s">
        <v>303</v>
      </c>
      <c r="Q119">
        <v>12.5</v>
      </c>
      <c r="R119">
        <v>25</v>
      </c>
      <c r="S119">
        <v>6</v>
      </c>
      <c r="T119" t="s">
        <v>270</v>
      </c>
      <c r="U119">
        <v>0.38561393926958815</v>
      </c>
    </row>
    <row r="120" spans="1:21" x14ac:dyDescent="0.25">
      <c r="A120">
        <v>10</v>
      </c>
      <c r="B120">
        <v>100</v>
      </c>
      <c r="C120">
        <v>1</v>
      </c>
      <c r="D120">
        <v>3</v>
      </c>
      <c r="E120">
        <v>3</v>
      </c>
      <c r="F120" t="s">
        <v>81</v>
      </c>
      <c r="G120" t="s">
        <v>82</v>
      </c>
      <c r="H120" t="s">
        <v>83</v>
      </c>
      <c r="I120">
        <v>17</v>
      </c>
      <c r="J120">
        <v>5.4112680651244416</v>
      </c>
      <c r="K120">
        <v>4.5</v>
      </c>
      <c r="L120">
        <v>7</v>
      </c>
      <c r="N120" t="s">
        <v>20</v>
      </c>
      <c r="O120" t="s">
        <v>16</v>
      </c>
      <c r="P120" t="s">
        <v>303</v>
      </c>
      <c r="Q120">
        <v>7.5</v>
      </c>
      <c r="R120">
        <v>5</v>
      </c>
    </row>
    <row r="121" spans="1:21" x14ac:dyDescent="0.25">
      <c r="A121">
        <v>12</v>
      </c>
      <c r="B121">
        <v>100</v>
      </c>
      <c r="C121">
        <v>1</v>
      </c>
      <c r="D121">
        <v>5</v>
      </c>
      <c r="E121">
        <v>6</v>
      </c>
      <c r="F121" t="s">
        <v>81</v>
      </c>
      <c r="G121" t="s">
        <v>82</v>
      </c>
      <c r="H121" t="s">
        <v>83</v>
      </c>
      <c r="I121">
        <v>16.5</v>
      </c>
      <c r="J121">
        <v>5.2521131220325463</v>
      </c>
      <c r="K121">
        <v>3</v>
      </c>
      <c r="L121">
        <v>7</v>
      </c>
      <c r="N121" t="s">
        <v>20</v>
      </c>
      <c r="O121" t="s">
        <v>16</v>
      </c>
      <c r="P121" t="s">
        <v>303</v>
      </c>
      <c r="Q121">
        <v>7.5</v>
      </c>
      <c r="R121">
        <v>5</v>
      </c>
    </row>
    <row r="122" spans="1:21" x14ac:dyDescent="0.25">
      <c r="A122">
        <v>4</v>
      </c>
      <c r="B122">
        <v>500</v>
      </c>
      <c r="C122">
        <v>1</v>
      </c>
      <c r="D122">
        <v>9</v>
      </c>
      <c r="E122">
        <v>9</v>
      </c>
      <c r="F122" t="s">
        <v>81</v>
      </c>
      <c r="G122" t="s">
        <v>82</v>
      </c>
      <c r="H122" t="s">
        <v>83</v>
      </c>
      <c r="I122">
        <v>64.5</v>
      </c>
      <c r="J122">
        <v>20.5309876588545</v>
      </c>
      <c r="K122">
        <v>8</v>
      </c>
      <c r="L122">
        <v>12</v>
      </c>
      <c r="N122" t="s">
        <v>20</v>
      </c>
      <c r="O122" t="s">
        <v>16</v>
      </c>
      <c r="P122" t="s">
        <v>303</v>
      </c>
      <c r="Q122">
        <v>12.5</v>
      </c>
      <c r="R122">
        <v>20</v>
      </c>
      <c r="S122">
        <v>6</v>
      </c>
      <c r="T122" t="s">
        <v>270</v>
      </c>
      <c r="U122">
        <v>0.2278001594369968</v>
      </c>
    </row>
    <row r="123" spans="1:21" x14ac:dyDescent="0.25">
      <c r="A123">
        <v>10</v>
      </c>
      <c r="B123">
        <v>100</v>
      </c>
      <c r="C123">
        <v>1</v>
      </c>
      <c r="D123">
        <v>9</v>
      </c>
      <c r="E123">
        <v>9</v>
      </c>
      <c r="F123" t="s">
        <v>81</v>
      </c>
      <c r="G123" t="s">
        <v>82</v>
      </c>
      <c r="H123" t="s">
        <v>83</v>
      </c>
      <c r="I123">
        <v>30</v>
      </c>
      <c r="J123">
        <v>9.5492965855137211</v>
      </c>
      <c r="K123">
        <v>8</v>
      </c>
      <c r="L123">
        <v>11</v>
      </c>
      <c r="N123" t="s">
        <v>20</v>
      </c>
      <c r="O123" t="s">
        <v>16</v>
      </c>
      <c r="P123" t="s">
        <v>303</v>
      </c>
      <c r="Q123">
        <v>10</v>
      </c>
      <c r="R123">
        <v>10</v>
      </c>
    </row>
    <row r="124" spans="1:21" x14ac:dyDescent="0.25">
      <c r="A124">
        <v>7</v>
      </c>
      <c r="B124">
        <v>500</v>
      </c>
      <c r="C124">
        <v>1</v>
      </c>
      <c r="D124">
        <v>7</v>
      </c>
      <c r="E124">
        <v>10</v>
      </c>
      <c r="F124" t="s">
        <v>81</v>
      </c>
      <c r="G124" t="s">
        <v>82</v>
      </c>
      <c r="H124" t="s">
        <v>83</v>
      </c>
      <c r="I124">
        <v>69</v>
      </c>
      <c r="J124">
        <v>21.963382146681557</v>
      </c>
      <c r="K124">
        <v>4</v>
      </c>
      <c r="L124">
        <v>14</v>
      </c>
      <c r="N124" t="s">
        <v>20</v>
      </c>
      <c r="O124" t="s">
        <v>16</v>
      </c>
      <c r="P124" t="s">
        <v>303</v>
      </c>
      <c r="Q124">
        <v>15</v>
      </c>
      <c r="R124">
        <v>20</v>
      </c>
      <c r="S124">
        <v>6</v>
      </c>
      <c r="T124" t="s">
        <v>270</v>
      </c>
      <c r="U124">
        <v>0.30283344419188174</v>
      </c>
    </row>
    <row r="125" spans="1:21" x14ac:dyDescent="0.25">
      <c r="A125">
        <v>4</v>
      </c>
      <c r="B125">
        <v>500</v>
      </c>
      <c r="C125">
        <v>1</v>
      </c>
      <c r="D125">
        <v>13</v>
      </c>
      <c r="E125">
        <v>13</v>
      </c>
      <c r="F125" t="s">
        <v>81</v>
      </c>
      <c r="G125" t="s">
        <v>82</v>
      </c>
      <c r="H125" t="s">
        <v>83</v>
      </c>
      <c r="I125">
        <v>42</v>
      </c>
      <c r="J125">
        <v>13.369015219719209</v>
      </c>
      <c r="K125">
        <v>6</v>
      </c>
      <c r="L125">
        <v>11</v>
      </c>
      <c r="N125" t="s">
        <v>20</v>
      </c>
      <c r="O125" t="s">
        <v>16</v>
      </c>
      <c r="P125" t="s">
        <v>303</v>
      </c>
      <c r="Q125">
        <v>10</v>
      </c>
      <c r="R125">
        <v>15</v>
      </c>
      <c r="S125">
        <v>6</v>
      </c>
      <c r="T125" t="s">
        <v>270</v>
      </c>
      <c r="U125">
        <v>9.2035253807010123E-2</v>
      </c>
    </row>
    <row r="126" spans="1:21" x14ac:dyDescent="0.25">
      <c r="A126">
        <v>4</v>
      </c>
      <c r="B126">
        <v>500</v>
      </c>
      <c r="C126">
        <v>1</v>
      </c>
      <c r="D126">
        <v>14</v>
      </c>
      <c r="E126">
        <v>14</v>
      </c>
      <c r="F126" t="s">
        <v>81</v>
      </c>
      <c r="G126" t="s">
        <v>82</v>
      </c>
      <c r="H126" t="s">
        <v>83</v>
      </c>
      <c r="I126">
        <v>33</v>
      </c>
      <c r="J126">
        <v>10.504226244065093</v>
      </c>
      <c r="K126">
        <v>7</v>
      </c>
      <c r="L126">
        <v>9</v>
      </c>
      <c r="N126" t="s">
        <v>20</v>
      </c>
      <c r="O126" t="s">
        <v>16</v>
      </c>
      <c r="P126" t="s">
        <v>303</v>
      </c>
      <c r="Q126">
        <v>10</v>
      </c>
      <c r="R126">
        <v>10</v>
      </c>
      <c r="S126">
        <v>6</v>
      </c>
      <c r="T126" t="s">
        <v>270</v>
      </c>
      <c r="U126">
        <v>4.7419226868973763E-2</v>
      </c>
    </row>
    <row r="127" spans="1:21" x14ac:dyDescent="0.25">
      <c r="A127">
        <v>9</v>
      </c>
      <c r="B127">
        <v>500</v>
      </c>
      <c r="C127">
        <v>3</v>
      </c>
      <c r="D127">
        <v>15</v>
      </c>
      <c r="E127">
        <v>15</v>
      </c>
      <c r="F127" t="s">
        <v>81</v>
      </c>
      <c r="G127" t="s">
        <v>82</v>
      </c>
      <c r="H127" t="s">
        <v>83</v>
      </c>
      <c r="I127">
        <v>32.5</v>
      </c>
      <c r="J127">
        <v>10.345071300973197</v>
      </c>
      <c r="K127">
        <v>3</v>
      </c>
      <c r="L127">
        <v>10</v>
      </c>
      <c r="N127" t="s">
        <v>20</v>
      </c>
      <c r="O127" t="s">
        <v>16</v>
      </c>
      <c r="P127" t="s">
        <v>303</v>
      </c>
      <c r="Q127">
        <v>10</v>
      </c>
      <c r="R127">
        <v>10</v>
      </c>
      <c r="S127">
        <v>6</v>
      </c>
      <c r="T127" t="s">
        <v>270</v>
      </c>
      <c r="U127">
        <v>5.1243776178304466E-2</v>
      </c>
    </row>
    <row r="128" spans="1:21" x14ac:dyDescent="0.25">
      <c r="A128">
        <v>3</v>
      </c>
      <c r="B128">
        <v>5</v>
      </c>
      <c r="D128">
        <v>30</v>
      </c>
      <c r="E128">
        <v>30</v>
      </c>
      <c r="F128" t="s">
        <v>43</v>
      </c>
      <c r="G128" t="s">
        <v>46</v>
      </c>
      <c r="H128" t="s">
        <v>47</v>
      </c>
      <c r="L128">
        <v>0.3</v>
      </c>
      <c r="M128" t="e">
        <v>#REF!</v>
      </c>
      <c r="O128" t="s">
        <v>16</v>
      </c>
      <c r="P128" t="s">
        <v>303</v>
      </c>
      <c r="Q128">
        <v>2.5</v>
      </c>
      <c r="R128">
        <v>5</v>
      </c>
    </row>
    <row r="129" spans="1:21" x14ac:dyDescent="0.25">
      <c r="A129">
        <v>4</v>
      </c>
      <c r="B129">
        <v>5</v>
      </c>
      <c r="D129">
        <v>1</v>
      </c>
      <c r="E129">
        <v>1</v>
      </c>
      <c r="F129" t="s">
        <v>26</v>
      </c>
      <c r="G129" t="s">
        <v>143</v>
      </c>
      <c r="H129" t="s">
        <v>144</v>
      </c>
      <c r="L129">
        <v>1.3</v>
      </c>
      <c r="M129" t="e">
        <v>#REF!</v>
      </c>
      <c r="P129" t="s">
        <v>303</v>
      </c>
      <c r="Q129">
        <v>2.5</v>
      </c>
      <c r="R129">
        <v>5</v>
      </c>
    </row>
    <row r="130" spans="1:21" x14ac:dyDescent="0.25">
      <c r="A130">
        <v>11</v>
      </c>
      <c r="B130">
        <v>100</v>
      </c>
      <c r="C130">
        <v>2</v>
      </c>
      <c r="D130">
        <v>17</v>
      </c>
      <c r="E130">
        <v>17</v>
      </c>
      <c r="F130" t="s">
        <v>81</v>
      </c>
      <c r="G130" t="s">
        <v>82</v>
      </c>
      <c r="H130" t="s">
        <v>83</v>
      </c>
      <c r="I130">
        <v>20</v>
      </c>
      <c r="J130">
        <v>6.366197723675814</v>
      </c>
      <c r="K130">
        <v>6</v>
      </c>
      <c r="L130">
        <v>10</v>
      </c>
      <c r="N130" t="s">
        <v>20</v>
      </c>
      <c r="O130" t="s">
        <v>16</v>
      </c>
      <c r="P130" t="s">
        <v>303</v>
      </c>
      <c r="Q130">
        <v>10</v>
      </c>
      <c r="R130">
        <v>5</v>
      </c>
    </row>
    <row r="131" spans="1:21" x14ac:dyDescent="0.25">
      <c r="A131">
        <v>4</v>
      </c>
      <c r="B131">
        <v>500</v>
      </c>
      <c r="C131">
        <v>2</v>
      </c>
      <c r="D131">
        <v>18</v>
      </c>
      <c r="E131">
        <v>18</v>
      </c>
      <c r="F131" t="s">
        <v>81</v>
      </c>
      <c r="G131" t="s">
        <v>82</v>
      </c>
      <c r="H131" t="s">
        <v>83</v>
      </c>
      <c r="I131">
        <v>71</v>
      </c>
      <c r="J131">
        <v>22.600001919049138</v>
      </c>
      <c r="K131">
        <v>6</v>
      </c>
      <c r="L131">
        <v>12</v>
      </c>
      <c r="N131" t="s">
        <v>29</v>
      </c>
      <c r="O131" t="s">
        <v>145</v>
      </c>
      <c r="P131" t="s">
        <v>303</v>
      </c>
      <c r="Q131">
        <v>12.5</v>
      </c>
      <c r="R131">
        <v>25</v>
      </c>
      <c r="S131">
        <v>6</v>
      </c>
      <c r="T131" t="s">
        <v>270</v>
      </c>
      <c r="U131">
        <v>0.27357901184777428</v>
      </c>
    </row>
    <row r="132" spans="1:21" x14ac:dyDescent="0.25">
      <c r="A132">
        <v>9</v>
      </c>
      <c r="B132">
        <v>500</v>
      </c>
      <c r="C132">
        <v>4</v>
      </c>
      <c r="D132">
        <v>18</v>
      </c>
      <c r="E132">
        <v>18</v>
      </c>
      <c r="F132" t="s">
        <v>81</v>
      </c>
      <c r="G132" t="s">
        <v>82</v>
      </c>
      <c r="H132" t="s">
        <v>83</v>
      </c>
      <c r="I132">
        <v>33.5</v>
      </c>
      <c r="J132">
        <v>10.663381187156988</v>
      </c>
      <c r="K132">
        <v>6</v>
      </c>
      <c r="L132">
        <v>10</v>
      </c>
      <c r="N132" t="s">
        <v>29</v>
      </c>
      <c r="O132" t="s">
        <v>16</v>
      </c>
      <c r="P132" t="s">
        <v>303</v>
      </c>
      <c r="Q132">
        <v>10</v>
      </c>
      <c r="R132">
        <v>10</v>
      </c>
      <c r="S132">
        <v>6</v>
      </c>
      <c r="T132" t="s">
        <v>270</v>
      </c>
      <c r="U132">
        <v>5.4292893590092241E-2</v>
      </c>
    </row>
    <row r="133" spans="1:21" x14ac:dyDescent="0.25">
      <c r="A133">
        <v>4</v>
      </c>
      <c r="B133">
        <v>500</v>
      </c>
      <c r="C133">
        <v>2</v>
      </c>
      <c r="D133" t="s">
        <v>163</v>
      </c>
      <c r="E133">
        <v>19</v>
      </c>
      <c r="F133" t="s">
        <v>81</v>
      </c>
      <c r="G133" t="s">
        <v>82</v>
      </c>
      <c r="H133" t="s">
        <v>83</v>
      </c>
      <c r="I133">
        <v>49</v>
      </c>
      <c r="J133">
        <v>15.597184423005743</v>
      </c>
      <c r="K133">
        <v>1.8</v>
      </c>
      <c r="L133">
        <v>10</v>
      </c>
      <c r="N133" t="s">
        <v>20</v>
      </c>
      <c r="O133" t="s">
        <v>16</v>
      </c>
      <c r="P133" t="e">
        <v>#VALUE!</v>
      </c>
      <c r="Q133">
        <v>10</v>
      </c>
      <c r="R133">
        <v>15</v>
      </c>
      <c r="S133">
        <v>6</v>
      </c>
      <c r="T133" t="s">
        <v>270</v>
      </c>
      <c r="U133">
        <v>0.1121305426632917</v>
      </c>
    </row>
    <row r="134" spans="1:21" x14ac:dyDescent="0.25">
      <c r="A134">
        <v>9</v>
      </c>
      <c r="B134">
        <v>500</v>
      </c>
      <c r="C134">
        <v>4</v>
      </c>
      <c r="D134" t="s">
        <v>163</v>
      </c>
      <c r="E134">
        <v>19</v>
      </c>
      <c r="F134" t="s">
        <v>81</v>
      </c>
      <c r="G134" t="s">
        <v>82</v>
      </c>
      <c r="H134" t="s">
        <v>83</v>
      </c>
      <c r="I134">
        <v>50.5</v>
      </c>
      <c r="J134">
        <v>16.074649252281429</v>
      </c>
      <c r="K134">
        <v>3</v>
      </c>
      <c r="L134">
        <v>12</v>
      </c>
      <c r="N134" t="s">
        <v>20</v>
      </c>
      <c r="O134" t="s">
        <v>16</v>
      </c>
      <c r="P134" t="e">
        <v>#VALUE!</v>
      </c>
      <c r="Q134">
        <v>12.5</v>
      </c>
      <c r="R134">
        <v>15</v>
      </c>
      <c r="S134">
        <v>6</v>
      </c>
      <c r="T134" t="s">
        <v>270</v>
      </c>
      <c r="U134">
        <v>0.1428486706678897</v>
      </c>
    </row>
    <row r="135" spans="1:21" x14ac:dyDescent="0.25">
      <c r="A135">
        <v>9</v>
      </c>
      <c r="B135">
        <v>100</v>
      </c>
      <c r="C135">
        <v>2</v>
      </c>
      <c r="D135">
        <v>20</v>
      </c>
      <c r="E135">
        <v>20</v>
      </c>
      <c r="F135" t="s">
        <v>81</v>
      </c>
      <c r="G135" t="s">
        <v>82</v>
      </c>
      <c r="H135" t="s">
        <v>83</v>
      </c>
      <c r="I135">
        <v>16</v>
      </c>
      <c r="J135">
        <v>5.0929581789406511</v>
      </c>
      <c r="K135">
        <v>5</v>
      </c>
      <c r="L135">
        <v>8</v>
      </c>
      <c r="N135" t="s">
        <v>20</v>
      </c>
      <c r="O135" t="s">
        <v>16</v>
      </c>
      <c r="P135" t="s">
        <v>303</v>
      </c>
      <c r="Q135">
        <v>7.5</v>
      </c>
      <c r="R135">
        <v>5</v>
      </c>
    </row>
    <row r="136" spans="1:21" x14ac:dyDescent="0.25">
      <c r="A136">
        <v>9</v>
      </c>
      <c r="B136">
        <v>100</v>
      </c>
      <c r="C136">
        <v>2</v>
      </c>
      <c r="D136">
        <v>21</v>
      </c>
      <c r="E136">
        <v>21</v>
      </c>
      <c r="F136" t="s">
        <v>81</v>
      </c>
      <c r="G136" t="s">
        <v>82</v>
      </c>
      <c r="H136" t="s">
        <v>83</v>
      </c>
      <c r="I136">
        <v>21</v>
      </c>
      <c r="J136">
        <v>6.6845076098596046</v>
      </c>
      <c r="K136">
        <v>7.5</v>
      </c>
      <c r="L136">
        <v>10</v>
      </c>
      <c r="N136" t="s">
        <v>20</v>
      </c>
      <c r="O136" t="s">
        <v>16</v>
      </c>
      <c r="P136" t="s">
        <v>303</v>
      </c>
      <c r="Q136">
        <v>10</v>
      </c>
      <c r="R136">
        <v>5</v>
      </c>
    </row>
    <row r="137" spans="1:21" x14ac:dyDescent="0.25">
      <c r="A137">
        <v>8</v>
      </c>
      <c r="B137">
        <v>100</v>
      </c>
      <c r="C137">
        <v>4</v>
      </c>
      <c r="D137">
        <v>23</v>
      </c>
      <c r="E137">
        <v>23</v>
      </c>
      <c r="F137" t="s">
        <v>81</v>
      </c>
      <c r="G137" t="s">
        <v>82</v>
      </c>
      <c r="H137" t="s">
        <v>83</v>
      </c>
      <c r="I137">
        <v>18</v>
      </c>
      <c r="J137">
        <v>5.7295779513082321</v>
      </c>
      <c r="K137">
        <v>8</v>
      </c>
      <c r="L137">
        <v>9</v>
      </c>
      <c r="N137" t="s">
        <v>20</v>
      </c>
      <c r="O137" t="s">
        <v>16</v>
      </c>
      <c r="P137" t="s">
        <v>303</v>
      </c>
      <c r="Q137">
        <v>10</v>
      </c>
      <c r="R137">
        <v>5</v>
      </c>
    </row>
    <row r="138" spans="1:21" x14ac:dyDescent="0.25">
      <c r="A138">
        <v>2</v>
      </c>
      <c r="B138">
        <v>500</v>
      </c>
      <c r="C138">
        <v>2</v>
      </c>
      <c r="D138">
        <v>23</v>
      </c>
      <c r="E138">
        <v>24</v>
      </c>
      <c r="F138" t="s">
        <v>81</v>
      </c>
      <c r="G138" t="s">
        <v>82</v>
      </c>
      <c r="H138" t="s">
        <v>83</v>
      </c>
      <c r="I138">
        <v>60</v>
      </c>
      <c r="J138">
        <v>19.098593171027442</v>
      </c>
      <c r="K138">
        <v>7</v>
      </c>
      <c r="L138">
        <v>13</v>
      </c>
      <c r="N138" t="s">
        <v>20</v>
      </c>
      <c r="O138" t="s">
        <v>16</v>
      </c>
      <c r="P138" t="s">
        <v>303</v>
      </c>
      <c r="Q138">
        <v>12.5</v>
      </c>
      <c r="R138">
        <v>20</v>
      </c>
      <c r="S138">
        <v>6</v>
      </c>
      <c r="T138" t="s">
        <v>270</v>
      </c>
      <c r="U138">
        <v>0.21520384868480516</v>
      </c>
    </row>
    <row r="139" spans="1:21" x14ac:dyDescent="0.25">
      <c r="A139">
        <v>7</v>
      </c>
      <c r="B139">
        <v>500</v>
      </c>
      <c r="C139">
        <v>3</v>
      </c>
      <c r="D139">
        <v>29</v>
      </c>
      <c r="E139">
        <v>32</v>
      </c>
      <c r="F139" t="s">
        <v>81</v>
      </c>
      <c r="G139" t="s">
        <v>82</v>
      </c>
      <c r="H139" t="s">
        <v>83</v>
      </c>
      <c r="I139">
        <v>58</v>
      </c>
      <c r="J139">
        <v>18.461973398659861</v>
      </c>
      <c r="K139">
        <v>8</v>
      </c>
      <c r="L139">
        <v>15</v>
      </c>
      <c r="N139" t="s">
        <v>20</v>
      </c>
      <c r="O139" t="s">
        <v>16</v>
      </c>
      <c r="P139" t="s">
        <v>303</v>
      </c>
      <c r="Q139">
        <v>15</v>
      </c>
      <c r="R139">
        <v>20</v>
      </c>
      <c r="S139">
        <v>6</v>
      </c>
      <c r="T139" t="s">
        <v>270</v>
      </c>
      <c r="U139">
        <v>0.2331839026431152</v>
      </c>
    </row>
    <row r="140" spans="1:21" x14ac:dyDescent="0.25">
      <c r="A140">
        <v>1</v>
      </c>
      <c r="B140">
        <v>500</v>
      </c>
      <c r="C140">
        <v>4</v>
      </c>
      <c r="D140">
        <v>31</v>
      </c>
      <c r="E140">
        <v>34</v>
      </c>
      <c r="F140" t="s">
        <v>81</v>
      </c>
      <c r="G140" t="s">
        <v>82</v>
      </c>
      <c r="H140" t="s">
        <v>83</v>
      </c>
      <c r="I140">
        <v>42</v>
      </c>
      <c r="J140">
        <v>13.369015219719209</v>
      </c>
      <c r="K140">
        <v>8</v>
      </c>
      <c r="L140">
        <v>12</v>
      </c>
      <c r="N140" t="s">
        <v>20</v>
      </c>
      <c r="O140" t="s">
        <v>16</v>
      </c>
      <c r="P140" t="s">
        <v>303</v>
      </c>
      <c r="Q140">
        <v>12.5</v>
      </c>
      <c r="R140">
        <v>15</v>
      </c>
      <c r="S140">
        <v>6</v>
      </c>
      <c r="T140" t="s">
        <v>270</v>
      </c>
      <c r="U140">
        <v>0.10051197058404412</v>
      </c>
    </row>
    <row r="141" spans="1:21" x14ac:dyDescent="0.25">
      <c r="A141">
        <v>9</v>
      </c>
      <c r="B141">
        <v>100</v>
      </c>
      <c r="C141">
        <v>3</v>
      </c>
      <c r="D141">
        <v>34</v>
      </c>
      <c r="E141">
        <v>34</v>
      </c>
      <c r="F141" t="s">
        <v>81</v>
      </c>
      <c r="G141" t="s">
        <v>82</v>
      </c>
      <c r="H141" t="s">
        <v>83</v>
      </c>
      <c r="I141">
        <v>25.5</v>
      </c>
      <c r="J141">
        <v>8.1169020976866619</v>
      </c>
      <c r="K141">
        <v>7.5</v>
      </c>
      <c r="L141">
        <v>9</v>
      </c>
      <c r="N141" t="s">
        <v>20</v>
      </c>
      <c r="O141" t="s">
        <v>16</v>
      </c>
      <c r="P141" t="s">
        <v>303</v>
      </c>
      <c r="Q141">
        <v>10</v>
      </c>
      <c r="R141">
        <v>10</v>
      </c>
    </row>
    <row r="142" spans="1:21" x14ac:dyDescent="0.25">
      <c r="A142">
        <v>2</v>
      </c>
      <c r="B142">
        <v>500</v>
      </c>
      <c r="C142">
        <v>3</v>
      </c>
      <c r="D142">
        <v>41</v>
      </c>
      <c r="E142">
        <v>43</v>
      </c>
      <c r="F142" t="s">
        <v>81</v>
      </c>
      <c r="G142" t="s">
        <v>82</v>
      </c>
      <c r="H142" t="s">
        <v>83</v>
      </c>
      <c r="I142">
        <v>92</v>
      </c>
      <c r="J142">
        <v>29.284509528908742</v>
      </c>
      <c r="K142">
        <v>8</v>
      </c>
      <c r="L142">
        <v>13</v>
      </c>
      <c r="N142" t="s">
        <v>20</v>
      </c>
      <c r="O142" t="s">
        <v>16</v>
      </c>
      <c r="P142" t="s">
        <v>303</v>
      </c>
      <c r="Q142">
        <v>12.5</v>
      </c>
      <c r="R142">
        <v>30</v>
      </c>
      <c r="S142">
        <v>6</v>
      </c>
      <c r="T142" t="s">
        <v>270</v>
      </c>
      <c r="U142">
        <v>0.48629644019637369</v>
      </c>
    </row>
    <row r="143" spans="1:21" x14ac:dyDescent="0.25">
      <c r="A143">
        <v>2</v>
      </c>
      <c r="B143">
        <v>500</v>
      </c>
      <c r="C143">
        <v>3</v>
      </c>
      <c r="D143">
        <v>42</v>
      </c>
      <c r="E143">
        <v>44</v>
      </c>
      <c r="F143" t="s">
        <v>81</v>
      </c>
      <c r="G143" t="s">
        <v>82</v>
      </c>
      <c r="H143" t="s">
        <v>83</v>
      </c>
      <c r="I143">
        <v>102</v>
      </c>
      <c r="J143">
        <v>32.467608390746648</v>
      </c>
      <c r="K143">
        <v>3</v>
      </c>
      <c r="L143">
        <v>13</v>
      </c>
      <c r="N143" t="s">
        <v>20</v>
      </c>
      <c r="O143" t="s">
        <v>16</v>
      </c>
      <c r="P143" t="s">
        <v>303</v>
      </c>
      <c r="Q143">
        <v>12.5</v>
      </c>
      <c r="R143">
        <v>30</v>
      </c>
      <c r="S143">
        <v>6</v>
      </c>
      <c r="T143" t="s">
        <v>270</v>
      </c>
      <c r="U143">
        <v>0.59206364581031623</v>
      </c>
    </row>
    <row r="144" spans="1:21" x14ac:dyDescent="0.25">
      <c r="A144">
        <v>4</v>
      </c>
      <c r="B144">
        <v>500</v>
      </c>
      <c r="C144">
        <v>4</v>
      </c>
      <c r="D144">
        <v>44</v>
      </c>
      <c r="E144">
        <v>46</v>
      </c>
      <c r="F144" t="s">
        <v>81</v>
      </c>
      <c r="G144" t="s">
        <v>82</v>
      </c>
      <c r="H144" t="s">
        <v>83</v>
      </c>
      <c r="I144">
        <v>81</v>
      </c>
      <c r="J144">
        <v>25.783100780887047</v>
      </c>
      <c r="K144">
        <v>2.5</v>
      </c>
      <c r="L144">
        <v>12</v>
      </c>
      <c r="N144" t="s">
        <v>20</v>
      </c>
      <c r="O144" t="s">
        <v>16</v>
      </c>
      <c r="P144" t="s">
        <v>303</v>
      </c>
      <c r="Q144">
        <v>12.5</v>
      </c>
      <c r="R144">
        <v>25</v>
      </c>
      <c r="S144">
        <v>6</v>
      </c>
      <c r="T144" t="s">
        <v>270</v>
      </c>
      <c r="U144">
        <v>0.35174425764411343</v>
      </c>
    </row>
    <row r="145" spans="1:21" x14ac:dyDescent="0.25">
      <c r="A145">
        <v>4</v>
      </c>
      <c r="B145">
        <v>500</v>
      </c>
      <c r="C145">
        <v>4</v>
      </c>
      <c r="D145">
        <v>47</v>
      </c>
      <c r="E145">
        <v>49</v>
      </c>
      <c r="F145" t="s">
        <v>81</v>
      </c>
      <c r="G145" t="s">
        <v>82</v>
      </c>
      <c r="H145" t="s">
        <v>83</v>
      </c>
      <c r="I145">
        <v>36</v>
      </c>
      <c r="J145">
        <v>11.459155902616464</v>
      </c>
      <c r="K145">
        <v>6</v>
      </c>
      <c r="L145">
        <v>12</v>
      </c>
      <c r="N145" t="s">
        <v>20</v>
      </c>
      <c r="O145" t="s">
        <v>16</v>
      </c>
      <c r="P145" t="s">
        <v>303</v>
      </c>
      <c r="Q145">
        <v>12.5</v>
      </c>
      <c r="R145">
        <v>10</v>
      </c>
      <c r="S145">
        <v>6</v>
      </c>
      <c r="T145" t="s">
        <v>270</v>
      </c>
      <c r="U145">
        <v>7.49091856120465E-2</v>
      </c>
    </row>
    <row r="146" spans="1:21" x14ac:dyDescent="0.25">
      <c r="A146">
        <v>2</v>
      </c>
      <c r="B146">
        <v>500</v>
      </c>
      <c r="C146">
        <v>4</v>
      </c>
      <c r="D146">
        <v>49</v>
      </c>
      <c r="E146">
        <v>53</v>
      </c>
      <c r="F146" t="s">
        <v>81</v>
      </c>
      <c r="G146" t="s">
        <v>82</v>
      </c>
      <c r="H146" t="s">
        <v>83</v>
      </c>
      <c r="I146">
        <v>134</v>
      </c>
      <c r="J146">
        <v>42.653524748627952</v>
      </c>
      <c r="K146">
        <v>5.5</v>
      </c>
      <c r="L146">
        <v>13</v>
      </c>
      <c r="N146" t="s">
        <v>29</v>
      </c>
      <c r="O146" t="s">
        <v>16</v>
      </c>
      <c r="P146" t="s">
        <v>303</v>
      </c>
      <c r="Q146">
        <v>12.5</v>
      </c>
      <c r="R146">
        <v>45</v>
      </c>
      <c r="S146">
        <v>6</v>
      </c>
      <c r="T146" t="s">
        <v>270</v>
      </c>
      <c r="U146">
        <v>0.99628501018515359</v>
      </c>
    </row>
    <row r="147" spans="1:21" x14ac:dyDescent="0.25">
      <c r="A147">
        <v>8</v>
      </c>
      <c r="B147">
        <v>500</v>
      </c>
      <c r="C147">
        <v>4</v>
      </c>
      <c r="D147">
        <v>48</v>
      </c>
      <c r="E147">
        <v>53</v>
      </c>
      <c r="F147" t="s">
        <v>81</v>
      </c>
      <c r="G147" t="s">
        <v>82</v>
      </c>
      <c r="H147" t="s">
        <v>83</v>
      </c>
      <c r="I147">
        <v>61</v>
      </c>
      <c r="J147">
        <v>19.416903057211233</v>
      </c>
      <c r="K147">
        <v>3</v>
      </c>
      <c r="L147">
        <v>12</v>
      </c>
      <c r="N147" t="s">
        <v>20</v>
      </c>
      <c r="O147" t="s">
        <v>16</v>
      </c>
      <c r="P147" t="s">
        <v>303</v>
      </c>
      <c r="Q147">
        <v>12.5</v>
      </c>
      <c r="R147">
        <v>20</v>
      </c>
      <c r="S147">
        <v>6</v>
      </c>
      <c r="T147" t="s">
        <v>270</v>
      </c>
      <c r="U147">
        <v>0.20480575104841942</v>
      </c>
    </row>
    <row r="148" spans="1:21" x14ac:dyDescent="0.25">
      <c r="A148">
        <v>2</v>
      </c>
      <c r="B148">
        <v>500</v>
      </c>
      <c r="C148">
        <v>4</v>
      </c>
      <c r="D148" t="s">
        <v>118</v>
      </c>
      <c r="E148">
        <v>54</v>
      </c>
      <c r="F148" t="s">
        <v>81</v>
      </c>
      <c r="G148" t="s">
        <v>82</v>
      </c>
      <c r="H148" t="s">
        <v>83</v>
      </c>
      <c r="I148">
        <v>80</v>
      </c>
      <c r="J148">
        <v>25.464790894703256</v>
      </c>
      <c r="K148">
        <v>5.5</v>
      </c>
      <c r="L148">
        <v>13</v>
      </c>
      <c r="N148" t="s">
        <v>20</v>
      </c>
      <c r="O148" t="s">
        <v>16</v>
      </c>
      <c r="P148" t="e">
        <v>#VALUE!</v>
      </c>
      <c r="Q148">
        <v>12.5</v>
      </c>
      <c r="R148">
        <v>25</v>
      </c>
      <c r="S148">
        <v>6</v>
      </c>
      <c r="T148" t="s">
        <v>270</v>
      </c>
      <c r="U148">
        <v>0.37250880446471862</v>
      </c>
    </row>
    <row r="149" spans="1:21" x14ac:dyDescent="0.25">
      <c r="A149">
        <v>8</v>
      </c>
      <c r="B149">
        <v>500</v>
      </c>
      <c r="C149">
        <v>4</v>
      </c>
      <c r="D149">
        <v>53</v>
      </c>
      <c r="E149">
        <v>58</v>
      </c>
      <c r="F149" t="s">
        <v>81</v>
      </c>
      <c r="G149" t="s">
        <v>82</v>
      </c>
      <c r="H149" t="s">
        <v>83</v>
      </c>
      <c r="I149">
        <v>41.5</v>
      </c>
      <c r="J149">
        <v>13.209860276627314</v>
      </c>
      <c r="K149">
        <v>4</v>
      </c>
      <c r="L149">
        <v>12</v>
      </c>
      <c r="N149" t="s">
        <v>20</v>
      </c>
      <c r="O149" t="s">
        <v>16</v>
      </c>
      <c r="P149" t="s">
        <v>303</v>
      </c>
      <c r="Q149">
        <v>12.5</v>
      </c>
      <c r="R149">
        <v>15</v>
      </c>
      <c r="S149">
        <v>6</v>
      </c>
      <c r="T149" t="s">
        <v>270</v>
      </c>
      <c r="U149">
        <v>9.8242166574490863E-2</v>
      </c>
    </row>
    <row r="150" spans="1:21" x14ac:dyDescent="0.25">
      <c r="A150">
        <v>4</v>
      </c>
      <c r="B150">
        <v>500</v>
      </c>
      <c r="C150">
        <v>1</v>
      </c>
      <c r="D150">
        <v>1</v>
      </c>
      <c r="E150">
        <v>1</v>
      </c>
      <c r="F150" t="s">
        <v>81</v>
      </c>
      <c r="G150" t="s">
        <v>120</v>
      </c>
      <c r="H150" t="s">
        <v>121</v>
      </c>
      <c r="I150">
        <v>40</v>
      </c>
      <c r="J150">
        <v>12.732395447351628</v>
      </c>
      <c r="K150">
        <v>7.5</v>
      </c>
      <c r="L150">
        <v>11</v>
      </c>
      <c r="N150" t="s">
        <v>20</v>
      </c>
      <c r="O150" t="s">
        <v>16</v>
      </c>
      <c r="P150" t="s">
        <v>303</v>
      </c>
      <c r="Q150">
        <v>10</v>
      </c>
      <c r="R150">
        <v>15</v>
      </c>
      <c r="S150">
        <v>17</v>
      </c>
      <c r="T150" t="s">
        <v>273</v>
      </c>
      <c r="U150">
        <v>8.76827716039211E-2</v>
      </c>
    </row>
    <row r="151" spans="1:21" x14ac:dyDescent="0.25">
      <c r="A151">
        <v>3</v>
      </c>
      <c r="B151">
        <v>100</v>
      </c>
      <c r="C151">
        <v>1</v>
      </c>
      <c r="D151">
        <v>1</v>
      </c>
      <c r="E151">
        <v>1</v>
      </c>
      <c r="F151" t="s">
        <v>81</v>
      </c>
      <c r="G151" t="s">
        <v>120</v>
      </c>
      <c r="H151" t="s">
        <v>121</v>
      </c>
      <c r="I151">
        <v>22.5</v>
      </c>
      <c r="J151">
        <v>7.1619724391352904</v>
      </c>
      <c r="K151">
        <v>3</v>
      </c>
      <c r="L151">
        <v>7</v>
      </c>
      <c r="N151" t="s">
        <v>20</v>
      </c>
      <c r="O151" t="s">
        <v>16</v>
      </c>
      <c r="P151" t="s">
        <v>303</v>
      </c>
      <c r="Q151">
        <v>7.5</v>
      </c>
      <c r="R151">
        <v>5</v>
      </c>
    </row>
    <row r="152" spans="1:21" x14ac:dyDescent="0.25">
      <c r="A152">
        <v>4</v>
      </c>
      <c r="B152">
        <v>5</v>
      </c>
      <c r="D152">
        <v>2</v>
      </c>
      <c r="E152">
        <v>2</v>
      </c>
      <c r="F152" t="s">
        <v>13</v>
      </c>
      <c r="G152" t="s">
        <v>14</v>
      </c>
      <c r="H152" t="s">
        <v>15</v>
      </c>
      <c r="L152">
        <v>2.2999999999999998</v>
      </c>
      <c r="M152" t="e">
        <v>#REF!</v>
      </c>
      <c r="P152" t="s">
        <v>303</v>
      </c>
      <c r="Q152">
        <v>2.5</v>
      </c>
      <c r="R152">
        <v>5</v>
      </c>
    </row>
    <row r="153" spans="1:21" x14ac:dyDescent="0.25">
      <c r="A153">
        <v>4</v>
      </c>
      <c r="B153">
        <v>500</v>
      </c>
      <c r="C153">
        <v>1</v>
      </c>
      <c r="D153">
        <v>4</v>
      </c>
      <c r="E153">
        <v>4</v>
      </c>
      <c r="F153" t="s">
        <v>81</v>
      </c>
      <c r="G153" t="s">
        <v>120</v>
      </c>
      <c r="H153" t="s">
        <v>121</v>
      </c>
      <c r="I153">
        <v>33</v>
      </c>
      <c r="J153">
        <v>10.504226244065093</v>
      </c>
      <c r="K153">
        <v>2.5</v>
      </c>
      <c r="L153">
        <v>9</v>
      </c>
      <c r="N153" t="s">
        <v>20</v>
      </c>
      <c r="O153" t="s">
        <v>145</v>
      </c>
      <c r="P153" t="s">
        <v>303</v>
      </c>
      <c r="Q153">
        <v>10</v>
      </c>
      <c r="R153">
        <v>10</v>
      </c>
      <c r="S153">
        <v>17</v>
      </c>
      <c r="T153" t="s">
        <v>273</v>
      </c>
      <c r="U153">
        <v>5.0284726807398025E-2</v>
      </c>
    </row>
    <row r="154" spans="1:21" x14ac:dyDescent="0.25">
      <c r="A154">
        <v>4</v>
      </c>
      <c r="B154">
        <v>500</v>
      </c>
      <c r="C154">
        <v>1</v>
      </c>
      <c r="D154">
        <v>6</v>
      </c>
      <c r="E154">
        <v>6</v>
      </c>
      <c r="F154" t="s">
        <v>81</v>
      </c>
      <c r="G154" t="s">
        <v>120</v>
      </c>
      <c r="H154" t="s">
        <v>121</v>
      </c>
      <c r="I154">
        <v>36</v>
      </c>
      <c r="J154">
        <v>11.459155902616464</v>
      </c>
      <c r="K154">
        <v>8</v>
      </c>
      <c r="L154">
        <v>12</v>
      </c>
      <c r="N154" t="s">
        <v>20</v>
      </c>
      <c r="O154" t="s">
        <v>16</v>
      </c>
      <c r="P154" t="s">
        <v>303</v>
      </c>
      <c r="Q154">
        <v>12.5</v>
      </c>
      <c r="R154">
        <v>10</v>
      </c>
      <c r="S154">
        <v>17</v>
      </c>
      <c r="T154" t="s">
        <v>273</v>
      </c>
      <c r="U154">
        <v>7.9209562371578848E-2</v>
      </c>
    </row>
    <row r="155" spans="1:21" x14ac:dyDescent="0.25">
      <c r="A155">
        <v>9</v>
      </c>
      <c r="B155">
        <v>100</v>
      </c>
      <c r="C155">
        <v>1</v>
      </c>
      <c r="D155">
        <v>7</v>
      </c>
      <c r="E155">
        <v>7</v>
      </c>
      <c r="F155" t="s">
        <v>81</v>
      </c>
      <c r="G155" t="s">
        <v>120</v>
      </c>
      <c r="H155" t="s">
        <v>121</v>
      </c>
      <c r="I155">
        <v>23.5</v>
      </c>
      <c r="J155">
        <v>7.4802823253190809</v>
      </c>
      <c r="K155">
        <v>6</v>
      </c>
      <c r="L155">
        <v>12</v>
      </c>
      <c r="N155" t="s">
        <v>20</v>
      </c>
      <c r="O155" t="s">
        <v>16</v>
      </c>
      <c r="P155" t="s">
        <v>303</v>
      </c>
      <c r="Q155">
        <v>12.5</v>
      </c>
      <c r="R155">
        <v>5</v>
      </c>
    </row>
    <row r="156" spans="1:21" x14ac:dyDescent="0.25">
      <c r="A156">
        <v>3</v>
      </c>
      <c r="B156">
        <v>500</v>
      </c>
      <c r="C156">
        <v>1</v>
      </c>
      <c r="D156">
        <v>9</v>
      </c>
      <c r="E156">
        <v>9</v>
      </c>
      <c r="F156" t="s">
        <v>81</v>
      </c>
      <c r="G156" t="s">
        <v>120</v>
      </c>
      <c r="H156" t="s">
        <v>121</v>
      </c>
      <c r="I156">
        <v>35.5</v>
      </c>
      <c r="J156">
        <v>11.300000959524569</v>
      </c>
      <c r="K156">
        <v>8</v>
      </c>
      <c r="L156">
        <v>10</v>
      </c>
      <c r="N156" t="s">
        <v>20</v>
      </c>
      <c r="O156" t="s">
        <v>16</v>
      </c>
      <c r="P156" t="s">
        <v>303</v>
      </c>
      <c r="Q156">
        <v>10</v>
      </c>
      <c r="R156">
        <v>10</v>
      </c>
      <c r="S156">
        <v>17</v>
      </c>
      <c r="T156" t="s">
        <v>273</v>
      </c>
      <c r="U156">
        <v>6.3997395648830932E-2</v>
      </c>
    </row>
    <row r="157" spans="1:21" x14ac:dyDescent="0.25">
      <c r="A157">
        <v>6</v>
      </c>
      <c r="B157">
        <v>100</v>
      </c>
      <c r="C157">
        <v>2</v>
      </c>
      <c r="D157">
        <v>10</v>
      </c>
      <c r="E157">
        <v>10</v>
      </c>
      <c r="F157" t="s">
        <v>81</v>
      </c>
      <c r="G157" t="s">
        <v>120</v>
      </c>
      <c r="H157" t="s">
        <v>121</v>
      </c>
      <c r="I157">
        <v>22.5</v>
      </c>
      <c r="J157">
        <v>7.1619724391352904</v>
      </c>
      <c r="K157">
        <v>3</v>
      </c>
      <c r="L157">
        <v>9</v>
      </c>
      <c r="N157" t="s">
        <v>20</v>
      </c>
      <c r="O157" t="s">
        <v>16</v>
      </c>
      <c r="P157" t="s">
        <v>303</v>
      </c>
      <c r="Q157">
        <v>10</v>
      </c>
      <c r="R157">
        <v>5</v>
      </c>
    </row>
    <row r="158" spans="1:21" x14ac:dyDescent="0.25">
      <c r="A158">
        <v>9</v>
      </c>
      <c r="B158">
        <v>100</v>
      </c>
      <c r="C158">
        <v>1</v>
      </c>
      <c r="D158">
        <v>11</v>
      </c>
      <c r="E158">
        <v>11</v>
      </c>
      <c r="F158" t="s">
        <v>81</v>
      </c>
      <c r="G158" t="s">
        <v>120</v>
      </c>
      <c r="H158" t="s">
        <v>121</v>
      </c>
      <c r="I158">
        <v>21.5</v>
      </c>
      <c r="J158">
        <v>6.8436625529514998</v>
      </c>
      <c r="K158">
        <v>8.5</v>
      </c>
      <c r="L158">
        <v>10</v>
      </c>
      <c r="N158" t="s">
        <v>20</v>
      </c>
      <c r="O158" t="s">
        <v>16</v>
      </c>
      <c r="P158" t="s">
        <v>303</v>
      </c>
      <c r="Q158">
        <v>10</v>
      </c>
      <c r="R158">
        <v>5</v>
      </c>
    </row>
    <row r="159" spans="1:21" x14ac:dyDescent="0.25">
      <c r="A159">
        <v>3</v>
      </c>
      <c r="B159">
        <v>500</v>
      </c>
      <c r="C159">
        <v>1</v>
      </c>
      <c r="D159">
        <v>13</v>
      </c>
      <c r="E159">
        <v>13</v>
      </c>
      <c r="F159" t="s">
        <v>81</v>
      </c>
      <c r="G159" t="s">
        <v>120</v>
      </c>
      <c r="H159" t="s">
        <v>121</v>
      </c>
      <c r="I159">
        <v>60</v>
      </c>
      <c r="J159">
        <v>19.098593171027442</v>
      </c>
      <c r="K159">
        <v>5.5</v>
      </c>
      <c r="L159">
        <v>11</v>
      </c>
      <c r="N159" t="s">
        <v>20</v>
      </c>
      <c r="O159" t="s">
        <v>16</v>
      </c>
      <c r="P159" t="s">
        <v>303</v>
      </c>
      <c r="Q159">
        <v>10</v>
      </c>
      <c r="R159">
        <v>20</v>
      </c>
      <c r="S159">
        <v>17</v>
      </c>
      <c r="T159" t="s">
        <v>273</v>
      </c>
      <c r="U159">
        <v>0.18306755828121885</v>
      </c>
    </row>
    <row r="160" spans="1:21" x14ac:dyDescent="0.25">
      <c r="A160">
        <v>3</v>
      </c>
      <c r="B160">
        <v>100</v>
      </c>
      <c r="C160">
        <v>3</v>
      </c>
      <c r="D160">
        <v>13</v>
      </c>
      <c r="E160">
        <v>13</v>
      </c>
      <c r="F160" t="s">
        <v>81</v>
      </c>
      <c r="G160" t="s">
        <v>120</v>
      </c>
      <c r="H160" t="s">
        <v>121</v>
      </c>
      <c r="I160">
        <v>19</v>
      </c>
      <c r="J160">
        <v>6.0478878374920226</v>
      </c>
      <c r="K160">
        <v>8</v>
      </c>
      <c r="L160">
        <v>9</v>
      </c>
      <c r="N160" t="s">
        <v>20</v>
      </c>
      <c r="O160" t="s">
        <v>16</v>
      </c>
      <c r="P160" t="s">
        <v>303</v>
      </c>
      <c r="Q160">
        <v>10</v>
      </c>
      <c r="R160">
        <v>5</v>
      </c>
    </row>
    <row r="161" spans="1:21" x14ac:dyDescent="0.25">
      <c r="A161">
        <v>9</v>
      </c>
      <c r="B161">
        <v>100</v>
      </c>
      <c r="C161">
        <v>2</v>
      </c>
      <c r="D161">
        <v>13</v>
      </c>
      <c r="E161">
        <v>13</v>
      </c>
      <c r="F161" t="s">
        <v>81</v>
      </c>
      <c r="G161" t="s">
        <v>120</v>
      </c>
      <c r="H161" t="s">
        <v>121</v>
      </c>
      <c r="I161">
        <v>16</v>
      </c>
      <c r="J161">
        <v>5.0929581789406511</v>
      </c>
      <c r="K161">
        <v>6</v>
      </c>
      <c r="L161">
        <v>8</v>
      </c>
      <c r="N161" t="s">
        <v>20</v>
      </c>
      <c r="O161" t="s">
        <v>16</v>
      </c>
      <c r="P161" t="s">
        <v>303</v>
      </c>
      <c r="Q161">
        <v>7.5</v>
      </c>
      <c r="R161">
        <v>5</v>
      </c>
    </row>
    <row r="162" spans="1:21" x14ac:dyDescent="0.25">
      <c r="A162">
        <v>3</v>
      </c>
      <c r="B162">
        <v>100</v>
      </c>
      <c r="C162">
        <v>3</v>
      </c>
      <c r="D162">
        <v>14</v>
      </c>
      <c r="E162">
        <v>14</v>
      </c>
      <c r="F162" t="s">
        <v>81</v>
      </c>
      <c r="G162" t="s">
        <v>120</v>
      </c>
      <c r="H162" t="s">
        <v>121</v>
      </c>
      <c r="I162">
        <v>16.5</v>
      </c>
      <c r="J162">
        <v>5.2521131220325463</v>
      </c>
      <c r="K162">
        <v>4</v>
      </c>
      <c r="L162">
        <v>6</v>
      </c>
      <c r="N162" t="s">
        <v>20</v>
      </c>
      <c r="O162" t="s">
        <v>16</v>
      </c>
      <c r="P162" t="s">
        <v>303</v>
      </c>
      <c r="Q162">
        <v>5</v>
      </c>
      <c r="R162">
        <v>5</v>
      </c>
    </row>
    <row r="163" spans="1:21" x14ac:dyDescent="0.25">
      <c r="A163">
        <v>9</v>
      </c>
      <c r="B163">
        <v>500</v>
      </c>
      <c r="C163">
        <v>4</v>
      </c>
      <c r="D163">
        <v>19</v>
      </c>
      <c r="E163">
        <v>20</v>
      </c>
      <c r="F163" t="s">
        <v>81</v>
      </c>
      <c r="G163" t="s">
        <v>120</v>
      </c>
      <c r="H163" t="s">
        <v>121</v>
      </c>
      <c r="I163">
        <v>36</v>
      </c>
      <c r="J163">
        <v>11.459155902616464</v>
      </c>
      <c r="K163">
        <v>3</v>
      </c>
      <c r="L163">
        <v>9</v>
      </c>
      <c r="N163" t="s">
        <v>20</v>
      </c>
      <c r="O163" t="s">
        <v>16</v>
      </c>
      <c r="P163" t="s">
        <v>303</v>
      </c>
      <c r="Q163">
        <v>10</v>
      </c>
      <c r="R163">
        <v>10</v>
      </c>
      <c r="S163">
        <v>17</v>
      </c>
      <c r="T163" t="s">
        <v>273</v>
      </c>
      <c r="U163">
        <v>5.8890055727484625E-2</v>
      </c>
    </row>
    <row r="164" spans="1:21" x14ac:dyDescent="0.25">
      <c r="A164">
        <v>3</v>
      </c>
      <c r="B164">
        <v>500</v>
      </c>
      <c r="C164">
        <v>2</v>
      </c>
      <c r="D164">
        <v>21</v>
      </c>
      <c r="E164">
        <v>21</v>
      </c>
      <c r="F164" t="s">
        <v>81</v>
      </c>
      <c r="G164" t="s">
        <v>120</v>
      </c>
      <c r="H164" t="s">
        <v>121</v>
      </c>
      <c r="I164">
        <v>38.5</v>
      </c>
      <c r="J164">
        <v>12.254930618075941</v>
      </c>
      <c r="K164">
        <v>6</v>
      </c>
      <c r="L164">
        <v>11</v>
      </c>
      <c r="N164" t="s">
        <v>20</v>
      </c>
      <c r="O164" t="s">
        <v>16</v>
      </c>
      <c r="P164" t="s">
        <v>303</v>
      </c>
      <c r="Q164">
        <v>10</v>
      </c>
      <c r="R164">
        <v>10</v>
      </c>
      <c r="S164">
        <v>17</v>
      </c>
      <c r="T164" t="s">
        <v>273</v>
      </c>
      <c r="U164">
        <v>8.1804648924443071E-2</v>
      </c>
    </row>
    <row r="165" spans="1:21" x14ac:dyDescent="0.25">
      <c r="A165">
        <v>9</v>
      </c>
      <c r="B165">
        <v>100</v>
      </c>
      <c r="C165">
        <v>2</v>
      </c>
      <c r="D165">
        <v>26</v>
      </c>
      <c r="E165">
        <v>26</v>
      </c>
      <c r="F165" t="s">
        <v>81</v>
      </c>
      <c r="G165" t="s">
        <v>120</v>
      </c>
      <c r="H165" t="s">
        <v>121</v>
      </c>
      <c r="I165">
        <v>21</v>
      </c>
      <c r="J165">
        <v>6.6845076098596046</v>
      </c>
      <c r="K165">
        <v>5.5</v>
      </c>
      <c r="L165">
        <v>9</v>
      </c>
      <c r="N165" t="s">
        <v>20</v>
      </c>
      <c r="O165" t="s">
        <v>16</v>
      </c>
      <c r="P165" t="s">
        <v>303</v>
      </c>
      <c r="Q165">
        <v>10</v>
      </c>
      <c r="R165">
        <v>5</v>
      </c>
    </row>
    <row r="166" spans="1:21" x14ac:dyDescent="0.25">
      <c r="A166">
        <v>3</v>
      </c>
      <c r="B166">
        <v>500</v>
      </c>
      <c r="C166">
        <v>3</v>
      </c>
      <c r="D166">
        <v>30</v>
      </c>
      <c r="E166">
        <v>30</v>
      </c>
      <c r="F166" t="s">
        <v>81</v>
      </c>
      <c r="G166" t="s">
        <v>120</v>
      </c>
      <c r="H166" t="s">
        <v>121</v>
      </c>
      <c r="I166">
        <v>51.5</v>
      </c>
      <c r="J166">
        <v>16.392959138465219</v>
      </c>
      <c r="K166">
        <v>5</v>
      </c>
      <c r="L166">
        <v>10</v>
      </c>
      <c r="N166" t="s">
        <v>29</v>
      </c>
      <c r="O166" t="s">
        <v>16</v>
      </c>
      <c r="P166" t="s">
        <v>303</v>
      </c>
      <c r="Q166">
        <v>10</v>
      </c>
      <c r="R166">
        <v>15</v>
      </c>
      <c r="S166">
        <v>17</v>
      </c>
      <c r="T166" t="s">
        <v>273</v>
      </c>
      <c r="U166">
        <v>0.12575113276693189</v>
      </c>
    </row>
    <row r="167" spans="1:21" x14ac:dyDescent="0.25">
      <c r="A167">
        <v>9</v>
      </c>
      <c r="B167">
        <v>100</v>
      </c>
      <c r="C167">
        <v>3</v>
      </c>
      <c r="D167">
        <v>30</v>
      </c>
      <c r="E167">
        <v>30</v>
      </c>
      <c r="F167" t="s">
        <v>81</v>
      </c>
      <c r="G167" t="s">
        <v>120</v>
      </c>
      <c r="H167" t="s">
        <v>121</v>
      </c>
      <c r="I167">
        <v>18.5</v>
      </c>
      <c r="J167">
        <v>5.8887328944001274</v>
      </c>
      <c r="K167">
        <v>3.5</v>
      </c>
      <c r="L167">
        <v>8</v>
      </c>
      <c r="N167" t="s">
        <v>20</v>
      </c>
      <c r="O167" t="s">
        <v>16</v>
      </c>
      <c r="P167" t="s">
        <v>303</v>
      </c>
      <c r="Q167">
        <v>7.5</v>
      </c>
      <c r="R167">
        <v>5</v>
      </c>
    </row>
    <row r="168" spans="1:21" x14ac:dyDescent="0.25">
      <c r="A168">
        <v>3</v>
      </c>
      <c r="B168">
        <v>500</v>
      </c>
      <c r="C168">
        <v>3</v>
      </c>
      <c r="D168" t="s">
        <v>134</v>
      </c>
      <c r="E168">
        <v>31</v>
      </c>
      <c r="F168" t="s">
        <v>81</v>
      </c>
      <c r="G168" t="s">
        <v>120</v>
      </c>
      <c r="H168" t="s">
        <v>121</v>
      </c>
      <c r="I168">
        <v>44</v>
      </c>
      <c r="J168">
        <v>14.00563499208679</v>
      </c>
      <c r="K168">
        <v>3</v>
      </c>
      <c r="L168">
        <v>9</v>
      </c>
      <c r="N168" t="s">
        <v>20</v>
      </c>
      <c r="O168" t="s">
        <v>16</v>
      </c>
      <c r="P168" t="e">
        <v>#VALUE!</v>
      </c>
      <c r="Q168">
        <v>10</v>
      </c>
      <c r="R168">
        <v>15</v>
      </c>
      <c r="S168">
        <v>17</v>
      </c>
      <c r="T168" t="s">
        <v>273</v>
      </c>
      <c r="U168">
        <v>8.4774416915525813E-2</v>
      </c>
    </row>
    <row r="169" spans="1:21" x14ac:dyDescent="0.25">
      <c r="A169">
        <v>3</v>
      </c>
      <c r="B169">
        <v>500</v>
      </c>
      <c r="C169">
        <v>3</v>
      </c>
      <c r="D169" t="s">
        <v>135</v>
      </c>
      <c r="E169">
        <v>32</v>
      </c>
      <c r="F169" t="s">
        <v>81</v>
      </c>
      <c r="G169" t="s">
        <v>120</v>
      </c>
      <c r="H169" t="s">
        <v>121</v>
      </c>
      <c r="I169">
        <v>38.5</v>
      </c>
      <c r="J169">
        <v>12.254930618075941</v>
      </c>
      <c r="K169">
        <v>5</v>
      </c>
      <c r="L169">
        <v>10</v>
      </c>
      <c r="N169" t="s">
        <v>20</v>
      </c>
      <c r="O169" t="s">
        <v>16</v>
      </c>
      <c r="P169" t="e">
        <v>#VALUE!</v>
      </c>
      <c r="Q169">
        <v>10</v>
      </c>
      <c r="R169">
        <v>10</v>
      </c>
      <c r="S169">
        <v>17</v>
      </c>
      <c r="T169" t="s">
        <v>273</v>
      </c>
      <c r="U169">
        <v>7.4152768215724821E-2</v>
      </c>
    </row>
    <row r="170" spans="1:21" x14ac:dyDescent="0.25">
      <c r="A170">
        <v>3</v>
      </c>
      <c r="B170">
        <v>500</v>
      </c>
      <c r="C170">
        <v>3</v>
      </c>
      <c r="D170">
        <v>31</v>
      </c>
      <c r="E170">
        <v>33</v>
      </c>
      <c r="F170" t="s">
        <v>81</v>
      </c>
      <c r="G170" t="s">
        <v>120</v>
      </c>
      <c r="H170" t="s">
        <v>121</v>
      </c>
      <c r="I170">
        <v>56</v>
      </c>
      <c r="J170">
        <v>17.82535362629228</v>
      </c>
      <c r="K170">
        <v>8</v>
      </c>
      <c r="L170">
        <v>14</v>
      </c>
      <c r="N170" t="s">
        <v>20</v>
      </c>
      <c r="O170" t="s">
        <v>16</v>
      </c>
      <c r="P170" t="s">
        <v>303</v>
      </c>
      <c r="Q170">
        <v>15</v>
      </c>
      <c r="R170">
        <v>20</v>
      </c>
      <c r="S170">
        <v>17</v>
      </c>
      <c r="T170" t="s">
        <v>273</v>
      </c>
      <c r="U170">
        <v>0.20707651602127494</v>
      </c>
    </row>
    <row r="171" spans="1:21" x14ac:dyDescent="0.25">
      <c r="A171">
        <v>4</v>
      </c>
      <c r="B171">
        <v>5</v>
      </c>
      <c r="D171">
        <v>3</v>
      </c>
      <c r="E171">
        <v>3</v>
      </c>
      <c r="F171" t="s">
        <v>26</v>
      </c>
      <c r="G171" t="s">
        <v>143</v>
      </c>
      <c r="H171" t="s">
        <v>144</v>
      </c>
      <c r="L171">
        <v>1</v>
      </c>
      <c r="M171" t="e">
        <v>#REF!</v>
      </c>
      <c r="P171" t="s">
        <v>303</v>
      </c>
      <c r="Q171">
        <v>2.5</v>
      </c>
      <c r="R171">
        <v>5</v>
      </c>
    </row>
    <row r="172" spans="1:21" x14ac:dyDescent="0.25">
      <c r="A172">
        <v>4</v>
      </c>
      <c r="B172">
        <v>5</v>
      </c>
      <c r="D172">
        <v>4</v>
      </c>
      <c r="E172">
        <v>4</v>
      </c>
      <c r="F172" t="s">
        <v>40</v>
      </c>
      <c r="G172" t="s">
        <v>41</v>
      </c>
      <c r="H172" t="s">
        <v>42</v>
      </c>
      <c r="L172">
        <v>1.5</v>
      </c>
      <c r="M172" t="e">
        <v>#REF!</v>
      </c>
      <c r="P172" t="s">
        <v>303</v>
      </c>
      <c r="Q172">
        <v>2.5</v>
      </c>
      <c r="R172">
        <v>5</v>
      </c>
    </row>
    <row r="173" spans="1:21" x14ac:dyDescent="0.25">
      <c r="A173">
        <v>10</v>
      </c>
      <c r="B173">
        <v>100</v>
      </c>
      <c r="C173">
        <v>4</v>
      </c>
      <c r="D173">
        <v>37</v>
      </c>
      <c r="E173">
        <v>37</v>
      </c>
      <c r="F173" t="s">
        <v>81</v>
      </c>
      <c r="G173" t="s">
        <v>120</v>
      </c>
      <c r="H173" t="s">
        <v>121</v>
      </c>
      <c r="I173">
        <v>27</v>
      </c>
      <c r="J173">
        <v>8.5943669269623477</v>
      </c>
      <c r="K173">
        <v>6</v>
      </c>
      <c r="L173">
        <v>12</v>
      </c>
      <c r="N173" t="s">
        <v>20</v>
      </c>
      <c r="O173" t="s">
        <v>16</v>
      </c>
      <c r="P173" t="s">
        <v>303</v>
      </c>
      <c r="Q173">
        <v>12.5</v>
      </c>
      <c r="R173">
        <v>10</v>
      </c>
    </row>
    <row r="174" spans="1:21" x14ac:dyDescent="0.25">
      <c r="A174">
        <v>3</v>
      </c>
      <c r="B174">
        <v>500</v>
      </c>
      <c r="C174">
        <v>4</v>
      </c>
      <c r="D174">
        <v>47</v>
      </c>
      <c r="E174">
        <v>56</v>
      </c>
      <c r="F174" t="s">
        <v>81</v>
      </c>
      <c r="G174" t="s">
        <v>120</v>
      </c>
      <c r="H174" t="s">
        <v>121</v>
      </c>
      <c r="I174">
        <v>39</v>
      </c>
      <c r="J174">
        <v>12.414085561167836</v>
      </c>
      <c r="K174">
        <v>5.5</v>
      </c>
      <c r="L174">
        <v>9</v>
      </c>
      <c r="N174" t="s">
        <v>20</v>
      </c>
      <c r="O174" t="s">
        <v>16</v>
      </c>
      <c r="P174" t="s">
        <v>303</v>
      </c>
      <c r="Q174">
        <v>10</v>
      </c>
      <c r="R174">
        <v>10</v>
      </c>
      <c r="S174">
        <v>17</v>
      </c>
      <c r="T174" t="s">
        <v>273</v>
      </c>
      <c r="U174">
        <v>6.8100962199452261E-2</v>
      </c>
    </row>
    <row r="175" spans="1:21" x14ac:dyDescent="0.25">
      <c r="A175">
        <v>4</v>
      </c>
      <c r="B175">
        <v>500</v>
      </c>
      <c r="C175">
        <v>4</v>
      </c>
      <c r="D175">
        <v>55</v>
      </c>
      <c r="E175">
        <v>57</v>
      </c>
      <c r="F175" t="s">
        <v>81</v>
      </c>
      <c r="G175" t="s">
        <v>120</v>
      </c>
      <c r="H175" t="s">
        <v>121</v>
      </c>
      <c r="I175">
        <v>38</v>
      </c>
      <c r="J175">
        <v>12.095775674984045</v>
      </c>
      <c r="K175">
        <v>6</v>
      </c>
      <c r="L175">
        <v>8</v>
      </c>
      <c r="N175" t="s">
        <v>20</v>
      </c>
      <c r="O175" t="s">
        <v>39</v>
      </c>
      <c r="P175" t="s">
        <v>303</v>
      </c>
      <c r="Q175">
        <v>7.5</v>
      </c>
      <c r="R175">
        <v>10</v>
      </c>
      <c r="S175">
        <v>17</v>
      </c>
      <c r="T175" t="s">
        <v>273</v>
      </c>
      <c r="U175">
        <v>5.753939564851706E-2</v>
      </c>
    </row>
    <row r="176" spans="1:21" x14ac:dyDescent="0.25">
      <c r="A176">
        <v>4</v>
      </c>
      <c r="B176">
        <v>5</v>
      </c>
      <c r="D176">
        <v>5</v>
      </c>
      <c r="E176">
        <v>5</v>
      </c>
      <c r="F176" t="s">
        <v>13</v>
      </c>
      <c r="G176" t="s">
        <v>14</v>
      </c>
      <c r="H176" t="s">
        <v>15</v>
      </c>
      <c r="L176">
        <v>0.6</v>
      </c>
      <c r="M176" t="e">
        <v>#REF!</v>
      </c>
      <c r="P176" t="s">
        <v>303</v>
      </c>
      <c r="Q176">
        <v>2.5</v>
      </c>
      <c r="R176">
        <v>5</v>
      </c>
    </row>
    <row r="177" spans="1:18" x14ac:dyDescent="0.25">
      <c r="A177">
        <v>4</v>
      </c>
      <c r="B177">
        <v>5</v>
      </c>
      <c r="D177">
        <v>6</v>
      </c>
      <c r="E177">
        <v>6</v>
      </c>
      <c r="F177" t="s">
        <v>43</v>
      </c>
      <c r="G177" t="s">
        <v>146</v>
      </c>
      <c r="H177" t="s">
        <v>147</v>
      </c>
      <c r="L177">
        <v>1.7</v>
      </c>
      <c r="M177" t="e">
        <v>#REF!</v>
      </c>
      <c r="P177" t="s">
        <v>303</v>
      </c>
      <c r="Q177">
        <v>2.5</v>
      </c>
      <c r="R177">
        <v>5</v>
      </c>
    </row>
    <row r="178" spans="1:18" x14ac:dyDescent="0.25">
      <c r="A178">
        <v>4</v>
      </c>
      <c r="B178">
        <v>5</v>
      </c>
      <c r="D178">
        <v>7</v>
      </c>
      <c r="E178">
        <v>7</v>
      </c>
      <c r="F178" t="s">
        <v>43</v>
      </c>
      <c r="G178" t="s">
        <v>146</v>
      </c>
      <c r="H178" t="s">
        <v>147</v>
      </c>
      <c r="L178">
        <v>6</v>
      </c>
      <c r="M178" t="e">
        <v>#REF!</v>
      </c>
      <c r="P178" t="s">
        <v>303</v>
      </c>
      <c r="Q178">
        <v>5</v>
      </c>
      <c r="R178">
        <v>5</v>
      </c>
    </row>
    <row r="179" spans="1:18" x14ac:dyDescent="0.25">
      <c r="A179">
        <v>4</v>
      </c>
      <c r="B179">
        <v>5</v>
      </c>
      <c r="D179">
        <v>8</v>
      </c>
      <c r="E179">
        <v>8</v>
      </c>
      <c r="F179" t="s">
        <v>23</v>
      </c>
      <c r="G179" t="s">
        <v>24</v>
      </c>
      <c r="H179" t="s">
        <v>25</v>
      </c>
      <c r="L179">
        <v>4</v>
      </c>
      <c r="M179" t="e">
        <v>#REF!</v>
      </c>
      <c r="P179" t="s">
        <v>303</v>
      </c>
      <c r="Q179">
        <v>5</v>
      </c>
      <c r="R179">
        <v>5</v>
      </c>
    </row>
    <row r="180" spans="1:18" x14ac:dyDescent="0.25">
      <c r="A180">
        <v>4</v>
      </c>
      <c r="B180">
        <v>5</v>
      </c>
      <c r="D180">
        <v>9</v>
      </c>
      <c r="E180">
        <v>9</v>
      </c>
      <c r="F180" t="s">
        <v>152</v>
      </c>
      <c r="G180" t="s">
        <v>153</v>
      </c>
      <c r="H180" t="s">
        <v>154</v>
      </c>
      <c r="L180">
        <v>6</v>
      </c>
      <c r="M180" t="e">
        <v>#REF!</v>
      </c>
      <c r="P180" t="s">
        <v>303</v>
      </c>
      <c r="Q180">
        <v>5</v>
      </c>
      <c r="R180">
        <v>5</v>
      </c>
    </row>
    <row r="181" spans="1:18" x14ac:dyDescent="0.25">
      <c r="A181">
        <v>4</v>
      </c>
      <c r="B181">
        <v>5</v>
      </c>
      <c r="D181">
        <v>10</v>
      </c>
      <c r="E181">
        <v>10</v>
      </c>
      <c r="F181" t="s">
        <v>26</v>
      </c>
      <c r="G181" t="s">
        <v>143</v>
      </c>
      <c r="H181" t="s">
        <v>144</v>
      </c>
      <c r="L181">
        <v>3.5</v>
      </c>
      <c r="M181" t="e">
        <v>#REF!</v>
      </c>
      <c r="P181" t="s">
        <v>303</v>
      </c>
      <c r="Q181">
        <v>2.5</v>
      </c>
      <c r="R181">
        <v>5</v>
      </c>
    </row>
    <row r="182" spans="1:18" x14ac:dyDescent="0.25">
      <c r="A182">
        <v>4</v>
      </c>
      <c r="B182">
        <v>5</v>
      </c>
      <c r="D182">
        <v>11</v>
      </c>
      <c r="E182">
        <v>11</v>
      </c>
      <c r="F182" t="s">
        <v>152</v>
      </c>
      <c r="G182" t="s">
        <v>153</v>
      </c>
      <c r="H182" t="s">
        <v>154</v>
      </c>
      <c r="L182">
        <v>6</v>
      </c>
      <c r="M182" t="e">
        <v>#REF!</v>
      </c>
      <c r="P182" t="s">
        <v>303</v>
      </c>
      <c r="Q182">
        <v>5</v>
      </c>
      <c r="R182">
        <v>5</v>
      </c>
    </row>
    <row r="183" spans="1:18" x14ac:dyDescent="0.25">
      <c r="A183">
        <v>4</v>
      </c>
      <c r="B183">
        <v>5</v>
      </c>
      <c r="D183">
        <v>12</v>
      </c>
      <c r="E183">
        <v>12</v>
      </c>
      <c r="F183" t="s">
        <v>48</v>
      </c>
      <c r="G183" t="s">
        <v>49</v>
      </c>
      <c r="H183" t="s">
        <v>50</v>
      </c>
      <c r="L183">
        <v>0.8</v>
      </c>
      <c r="M183" t="e">
        <v>#REF!</v>
      </c>
      <c r="P183" t="s">
        <v>303</v>
      </c>
      <c r="Q183">
        <v>2.5</v>
      </c>
      <c r="R183">
        <v>5</v>
      </c>
    </row>
    <row r="184" spans="1:18" x14ac:dyDescent="0.25">
      <c r="A184">
        <v>4</v>
      </c>
      <c r="B184">
        <v>5</v>
      </c>
      <c r="D184">
        <v>13</v>
      </c>
      <c r="E184">
        <v>13</v>
      </c>
      <c r="F184" t="s">
        <v>21</v>
      </c>
      <c r="G184" t="s">
        <v>22</v>
      </c>
      <c r="H184" t="s">
        <v>283</v>
      </c>
      <c r="L184">
        <v>1.2</v>
      </c>
      <c r="M184" t="e">
        <v>#REF!</v>
      </c>
      <c r="P184" t="s">
        <v>303</v>
      </c>
      <c r="Q184">
        <v>2.5</v>
      </c>
      <c r="R184">
        <v>5</v>
      </c>
    </row>
    <row r="185" spans="1:18" x14ac:dyDescent="0.25">
      <c r="A185">
        <v>4</v>
      </c>
      <c r="B185">
        <v>5</v>
      </c>
      <c r="D185">
        <v>14</v>
      </c>
      <c r="E185">
        <v>14</v>
      </c>
      <c r="F185" t="s">
        <v>158</v>
      </c>
      <c r="G185" t="s">
        <v>159</v>
      </c>
      <c r="H185" t="s">
        <v>160</v>
      </c>
      <c r="L185">
        <v>0.3</v>
      </c>
      <c r="M185" t="e">
        <v>#REF!</v>
      </c>
      <c r="P185" t="s">
        <v>303</v>
      </c>
      <c r="Q185">
        <v>2.5</v>
      </c>
      <c r="R185">
        <v>5</v>
      </c>
    </row>
    <row r="186" spans="1:18" x14ac:dyDescent="0.25">
      <c r="A186">
        <v>4</v>
      </c>
      <c r="B186">
        <v>5</v>
      </c>
      <c r="D186">
        <v>15</v>
      </c>
      <c r="E186">
        <v>15</v>
      </c>
      <c r="F186" t="s">
        <v>158</v>
      </c>
      <c r="G186" t="s">
        <v>159</v>
      </c>
      <c r="H186" t="s">
        <v>160</v>
      </c>
      <c r="L186">
        <v>0.3</v>
      </c>
      <c r="M186" t="e">
        <v>#REF!</v>
      </c>
      <c r="P186" t="s">
        <v>303</v>
      </c>
      <c r="Q186">
        <v>2.5</v>
      </c>
      <c r="R186">
        <v>5</v>
      </c>
    </row>
    <row r="187" spans="1:18" x14ac:dyDescent="0.25">
      <c r="A187">
        <v>4</v>
      </c>
      <c r="B187">
        <v>5</v>
      </c>
      <c r="D187">
        <v>16</v>
      </c>
      <c r="E187">
        <v>16</v>
      </c>
      <c r="F187" t="s">
        <v>158</v>
      </c>
      <c r="G187" t="s">
        <v>159</v>
      </c>
      <c r="H187" t="s">
        <v>160</v>
      </c>
      <c r="L187">
        <v>0.3</v>
      </c>
      <c r="M187" t="e">
        <v>#REF!</v>
      </c>
      <c r="P187" t="s">
        <v>303</v>
      </c>
      <c r="Q187">
        <v>2.5</v>
      </c>
      <c r="R187">
        <v>5</v>
      </c>
    </row>
    <row r="188" spans="1:18" x14ac:dyDescent="0.25">
      <c r="A188">
        <v>4</v>
      </c>
      <c r="B188">
        <v>5</v>
      </c>
      <c r="D188">
        <v>17</v>
      </c>
      <c r="E188">
        <v>17</v>
      </c>
      <c r="F188" t="s">
        <v>158</v>
      </c>
      <c r="G188" t="s">
        <v>159</v>
      </c>
      <c r="H188" t="s">
        <v>160</v>
      </c>
      <c r="L188">
        <v>0.3</v>
      </c>
      <c r="M188" t="e">
        <v>#REF!</v>
      </c>
      <c r="P188" t="s">
        <v>303</v>
      </c>
      <c r="Q188">
        <v>2.5</v>
      </c>
      <c r="R188">
        <v>5</v>
      </c>
    </row>
    <row r="189" spans="1:18" x14ac:dyDescent="0.25">
      <c r="A189">
        <v>4</v>
      </c>
      <c r="B189">
        <v>5</v>
      </c>
      <c r="D189">
        <v>18</v>
      </c>
      <c r="E189">
        <v>18</v>
      </c>
      <c r="F189" t="s">
        <v>158</v>
      </c>
      <c r="G189" t="s">
        <v>159</v>
      </c>
      <c r="H189" t="s">
        <v>160</v>
      </c>
      <c r="L189">
        <v>0.3</v>
      </c>
      <c r="M189" t="e">
        <v>#REF!</v>
      </c>
      <c r="P189" t="s">
        <v>303</v>
      </c>
      <c r="Q189">
        <v>2.5</v>
      </c>
      <c r="R189">
        <v>5</v>
      </c>
    </row>
    <row r="190" spans="1:18" x14ac:dyDescent="0.25">
      <c r="A190">
        <v>4</v>
      </c>
      <c r="B190">
        <v>5</v>
      </c>
      <c r="D190">
        <v>19</v>
      </c>
      <c r="E190">
        <v>19</v>
      </c>
      <c r="F190" t="s">
        <v>158</v>
      </c>
      <c r="G190" t="s">
        <v>159</v>
      </c>
      <c r="H190" t="s">
        <v>160</v>
      </c>
      <c r="L190">
        <v>0.3</v>
      </c>
      <c r="M190" t="e">
        <v>#REF!</v>
      </c>
      <c r="P190" t="s">
        <v>303</v>
      </c>
      <c r="Q190">
        <v>2.5</v>
      </c>
      <c r="R190">
        <v>5</v>
      </c>
    </row>
    <row r="191" spans="1:18" x14ac:dyDescent="0.25">
      <c r="A191">
        <v>4</v>
      </c>
      <c r="B191">
        <v>5</v>
      </c>
      <c r="D191">
        <v>20</v>
      </c>
      <c r="E191">
        <v>20</v>
      </c>
      <c r="F191" t="s">
        <v>158</v>
      </c>
      <c r="G191" t="s">
        <v>159</v>
      </c>
      <c r="H191" t="s">
        <v>160</v>
      </c>
      <c r="L191">
        <v>0.3</v>
      </c>
      <c r="M191" t="e">
        <v>#REF!</v>
      </c>
      <c r="P191" t="s">
        <v>303</v>
      </c>
      <c r="Q191">
        <v>2.5</v>
      </c>
      <c r="R191">
        <v>5</v>
      </c>
    </row>
    <row r="192" spans="1:18" x14ac:dyDescent="0.25">
      <c r="A192">
        <v>4</v>
      </c>
      <c r="B192">
        <v>5</v>
      </c>
      <c r="D192">
        <v>21</v>
      </c>
      <c r="E192">
        <v>21</v>
      </c>
      <c r="F192" t="s">
        <v>158</v>
      </c>
      <c r="G192" t="s">
        <v>159</v>
      </c>
      <c r="H192" t="s">
        <v>160</v>
      </c>
      <c r="L192">
        <v>0.3</v>
      </c>
      <c r="M192" t="e">
        <v>#REF!</v>
      </c>
      <c r="P192" t="s">
        <v>303</v>
      </c>
      <c r="Q192">
        <v>2.5</v>
      </c>
      <c r="R192">
        <v>5</v>
      </c>
    </row>
    <row r="193" spans="1:18" x14ac:dyDescent="0.25">
      <c r="A193">
        <v>5</v>
      </c>
      <c r="B193">
        <v>5</v>
      </c>
      <c r="D193">
        <v>1</v>
      </c>
      <c r="E193">
        <v>1</v>
      </c>
      <c r="F193" t="s">
        <v>21</v>
      </c>
      <c r="G193" t="s">
        <v>22</v>
      </c>
      <c r="H193" t="s">
        <v>283</v>
      </c>
      <c r="L193">
        <v>6</v>
      </c>
      <c r="M193" t="e">
        <v>#REF!</v>
      </c>
      <c r="O193" t="s">
        <v>16</v>
      </c>
      <c r="P193" t="s">
        <v>303</v>
      </c>
      <c r="Q193">
        <v>5</v>
      </c>
      <c r="R193">
        <v>5</v>
      </c>
    </row>
    <row r="194" spans="1:18" x14ac:dyDescent="0.25">
      <c r="A194">
        <v>5</v>
      </c>
      <c r="B194">
        <v>5</v>
      </c>
      <c r="D194">
        <v>2</v>
      </c>
      <c r="E194">
        <v>2</v>
      </c>
      <c r="F194" t="s">
        <v>90</v>
      </c>
      <c r="G194" t="s">
        <v>282</v>
      </c>
      <c r="H194" t="s">
        <v>124</v>
      </c>
      <c r="L194">
        <v>5</v>
      </c>
      <c r="M194" t="e">
        <v>#REF!</v>
      </c>
      <c r="O194" t="s">
        <v>16</v>
      </c>
      <c r="P194" t="s">
        <v>303</v>
      </c>
      <c r="Q194">
        <v>5</v>
      </c>
      <c r="R194">
        <v>5</v>
      </c>
    </row>
    <row r="195" spans="1:18" x14ac:dyDescent="0.25">
      <c r="A195">
        <v>5</v>
      </c>
      <c r="B195">
        <v>5</v>
      </c>
      <c r="D195">
        <v>3</v>
      </c>
      <c r="E195">
        <v>3</v>
      </c>
      <c r="F195" t="s">
        <v>90</v>
      </c>
      <c r="G195" t="s">
        <v>282</v>
      </c>
      <c r="H195" t="s">
        <v>124</v>
      </c>
      <c r="L195">
        <v>4</v>
      </c>
      <c r="M195" t="e">
        <v>#REF!</v>
      </c>
      <c r="O195" t="s">
        <v>16</v>
      </c>
      <c r="P195" t="s">
        <v>303</v>
      </c>
      <c r="Q195">
        <v>5</v>
      </c>
      <c r="R195">
        <v>5</v>
      </c>
    </row>
    <row r="196" spans="1:18" x14ac:dyDescent="0.25">
      <c r="A196">
        <v>5</v>
      </c>
      <c r="B196">
        <v>5</v>
      </c>
      <c r="D196">
        <v>4</v>
      </c>
      <c r="E196">
        <v>4</v>
      </c>
      <c r="F196" t="s">
        <v>90</v>
      </c>
      <c r="G196" t="s">
        <v>282</v>
      </c>
      <c r="H196" t="s">
        <v>124</v>
      </c>
      <c r="L196">
        <v>6</v>
      </c>
      <c r="M196" t="e">
        <v>#REF!</v>
      </c>
      <c r="O196" t="s">
        <v>16</v>
      </c>
      <c r="P196" t="s">
        <v>303</v>
      </c>
      <c r="Q196">
        <v>5</v>
      </c>
      <c r="R196">
        <v>5</v>
      </c>
    </row>
    <row r="197" spans="1:18" x14ac:dyDescent="0.25">
      <c r="A197">
        <v>5</v>
      </c>
      <c r="B197">
        <v>5</v>
      </c>
      <c r="D197">
        <v>5</v>
      </c>
      <c r="E197">
        <v>5</v>
      </c>
      <c r="F197" t="s">
        <v>17</v>
      </c>
      <c r="G197" t="s">
        <v>150</v>
      </c>
      <c r="H197" t="s">
        <v>151</v>
      </c>
      <c r="L197">
        <v>6</v>
      </c>
      <c r="M197" t="e">
        <v>#REF!</v>
      </c>
      <c r="O197" t="s">
        <v>16</v>
      </c>
      <c r="P197" t="s">
        <v>303</v>
      </c>
      <c r="Q197">
        <v>5</v>
      </c>
      <c r="R197">
        <v>5</v>
      </c>
    </row>
    <row r="198" spans="1:18" x14ac:dyDescent="0.25">
      <c r="A198">
        <v>5</v>
      </c>
      <c r="B198">
        <v>5</v>
      </c>
      <c r="D198">
        <v>6</v>
      </c>
      <c r="E198">
        <v>6</v>
      </c>
      <c r="F198" t="s">
        <v>26</v>
      </c>
      <c r="G198" t="s">
        <v>27</v>
      </c>
      <c r="H198" t="s">
        <v>28</v>
      </c>
      <c r="L198">
        <v>0.8</v>
      </c>
      <c r="M198" t="e">
        <v>#REF!</v>
      </c>
      <c r="O198" t="s">
        <v>16</v>
      </c>
      <c r="P198" t="s">
        <v>303</v>
      </c>
      <c r="Q198">
        <v>2.5</v>
      </c>
      <c r="R198">
        <v>5</v>
      </c>
    </row>
    <row r="199" spans="1:18" x14ac:dyDescent="0.25">
      <c r="A199">
        <v>5</v>
      </c>
      <c r="B199">
        <v>5</v>
      </c>
      <c r="D199">
        <v>7</v>
      </c>
      <c r="E199">
        <v>7</v>
      </c>
      <c r="F199" t="s">
        <v>17</v>
      </c>
      <c r="G199" t="s">
        <v>65</v>
      </c>
      <c r="H199" t="s">
        <v>66</v>
      </c>
      <c r="L199">
        <v>3</v>
      </c>
      <c r="M199" t="e">
        <v>#REF!</v>
      </c>
      <c r="O199" t="s">
        <v>16</v>
      </c>
      <c r="P199" t="s">
        <v>303</v>
      </c>
      <c r="Q199">
        <v>2.5</v>
      </c>
      <c r="R199">
        <v>5</v>
      </c>
    </row>
    <row r="200" spans="1:18" x14ac:dyDescent="0.25">
      <c r="A200">
        <v>5</v>
      </c>
      <c r="B200">
        <v>5</v>
      </c>
      <c r="D200">
        <v>8</v>
      </c>
      <c r="E200">
        <v>8</v>
      </c>
      <c r="F200" t="s">
        <v>17</v>
      </c>
      <c r="G200" t="s">
        <v>65</v>
      </c>
      <c r="H200" t="s">
        <v>66</v>
      </c>
      <c r="L200">
        <v>3</v>
      </c>
      <c r="M200" t="e">
        <v>#REF!</v>
      </c>
      <c r="O200" t="s">
        <v>16</v>
      </c>
      <c r="P200" t="s">
        <v>303</v>
      </c>
      <c r="Q200">
        <v>2.5</v>
      </c>
      <c r="R200">
        <v>5</v>
      </c>
    </row>
    <row r="201" spans="1:18" x14ac:dyDescent="0.25">
      <c r="A201">
        <v>5</v>
      </c>
      <c r="B201">
        <v>5</v>
      </c>
      <c r="D201">
        <v>9</v>
      </c>
      <c r="E201">
        <v>9</v>
      </c>
      <c r="F201" t="s">
        <v>26</v>
      </c>
      <c r="G201" t="s">
        <v>27</v>
      </c>
      <c r="H201" t="s">
        <v>28</v>
      </c>
      <c r="L201">
        <v>0.15</v>
      </c>
      <c r="M201" t="e">
        <v>#REF!</v>
      </c>
      <c r="O201" t="s">
        <v>16</v>
      </c>
      <c r="P201" t="s">
        <v>303</v>
      </c>
      <c r="Q201">
        <v>2.5</v>
      </c>
      <c r="R201">
        <v>5</v>
      </c>
    </row>
    <row r="202" spans="1:18" x14ac:dyDescent="0.25">
      <c r="A202">
        <v>5</v>
      </c>
      <c r="B202">
        <v>5</v>
      </c>
      <c r="D202">
        <v>10</v>
      </c>
      <c r="E202">
        <v>10</v>
      </c>
      <c r="F202" t="s">
        <v>168</v>
      </c>
      <c r="G202" t="s">
        <v>169</v>
      </c>
      <c r="H202" t="s">
        <v>170</v>
      </c>
      <c r="L202">
        <v>0.2</v>
      </c>
      <c r="M202" t="e">
        <v>#REF!</v>
      </c>
      <c r="O202" t="s">
        <v>16</v>
      </c>
      <c r="P202" t="s">
        <v>303</v>
      </c>
      <c r="Q202">
        <v>2.5</v>
      </c>
      <c r="R202">
        <v>5</v>
      </c>
    </row>
    <row r="203" spans="1:18" x14ac:dyDescent="0.25">
      <c r="A203">
        <v>5</v>
      </c>
      <c r="B203">
        <v>5</v>
      </c>
      <c r="D203">
        <v>11</v>
      </c>
      <c r="E203">
        <v>11</v>
      </c>
      <c r="F203" t="s">
        <v>43</v>
      </c>
      <c r="G203" t="s">
        <v>146</v>
      </c>
      <c r="H203" t="s">
        <v>147</v>
      </c>
      <c r="L203">
        <v>0.6</v>
      </c>
      <c r="M203" t="e">
        <v>#REF!</v>
      </c>
      <c r="O203" t="s">
        <v>16</v>
      </c>
      <c r="P203" t="s">
        <v>303</v>
      </c>
      <c r="Q203">
        <v>2.5</v>
      </c>
      <c r="R203">
        <v>5</v>
      </c>
    </row>
    <row r="204" spans="1:18" x14ac:dyDescent="0.25">
      <c r="A204">
        <v>5</v>
      </c>
      <c r="B204">
        <v>5</v>
      </c>
      <c r="D204">
        <v>12</v>
      </c>
      <c r="E204">
        <v>12</v>
      </c>
      <c r="F204" t="s">
        <v>43</v>
      </c>
      <c r="G204" t="s">
        <v>146</v>
      </c>
      <c r="H204" t="s">
        <v>147</v>
      </c>
      <c r="L204">
        <v>0.6</v>
      </c>
      <c r="M204" t="e">
        <v>#REF!</v>
      </c>
      <c r="O204" t="s">
        <v>16</v>
      </c>
      <c r="P204" t="s">
        <v>303</v>
      </c>
      <c r="Q204">
        <v>2.5</v>
      </c>
      <c r="R204">
        <v>5</v>
      </c>
    </row>
    <row r="205" spans="1:18" x14ac:dyDescent="0.25">
      <c r="A205">
        <v>5</v>
      </c>
      <c r="B205">
        <v>5</v>
      </c>
      <c r="D205">
        <v>13</v>
      </c>
      <c r="E205">
        <v>13</v>
      </c>
      <c r="F205" t="s">
        <v>43</v>
      </c>
      <c r="G205" t="s">
        <v>146</v>
      </c>
      <c r="H205" t="s">
        <v>147</v>
      </c>
      <c r="L205">
        <v>0.6</v>
      </c>
      <c r="M205" t="e">
        <v>#REF!</v>
      </c>
      <c r="O205" t="s">
        <v>16</v>
      </c>
      <c r="P205" t="s">
        <v>303</v>
      </c>
      <c r="Q205">
        <v>2.5</v>
      </c>
      <c r="R205">
        <v>5</v>
      </c>
    </row>
    <row r="206" spans="1:18" x14ac:dyDescent="0.25">
      <c r="A206">
        <v>5</v>
      </c>
      <c r="B206">
        <v>5</v>
      </c>
      <c r="D206">
        <v>14</v>
      </c>
      <c r="E206">
        <v>14</v>
      </c>
      <c r="F206" t="s">
        <v>168</v>
      </c>
      <c r="G206" t="s">
        <v>169</v>
      </c>
      <c r="H206" t="s">
        <v>170</v>
      </c>
      <c r="L206">
        <v>0.2</v>
      </c>
      <c r="M206" t="e">
        <v>#REF!</v>
      </c>
      <c r="O206" t="s">
        <v>16</v>
      </c>
      <c r="P206" t="s">
        <v>303</v>
      </c>
      <c r="Q206">
        <v>2.5</v>
      </c>
      <c r="R206">
        <v>5</v>
      </c>
    </row>
    <row r="207" spans="1:18" x14ac:dyDescent="0.25">
      <c r="A207">
        <v>5</v>
      </c>
      <c r="B207">
        <v>5</v>
      </c>
      <c r="D207">
        <v>15</v>
      </c>
      <c r="E207">
        <v>15</v>
      </c>
      <c r="F207" t="s">
        <v>168</v>
      </c>
      <c r="G207" t="s">
        <v>169</v>
      </c>
      <c r="H207" t="s">
        <v>170</v>
      </c>
      <c r="L207">
        <v>0.1</v>
      </c>
      <c r="M207" t="e">
        <v>#REF!</v>
      </c>
      <c r="O207" t="s">
        <v>16</v>
      </c>
      <c r="P207" t="s">
        <v>303</v>
      </c>
      <c r="Q207">
        <v>2.5</v>
      </c>
      <c r="R207">
        <v>5</v>
      </c>
    </row>
    <row r="208" spans="1:18" x14ac:dyDescent="0.25">
      <c r="A208">
        <v>5</v>
      </c>
      <c r="B208">
        <v>5</v>
      </c>
      <c r="D208">
        <v>16</v>
      </c>
      <c r="E208">
        <v>16</v>
      </c>
      <c r="F208" t="s">
        <v>168</v>
      </c>
      <c r="G208" t="s">
        <v>169</v>
      </c>
      <c r="H208" t="s">
        <v>170</v>
      </c>
      <c r="L208">
        <v>0.1</v>
      </c>
      <c r="M208" t="e">
        <v>#REF!</v>
      </c>
      <c r="O208" t="s">
        <v>16</v>
      </c>
      <c r="P208" t="s">
        <v>303</v>
      </c>
      <c r="Q208">
        <v>2.5</v>
      </c>
      <c r="R208">
        <v>5</v>
      </c>
    </row>
    <row r="209" spans="1:21" x14ac:dyDescent="0.25">
      <c r="A209">
        <v>5</v>
      </c>
      <c r="B209">
        <v>5</v>
      </c>
      <c r="D209">
        <v>17</v>
      </c>
      <c r="E209">
        <v>17</v>
      </c>
      <c r="F209" t="s">
        <v>168</v>
      </c>
      <c r="G209" t="s">
        <v>169</v>
      </c>
      <c r="H209" t="s">
        <v>170</v>
      </c>
      <c r="L209">
        <v>0.15</v>
      </c>
      <c r="M209" t="e">
        <v>#REF!</v>
      </c>
      <c r="O209" t="s">
        <v>16</v>
      </c>
      <c r="P209" t="s">
        <v>303</v>
      </c>
      <c r="Q209">
        <v>2.5</v>
      </c>
      <c r="R209">
        <v>5</v>
      </c>
    </row>
    <row r="210" spans="1:21" x14ac:dyDescent="0.25">
      <c r="A210">
        <v>5</v>
      </c>
      <c r="B210">
        <v>5</v>
      </c>
      <c r="D210">
        <v>18</v>
      </c>
      <c r="E210">
        <v>18</v>
      </c>
      <c r="F210" t="s">
        <v>168</v>
      </c>
      <c r="G210" t="s">
        <v>169</v>
      </c>
      <c r="H210" t="s">
        <v>170</v>
      </c>
      <c r="L210">
        <v>0.1</v>
      </c>
      <c r="M210" t="e">
        <v>#REF!</v>
      </c>
      <c r="O210" t="s">
        <v>16</v>
      </c>
      <c r="P210" t="s">
        <v>303</v>
      </c>
      <c r="Q210">
        <v>2.5</v>
      </c>
      <c r="R210">
        <v>5</v>
      </c>
    </row>
    <row r="211" spans="1:21" x14ac:dyDescent="0.25">
      <c r="A211">
        <v>5</v>
      </c>
      <c r="B211">
        <v>5</v>
      </c>
      <c r="D211">
        <v>19</v>
      </c>
      <c r="E211">
        <v>19</v>
      </c>
      <c r="F211" t="s">
        <v>168</v>
      </c>
      <c r="G211" t="s">
        <v>169</v>
      </c>
      <c r="H211" t="s">
        <v>170</v>
      </c>
      <c r="L211">
        <v>0.1</v>
      </c>
      <c r="M211" t="e">
        <v>#REF!</v>
      </c>
      <c r="O211" t="s">
        <v>16</v>
      </c>
      <c r="P211" t="s">
        <v>303</v>
      </c>
      <c r="Q211">
        <v>2.5</v>
      </c>
      <c r="R211">
        <v>5</v>
      </c>
    </row>
    <row r="212" spans="1:21" x14ac:dyDescent="0.25">
      <c r="A212">
        <v>6</v>
      </c>
      <c r="B212">
        <v>5</v>
      </c>
      <c r="D212">
        <v>1</v>
      </c>
      <c r="E212">
        <v>1</v>
      </c>
      <c r="F212" t="s">
        <v>43</v>
      </c>
      <c r="G212" t="s">
        <v>99</v>
      </c>
      <c r="H212" t="s">
        <v>100</v>
      </c>
      <c r="L212">
        <v>6</v>
      </c>
      <c r="M212" t="e">
        <v>#REF!</v>
      </c>
      <c r="O212" t="s">
        <v>16</v>
      </c>
      <c r="P212" t="s">
        <v>303</v>
      </c>
      <c r="Q212">
        <v>5</v>
      </c>
      <c r="R212">
        <v>5</v>
      </c>
    </row>
    <row r="213" spans="1:21" x14ac:dyDescent="0.25">
      <c r="A213">
        <v>6</v>
      </c>
      <c r="B213">
        <v>5</v>
      </c>
      <c r="D213">
        <v>2</v>
      </c>
      <c r="E213">
        <v>2</v>
      </c>
      <c r="F213" t="s">
        <v>43</v>
      </c>
      <c r="G213" t="s">
        <v>99</v>
      </c>
      <c r="H213" t="s">
        <v>100</v>
      </c>
      <c r="L213">
        <v>1.6</v>
      </c>
      <c r="M213" t="e">
        <v>#REF!</v>
      </c>
      <c r="O213" t="s">
        <v>16</v>
      </c>
      <c r="P213" t="s">
        <v>303</v>
      </c>
      <c r="Q213">
        <v>2.5</v>
      </c>
      <c r="R213">
        <v>5</v>
      </c>
    </row>
    <row r="214" spans="1:21" x14ac:dyDescent="0.25">
      <c r="A214">
        <v>8</v>
      </c>
      <c r="B214">
        <v>100</v>
      </c>
      <c r="C214">
        <v>4</v>
      </c>
      <c r="D214">
        <v>22</v>
      </c>
      <c r="E214">
        <v>22</v>
      </c>
      <c r="F214" t="s">
        <v>155</v>
      </c>
      <c r="G214" t="s">
        <v>204</v>
      </c>
      <c r="H214" t="s">
        <v>205</v>
      </c>
      <c r="I214">
        <v>27</v>
      </c>
      <c r="J214">
        <v>8.5943669269623477</v>
      </c>
      <c r="K214">
        <v>7</v>
      </c>
      <c r="L214">
        <v>11</v>
      </c>
      <c r="N214" t="s">
        <v>20</v>
      </c>
      <c r="O214" t="s">
        <v>16</v>
      </c>
      <c r="P214" t="s">
        <v>303</v>
      </c>
      <c r="Q214">
        <v>10</v>
      </c>
      <c r="R214">
        <v>10</v>
      </c>
    </row>
    <row r="215" spans="1:21" x14ac:dyDescent="0.25">
      <c r="A215">
        <v>2</v>
      </c>
      <c r="B215">
        <v>500</v>
      </c>
      <c r="C215">
        <v>1</v>
      </c>
      <c r="D215">
        <v>1</v>
      </c>
      <c r="E215">
        <v>1</v>
      </c>
      <c r="F215" t="s">
        <v>26</v>
      </c>
      <c r="G215" t="s">
        <v>27</v>
      </c>
      <c r="H215" t="s">
        <v>28</v>
      </c>
      <c r="I215">
        <v>37</v>
      </c>
      <c r="J215">
        <v>11.777465788800255</v>
      </c>
      <c r="K215">
        <v>6</v>
      </c>
      <c r="L215">
        <v>13</v>
      </c>
      <c r="N215" t="s">
        <v>20</v>
      </c>
      <c r="O215" t="s">
        <v>16</v>
      </c>
      <c r="P215" t="s">
        <v>303</v>
      </c>
      <c r="Q215">
        <v>12.5</v>
      </c>
      <c r="R215">
        <v>10</v>
      </c>
      <c r="S215">
        <v>16</v>
      </c>
      <c r="T215" t="s">
        <v>275</v>
      </c>
      <c r="U215">
        <v>8.3895793672179933E-2</v>
      </c>
    </row>
    <row r="216" spans="1:21" x14ac:dyDescent="0.25">
      <c r="A216">
        <v>5</v>
      </c>
      <c r="B216">
        <v>100</v>
      </c>
      <c r="C216">
        <v>1</v>
      </c>
      <c r="D216">
        <v>1</v>
      </c>
      <c r="E216">
        <v>1</v>
      </c>
      <c r="F216" t="s">
        <v>26</v>
      </c>
      <c r="G216" t="s">
        <v>27</v>
      </c>
      <c r="H216" t="s">
        <v>28</v>
      </c>
      <c r="I216">
        <v>29.5</v>
      </c>
      <c r="J216">
        <v>9.3901416424218258</v>
      </c>
      <c r="K216">
        <v>5.5</v>
      </c>
      <c r="L216">
        <v>9</v>
      </c>
      <c r="N216" t="s">
        <v>29</v>
      </c>
      <c r="O216" t="s">
        <v>16</v>
      </c>
      <c r="P216" t="s">
        <v>303</v>
      </c>
      <c r="Q216">
        <v>10</v>
      </c>
      <c r="R216">
        <v>10</v>
      </c>
    </row>
    <row r="217" spans="1:21" x14ac:dyDescent="0.25">
      <c r="A217">
        <v>4</v>
      </c>
      <c r="B217">
        <v>500</v>
      </c>
      <c r="C217">
        <v>1</v>
      </c>
      <c r="D217">
        <v>2</v>
      </c>
      <c r="E217">
        <v>2</v>
      </c>
      <c r="F217" t="s">
        <v>26</v>
      </c>
      <c r="G217" t="s">
        <v>27</v>
      </c>
      <c r="H217" t="s">
        <v>28</v>
      </c>
      <c r="I217">
        <v>33</v>
      </c>
      <c r="J217">
        <v>10.504226244065093</v>
      </c>
      <c r="K217">
        <v>8</v>
      </c>
      <c r="L217">
        <v>11</v>
      </c>
      <c r="N217" t="s">
        <v>20</v>
      </c>
      <c r="O217" t="s">
        <v>16</v>
      </c>
      <c r="P217" t="s">
        <v>303</v>
      </c>
      <c r="Q217">
        <v>10</v>
      </c>
      <c r="R217">
        <v>10</v>
      </c>
      <c r="S217">
        <v>16</v>
      </c>
      <c r="T217" t="s">
        <v>275</v>
      </c>
      <c r="U217">
        <v>5.7300712943972834E-2</v>
      </c>
    </row>
    <row r="218" spans="1:21" x14ac:dyDescent="0.25">
      <c r="A218">
        <v>5</v>
      </c>
      <c r="B218">
        <v>500</v>
      </c>
      <c r="C218">
        <v>1</v>
      </c>
      <c r="D218">
        <v>2</v>
      </c>
      <c r="E218">
        <v>2</v>
      </c>
      <c r="F218" t="s">
        <v>26</v>
      </c>
      <c r="G218" t="s">
        <v>27</v>
      </c>
      <c r="H218" t="s">
        <v>28</v>
      </c>
      <c r="I218">
        <v>43</v>
      </c>
      <c r="J218">
        <v>13.687325105903</v>
      </c>
      <c r="K218">
        <v>7</v>
      </c>
      <c r="L218">
        <v>10</v>
      </c>
      <c r="N218" t="s">
        <v>20</v>
      </c>
      <c r="O218" t="s">
        <v>16</v>
      </c>
      <c r="P218" t="s">
        <v>303</v>
      </c>
      <c r="Q218">
        <v>10</v>
      </c>
      <c r="R218">
        <v>15</v>
      </c>
      <c r="S218">
        <v>16</v>
      </c>
      <c r="T218" t="s">
        <v>275</v>
      </c>
      <c r="U218">
        <v>8.45043860324068E-2</v>
      </c>
    </row>
    <row r="219" spans="1:21" x14ac:dyDescent="0.25">
      <c r="A219">
        <v>1</v>
      </c>
      <c r="B219">
        <v>100</v>
      </c>
      <c r="C219">
        <v>1</v>
      </c>
      <c r="D219">
        <v>2</v>
      </c>
      <c r="E219">
        <v>2</v>
      </c>
      <c r="F219" t="s">
        <v>26</v>
      </c>
      <c r="G219" t="s">
        <v>27</v>
      </c>
      <c r="H219" t="s">
        <v>28</v>
      </c>
      <c r="I219">
        <v>28</v>
      </c>
      <c r="J219">
        <v>8.91267681314614</v>
      </c>
      <c r="K219">
        <v>3</v>
      </c>
      <c r="L219">
        <v>7</v>
      </c>
      <c r="N219" t="s">
        <v>20</v>
      </c>
      <c r="O219" t="s">
        <v>16</v>
      </c>
      <c r="P219" t="s">
        <v>303</v>
      </c>
      <c r="Q219">
        <v>7.5</v>
      </c>
      <c r="R219">
        <v>10</v>
      </c>
    </row>
    <row r="220" spans="1:21" x14ac:dyDescent="0.25">
      <c r="A220">
        <v>2</v>
      </c>
      <c r="B220">
        <v>100</v>
      </c>
      <c r="C220">
        <v>1</v>
      </c>
      <c r="D220">
        <v>2</v>
      </c>
      <c r="E220">
        <v>2</v>
      </c>
      <c r="F220" t="s">
        <v>26</v>
      </c>
      <c r="G220" t="s">
        <v>27</v>
      </c>
      <c r="H220" t="s">
        <v>28</v>
      </c>
      <c r="I220">
        <v>19</v>
      </c>
      <c r="J220">
        <v>6.0478878374920226</v>
      </c>
      <c r="K220">
        <v>5</v>
      </c>
      <c r="L220">
        <v>6</v>
      </c>
      <c r="N220" t="s">
        <v>20</v>
      </c>
      <c r="O220" t="s">
        <v>39</v>
      </c>
      <c r="P220" t="s">
        <v>303</v>
      </c>
      <c r="Q220">
        <v>5</v>
      </c>
      <c r="R220">
        <v>5</v>
      </c>
    </row>
    <row r="221" spans="1:21" x14ac:dyDescent="0.25">
      <c r="A221">
        <v>5</v>
      </c>
      <c r="B221">
        <v>100</v>
      </c>
      <c r="C221">
        <v>1</v>
      </c>
      <c r="D221" t="s">
        <v>172</v>
      </c>
      <c r="E221">
        <v>2</v>
      </c>
      <c r="F221" t="s">
        <v>26</v>
      </c>
      <c r="G221" t="s">
        <v>27</v>
      </c>
      <c r="H221" t="s">
        <v>28</v>
      </c>
      <c r="I221">
        <v>23</v>
      </c>
      <c r="J221">
        <v>7.3211273822271856</v>
      </c>
      <c r="K221">
        <v>5.5</v>
      </c>
      <c r="L221">
        <v>9</v>
      </c>
      <c r="N221" t="s">
        <v>20</v>
      </c>
      <c r="O221" t="s">
        <v>16</v>
      </c>
      <c r="P221" t="e">
        <v>#VALUE!</v>
      </c>
      <c r="Q221">
        <v>10</v>
      </c>
      <c r="R221">
        <v>5</v>
      </c>
    </row>
    <row r="222" spans="1:21" x14ac:dyDescent="0.25">
      <c r="A222">
        <v>9</v>
      </c>
      <c r="B222">
        <v>500</v>
      </c>
      <c r="C222">
        <v>1</v>
      </c>
      <c r="D222">
        <v>3</v>
      </c>
      <c r="E222">
        <v>3</v>
      </c>
      <c r="F222" t="s">
        <v>26</v>
      </c>
      <c r="G222" t="s">
        <v>27</v>
      </c>
      <c r="H222" t="s">
        <v>28</v>
      </c>
      <c r="I222">
        <v>35.5</v>
      </c>
      <c r="J222">
        <v>11.300000959524569</v>
      </c>
      <c r="K222">
        <v>5.5</v>
      </c>
      <c r="L222">
        <v>10</v>
      </c>
      <c r="N222" t="s">
        <v>20</v>
      </c>
      <c r="O222" t="s">
        <v>16</v>
      </c>
      <c r="P222" t="s">
        <v>303</v>
      </c>
      <c r="Q222">
        <v>10</v>
      </c>
      <c r="R222">
        <v>10</v>
      </c>
      <c r="S222">
        <v>16</v>
      </c>
      <c r="T222" t="s">
        <v>275</v>
      </c>
      <c r="U222">
        <v>5.9429443989314337E-2</v>
      </c>
    </row>
    <row r="223" spans="1:21" x14ac:dyDescent="0.25">
      <c r="A223">
        <v>10</v>
      </c>
      <c r="B223">
        <v>500</v>
      </c>
      <c r="C223">
        <v>1</v>
      </c>
      <c r="D223">
        <v>3</v>
      </c>
      <c r="E223">
        <v>3</v>
      </c>
      <c r="F223" t="s">
        <v>26</v>
      </c>
      <c r="G223" t="s">
        <v>27</v>
      </c>
      <c r="H223" t="s">
        <v>28</v>
      </c>
      <c r="I223">
        <v>33.5</v>
      </c>
      <c r="J223">
        <v>10.663381187156988</v>
      </c>
      <c r="K223">
        <v>6</v>
      </c>
      <c r="L223">
        <v>10</v>
      </c>
      <c r="N223" t="s">
        <v>20</v>
      </c>
      <c r="O223" t="s">
        <v>16</v>
      </c>
      <c r="P223" t="s">
        <v>303</v>
      </c>
      <c r="Q223">
        <v>10</v>
      </c>
      <c r="R223">
        <v>10</v>
      </c>
      <c r="S223">
        <v>16</v>
      </c>
      <c r="T223" t="s">
        <v>275</v>
      </c>
      <c r="U223">
        <v>5.3425663706255927E-2</v>
      </c>
    </row>
    <row r="224" spans="1:21" x14ac:dyDescent="0.25">
      <c r="A224">
        <v>11</v>
      </c>
      <c r="B224">
        <v>500</v>
      </c>
      <c r="C224">
        <v>1</v>
      </c>
      <c r="D224">
        <v>2</v>
      </c>
      <c r="E224">
        <v>3</v>
      </c>
      <c r="F224" t="s">
        <v>26</v>
      </c>
      <c r="G224" t="s">
        <v>27</v>
      </c>
      <c r="H224" t="s">
        <v>28</v>
      </c>
      <c r="I224">
        <v>36</v>
      </c>
      <c r="J224">
        <v>11.459155902616464</v>
      </c>
      <c r="K224">
        <v>4</v>
      </c>
      <c r="L224">
        <v>10</v>
      </c>
      <c r="N224" t="s">
        <v>20</v>
      </c>
      <c r="O224" t="s">
        <v>16</v>
      </c>
      <c r="P224" t="s">
        <v>303</v>
      </c>
      <c r="Q224">
        <v>10</v>
      </c>
      <c r="R224">
        <v>10</v>
      </c>
      <c r="S224">
        <v>16</v>
      </c>
      <c r="T224" t="s">
        <v>275</v>
      </c>
      <c r="U224">
        <v>6.0975779374989041E-2</v>
      </c>
    </row>
    <row r="225" spans="1:21" x14ac:dyDescent="0.25">
      <c r="A225">
        <v>11</v>
      </c>
      <c r="B225">
        <v>500</v>
      </c>
      <c r="C225">
        <v>1</v>
      </c>
      <c r="D225">
        <v>3</v>
      </c>
      <c r="E225">
        <v>4</v>
      </c>
      <c r="F225" t="s">
        <v>26</v>
      </c>
      <c r="G225" t="s">
        <v>27</v>
      </c>
      <c r="H225" t="s">
        <v>28</v>
      </c>
      <c r="I225">
        <v>46</v>
      </c>
      <c r="J225">
        <v>14.642254764454371</v>
      </c>
      <c r="K225">
        <v>6</v>
      </c>
      <c r="L225">
        <v>12</v>
      </c>
      <c r="N225" t="s">
        <v>20</v>
      </c>
      <c r="O225" t="s">
        <v>16</v>
      </c>
      <c r="P225" t="s">
        <v>303</v>
      </c>
      <c r="Q225">
        <v>12.5</v>
      </c>
      <c r="R225">
        <v>15</v>
      </c>
      <c r="S225">
        <v>16</v>
      </c>
      <c r="T225" t="s">
        <v>275</v>
      </c>
      <c r="U225">
        <v>0.1152892094778195</v>
      </c>
    </row>
    <row r="226" spans="1:21" x14ac:dyDescent="0.25">
      <c r="A226">
        <v>1</v>
      </c>
      <c r="B226">
        <v>100</v>
      </c>
      <c r="C226">
        <v>1</v>
      </c>
      <c r="D226">
        <v>4</v>
      </c>
      <c r="E226">
        <v>4</v>
      </c>
      <c r="F226" t="s">
        <v>26</v>
      </c>
      <c r="G226" t="s">
        <v>27</v>
      </c>
      <c r="H226" t="s">
        <v>28</v>
      </c>
      <c r="I226">
        <v>21</v>
      </c>
      <c r="J226">
        <v>6.6845076098596046</v>
      </c>
      <c r="K226">
        <v>6</v>
      </c>
      <c r="L226">
        <v>8</v>
      </c>
      <c r="N226" t="s">
        <v>20</v>
      </c>
      <c r="O226" t="s">
        <v>16</v>
      </c>
      <c r="P226" t="s">
        <v>303</v>
      </c>
      <c r="Q226">
        <v>7.5</v>
      </c>
      <c r="R226">
        <v>5</v>
      </c>
    </row>
    <row r="227" spans="1:21" x14ac:dyDescent="0.25">
      <c r="A227">
        <v>6</v>
      </c>
      <c r="B227">
        <v>5</v>
      </c>
      <c r="D227">
        <v>3</v>
      </c>
      <c r="E227">
        <v>3</v>
      </c>
      <c r="F227" t="s">
        <v>43</v>
      </c>
      <c r="G227" t="s">
        <v>99</v>
      </c>
      <c r="H227" t="s">
        <v>100</v>
      </c>
      <c r="L227">
        <v>4</v>
      </c>
      <c r="M227" t="e">
        <v>#REF!</v>
      </c>
      <c r="O227" t="s">
        <v>16</v>
      </c>
      <c r="P227" t="s">
        <v>303</v>
      </c>
      <c r="Q227">
        <v>5</v>
      </c>
      <c r="R227">
        <v>5</v>
      </c>
    </row>
    <row r="228" spans="1:21" x14ac:dyDescent="0.25">
      <c r="A228">
        <v>2</v>
      </c>
      <c r="B228">
        <v>500</v>
      </c>
      <c r="C228">
        <v>1</v>
      </c>
      <c r="D228">
        <v>5</v>
      </c>
      <c r="E228">
        <v>5</v>
      </c>
      <c r="F228" t="s">
        <v>26</v>
      </c>
      <c r="G228" t="s">
        <v>27</v>
      </c>
      <c r="H228" t="s">
        <v>28</v>
      </c>
      <c r="I228">
        <v>35</v>
      </c>
      <c r="J228">
        <v>11.140846016432674</v>
      </c>
      <c r="K228">
        <v>8</v>
      </c>
      <c r="L228">
        <v>12</v>
      </c>
      <c r="N228" t="s">
        <v>20</v>
      </c>
      <c r="O228" t="s">
        <v>16</v>
      </c>
      <c r="P228" t="s">
        <v>303</v>
      </c>
      <c r="Q228">
        <v>12.5</v>
      </c>
      <c r="R228">
        <v>10</v>
      </c>
      <c r="S228">
        <v>16</v>
      </c>
      <c r="T228" t="s">
        <v>275</v>
      </c>
      <c r="U228">
        <v>6.9791847152597383E-2</v>
      </c>
    </row>
    <row r="229" spans="1:21" x14ac:dyDescent="0.25">
      <c r="A229">
        <v>9</v>
      </c>
      <c r="B229">
        <v>500</v>
      </c>
      <c r="C229">
        <v>1</v>
      </c>
      <c r="D229">
        <v>5</v>
      </c>
      <c r="E229">
        <v>5</v>
      </c>
      <c r="F229" t="s">
        <v>26</v>
      </c>
      <c r="G229" t="s">
        <v>27</v>
      </c>
      <c r="H229" t="s">
        <v>28</v>
      </c>
      <c r="I229">
        <v>32</v>
      </c>
      <c r="J229">
        <v>10.185916357881302</v>
      </c>
      <c r="K229">
        <v>4.5</v>
      </c>
      <c r="L229">
        <v>9</v>
      </c>
      <c r="N229" t="s">
        <v>20</v>
      </c>
      <c r="O229" t="s">
        <v>16</v>
      </c>
      <c r="P229" t="s">
        <v>303</v>
      </c>
      <c r="Q229">
        <v>10</v>
      </c>
      <c r="R229">
        <v>10</v>
      </c>
      <c r="S229">
        <v>16</v>
      </c>
      <c r="T229" t="s">
        <v>275</v>
      </c>
      <c r="U229">
        <v>4.408950883936872E-2</v>
      </c>
    </row>
    <row r="230" spans="1:21" x14ac:dyDescent="0.25">
      <c r="A230">
        <v>10</v>
      </c>
      <c r="B230">
        <v>500</v>
      </c>
      <c r="C230">
        <v>1</v>
      </c>
      <c r="D230">
        <v>5</v>
      </c>
      <c r="E230">
        <v>5</v>
      </c>
      <c r="F230" t="s">
        <v>26</v>
      </c>
      <c r="G230" t="s">
        <v>27</v>
      </c>
      <c r="H230" t="s">
        <v>28</v>
      </c>
      <c r="I230">
        <v>32</v>
      </c>
      <c r="J230">
        <v>10.185916357881302</v>
      </c>
      <c r="K230">
        <v>4</v>
      </c>
      <c r="L230">
        <v>10</v>
      </c>
      <c r="N230" t="s">
        <v>20</v>
      </c>
      <c r="O230" t="s">
        <v>16</v>
      </c>
      <c r="P230" t="s">
        <v>303</v>
      </c>
      <c r="Q230">
        <v>10</v>
      </c>
      <c r="R230">
        <v>10</v>
      </c>
      <c r="S230">
        <v>16</v>
      </c>
      <c r="T230" t="s">
        <v>275</v>
      </c>
      <c r="U230">
        <v>4.9114685538601273E-2</v>
      </c>
    </row>
    <row r="231" spans="1:21" x14ac:dyDescent="0.25">
      <c r="A231">
        <v>11</v>
      </c>
      <c r="B231">
        <v>500</v>
      </c>
      <c r="C231">
        <v>1</v>
      </c>
      <c r="D231">
        <v>4</v>
      </c>
      <c r="E231">
        <v>5</v>
      </c>
      <c r="F231" t="s">
        <v>26</v>
      </c>
      <c r="G231" t="s">
        <v>27</v>
      </c>
      <c r="H231" t="s">
        <v>28</v>
      </c>
      <c r="I231">
        <v>31.5</v>
      </c>
      <c r="J231">
        <v>10.026761414789407</v>
      </c>
      <c r="K231">
        <v>6</v>
      </c>
      <c r="L231">
        <v>11</v>
      </c>
      <c r="N231" t="s">
        <v>20</v>
      </c>
      <c r="O231" t="s">
        <v>16</v>
      </c>
      <c r="P231" t="s">
        <v>303</v>
      </c>
      <c r="Q231">
        <v>10</v>
      </c>
      <c r="R231">
        <v>10</v>
      </c>
      <c r="S231">
        <v>16</v>
      </c>
      <c r="T231" t="s">
        <v>275</v>
      </c>
      <c r="U231">
        <v>5.2608361423648733E-2</v>
      </c>
    </row>
    <row r="232" spans="1:21" x14ac:dyDescent="0.25">
      <c r="A232">
        <v>8</v>
      </c>
      <c r="B232">
        <v>100</v>
      </c>
      <c r="C232">
        <v>1</v>
      </c>
      <c r="D232">
        <v>5</v>
      </c>
      <c r="E232">
        <v>5</v>
      </c>
      <c r="F232" t="s">
        <v>26</v>
      </c>
      <c r="G232" t="s">
        <v>27</v>
      </c>
      <c r="H232" t="s">
        <v>28</v>
      </c>
      <c r="I232">
        <v>22</v>
      </c>
      <c r="J232">
        <v>7.0028174960433951</v>
      </c>
      <c r="K232">
        <v>6</v>
      </c>
      <c r="L232">
        <v>9</v>
      </c>
      <c r="N232" t="s">
        <v>20</v>
      </c>
      <c r="O232" t="s">
        <v>16</v>
      </c>
      <c r="P232" t="s">
        <v>303</v>
      </c>
      <c r="Q232">
        <v>10</v>
      </c>
      <c r="R232">
        <v>5</v>
      </c>
    </row>
    <row r="233" spans="1:21" x14ac:dyDescent="0.25">
      <c r="A233">
        <v>11</v>
      </c>
      <c r="B233">
        <v>100</v>
      </c>
      <c r="C233">
        <v>1</v>
      </c>
      <c r="D233">
        <v>5</v>
      </c>
      <c r="E233">
        <v>5</v>
      </c>
      <c r="F233" t="s">
        <v>26</v>
      </c>
      <c r="G233" t="s">
        <v>27</v>
      </c>
      <c r="H233" t="s">
        <v>28</v>
      </c>
      <c r="I233">
        <v>16</v>
      </c>
      <c r="J233">
        <v>5.0929581789406511</v>
      </c>
      <c r="K233">
        <v>6</v>
      </c>
      <c r="L233">
        <v>8</v>
      </c>
      <c r="N233" t="s">
        <v>20</v>
      </c>
      <c r="O233" t="s">
        <v>16</v>
      </c>
      <c r="P233" t="s">
        <v>303</v>
      </c>
      <c r="Q233">
        <v>7.5</v>
      </c>
      <c r="R233">
        <v>5</v>
      </c>
    </row>
    <row r="234" spans="1:21" x14ac:dyDescent="0.25">
      <c r="A234">
        <v>6</v>
      </c>
      <c r="B234">
        <v>5</v>
      </c>
      <c r="D234">
        <v>4</v>
      </c>
      <c r="E234">
        <v>4</v>
      </c>
      <c r="F234" t="s">
        <v>43</v>
      </c>
      <c r="G234" t="s">
        <v>99</v>
      </c>
      <c r="H234" t="s">
        <v>100</v>
      </c>
      <c r="L234">
        <v>2.5</v>
      </c>
      <c r="M234" t="e">
        <v>#REF!</v>
      </c>
      <c r="O234" t="s">
        <v>16</v>
      </c>
      <c r="P234" t="s">
        <v>303</v>
      </c>
      <c r="Q234">
        <v>2.5</v>
      </c>
      <c r="R234">
        <v>5</v>
      </c>
    </row>
    <row r="235" spans="1:21" x14ac:dyDescent="0.25">
      <c r="A235">
        <v>6</v>
      </c>
      <c r="B235">
        <v>5</v>
      </c>
      <c r="D235">
        <v>5</v>
      </c>
      <c r="E235">
        <v>5</v>
      </c>
      <c r="F235" t="s">
        <v>26</v>
      </c>
      <c r="G235" t="s">
        <v>27</v>
      </c>
      <c r="H235" t="s">
        <v>28</v>
      </c>
      <c r="L235">
        <v>3</v>
      </c>
      <c r="M235" t="e">
        <v>#REF!</v>
      </c>
      <c r="O235" t="s">
        <v>16</v>
      </c>
      <c r="P235" t="s">
        <v>303</v>
      </c>
      <c r="Q235">
        <v>2.5</v>
      </c>
      <c r="R235">
        <v>5</v>
      </c>
    </row>
    <row r="236" spans="1:21" x14ac:dyDescent="0.25">
      <c r="A236">
        <v>11</v>
      </c>
      <c r="B236">
        <v>100</v>
      </c>
      <c r="C236">
        <v>1</v>
      </c>
      <c r="D236">
        <v>6</v>
      </c>
      <c r="E236">
        <v>6</v>
      </c>
      <c r="F236" t="s">
        <v>26</v>
      </c>
      <c r="G236" t="s">
        <v>27</v>
      </c>
      <c r="H236" t="s">
        <v>28</v>
      </c>
      <c r="I236">
        <v>15</v>
      </c>
      <c r="J236">
        <v>4.7746482927568605</v>
      </c>
      <c r="K236">
        <v>5</v>
      </c>
      <c r="L236">
        <v>11</v>
      </c>
      <c r="N236" t="s">
        <v>20</v>
      </c>
      <c r="O236" t="s">
        <v>16</v>
      </c>
      <c r="P236" t="s">
        <v>303</v>
      </c>
      <c r="Q236">
        <v>10</v>
      </c>
      <c r="R236">
        <v>5</v>
      </c>
    </row>
    <row r="237" spans="1:21" x14ac:dyDescent="0.25">
      <c r="A237">
        <v>6</v>
      </c>
      <c r="B237">
        <v>5</v>
      </c>
      <c r="D237">
        <v>6</v>
      </c>
      <c r="E237">
        <v>6</v>
      </c>
      <c r="F237" t="s">
        <v>43</v>
      </c>
      <c r="G237" t="s">
        <v>99</v>
      </c>
      <c r="H237" t="s">
        <v>100</v>
      </c>
      <c r="L237">
        <v>2.5</v>
      </c>
      <c r="M237" t="e">
        <v>#REF!</v>
      </c>
      <c r="O237" t="s">
        <v>16</v>
      </c>
      <c r="P237" t="s">
        <v>303</v>
      </c>
      <c r="Q237">
        <v>2.5</v>
      </c>
      <c r="R237">
        <v>5</v>
      </c>
    </row>
    <row r="238" spans="1:21" x14ac:dyDescent="0.25">
      <c r="A238">
        <v>5</v>
      </c>
      <c r="B238">
        <v>500</v>
      </c>
      <c r="C238">
        <v>1</v>
      </c>
      <c r="D238">
        <v>7</v>
      </c>
      <c r="E238">
        <v>7</v>
      </c>
      <c r="F238" t="s">
        <v>26</v>
      </c>
      <c r="G238" t="s">
        <v>27</v>
      </c>
      <c r="H238" t="s">
        <v>28</v>
      </c>
      <c r="I238">
        <v>40</v>
      </c>
      <c r="J238">
        <v>12.732395447351628</v>
      </c>
      <c r="K238">
        <v>6</v>
      </c>
      <c r="L238">
        <v>9</v>
      </c>
      <c r="N238" t="s">
        <v>20</v>
      </c>
      <c r="O238" t="s">
        <v>16</v>
      </c>
      <c r="P238" t="s">
        <v>303</v>
      </c>
      <c r="Q238">
        <v>10</v>
      </c>
      <c r="R238">
        <v>15</v>
      </c>
      <c r="S238">
        <v>16</v>
      </c>
      <c r="T238" t="s">
        <v>275</v>
      </c>
      <c r="U238">
        <v>6.6423048964348835E-2</v>
      </c>
    </row>
    <row r="239" spans="1:21" x14ac:dyDescent="0.25">
      <c r="A239">
        <v>11</v>
      </c>
      <c r="B239">
        <v>500</v>
      </c>
      <c r="C239">
        <v>2</v>
      </c>
      <c r="D239">
        <v>6</v>
      </c>
      <c r="E239">
        <v>7</v>
      </c>
      <c r="F239" t="s">
        <v>26</v>
      </c>
      <c r="G239" t="s">
        <v>27</v>
      </c>
      <c r="H239" t="s">
        <v>28</v>
      </c>
      <c r="I239">
        <v>45.5</v>
      </c>
      <c r="J239">
        <v>14.483099821362476</v>
      </c>
      <c r="K239">
        <v>7</v>
      </c>
      <c r="L239">
        <v>10</v>
      </c>
      <c r="N239" t="s">
        <v>20</v>
      </c>
      <c r="O239" t="s">
        <v>16</v>
      </c>
      <c r="P239" t="s">
        <v>303</v>
      </c>
      <c r="Q239">
        <v>10</v>
      </c>
      <c r="R239">
        <v>15</v>
      </c>
      <c r="S239">
        <v>16</v>
      </c>
      <c r="T239" t="s">
        <v>275</v>
      </c>
      <c r="U239">
        <v>9.3746371218650273E-2</v>
      </c>
    </row>
    <row r="240" spans="1:21" x14ac:dyDescent="0.25">
      <c r="A240">
        <v>11</v>
      </c>
      <c r="B240">
        <v>100</v>
      </c>
      <c r="C240">
        <v>1</v>
      </c>
      <c r="D240">
        <v>7</v>
      </c>
      <c r="E240">
        <v>7</v>
      </c>
      <c r="F240" t="s">
        <v>26</v>
      </c>
      <c r="G240" t="s">
        <v>27</v>
      </c>
      <c r="H240" t="s">
        <v>28</v>
      </c>
      <c r="I240">
        <v>19</v>
      </c>
      <c r="J240">
        <v>6.0478878374920226</v>
      </c>
      <c r="K240">
        <v>8</v>
      </c>
      <c r="L240">
        <v>10</v>
      </c>
      <c r="N240" t="s">
        <v>20</v>
      </c>
      <c r="O240" t="s">
        <v>16</v>
      </c>
      <c r="P240" t="s">
        <v>303</v>
      </c>
      <c r="Q240">
        <v>10</v>
      </c>
      <c r="R240">
        <v>5</v>
      </c>
    </row>
    <row r="241" spans="1:21" x14ac:dyDescent="0.25">
      <c r="A241">
        <v>6</v>
      </c>
      <c r="B241">
        <v>5</v>
      </c>
      <c r="D241">
        <v>7</v>
      </c>
      <c r="E241">
        <v>7</v>
      </c>
      <c r="F241" t="s">
        <v>21</v>
      </c>
      <c r="G241" t="s">
        <v>22</v>
      </c>
      <c r="H241" t="s">
        <v>283</v>
      </c>
      <c r="L241">
        <v>3</v>
      </c>
      <c r="M241" t="e">
        <v>#REF!</v>
      </c>
      <c r="O241" t="s">
        <v>16</v>
      </c>
      <c r="P241" t="s">
        <v>303</v>
      </c>
      <c r="Q241">
        <v>2.5</v>
      </c>
      <c r="R241">
        <v>5</v>
      </c>
    </row>
    <row r="242" spans="1:21" x14ac:dyDescent="0.25">
      <c r="A242">
        <v>6</v>
      </c>
      <c r="B242">
        <v>500</v>
      </c>
      <c r="C242">
        <v>2</v>
      </c>
      <c r="D242">
        <v>7</v>
      </c>
      <c r="E242">
        <v>8</v>
      </c>
      <c r="F242" t="s">
        <v>26</v>
      </c>
      <c r="G242" t="s">
        <v>27</v>
      </c>
      <c r="H242" t="s">
        <v>28</v>
      </c>
      <c r="I242">
        <v>33</v>
      </c>
      <c r="J242">
        <v>10.504226244065093</v>
      </c>
      <c r="K242">
        <v>7</v>
      </c>
      <c r="L242">
        <v>12</v>
      </c>
      <c r="N242" t="s">
        <v>20</v>
      </c>
      <c r="O242" t="s">
        <v>16</v>
      </c>
      <c r="P242" t="s">
        <v>303</v>
      </c>
      <c r="Q242">
        <v>12.5</v>
      </c>
      <c r="R242">
        <v>10</v>
      </c>
      <c r="S242">
        <v>16</v>
      </c>
      <c r="T242" t="s">
        <v>275</v>
      </c>
      <c r="U242">
        <v>6.2642977111450393E-2</v>
      </c>
    </row>
    <row r="243" spans="1:21" x14ac:dyDescent="0.25">
      <c r="A243">
        <v>11</v>
      </c>
      <c r="B243">
        <v>500</v>
      </c>
      <c r="C243">
        <v>2</v>
      </c>
      <c r="D243">
        <v>7</v>
      </c>
      <c r="E243">
        <v>8</v>
      </c>
      <c r="F243" t="s">
        <v>26</v>
      </c>
      <c r="G243" t="s">
        <v>27</v>
      </c>
      <c r="H243" t="s">
        <v>28</v>
      </c>
      <c r="I243">
        <v>36</v>
      </c>
      <c r="J243">
        <v>11.459155902616464</v>
      </c>
      <c r="K243">
        <v>6</v>
      </c>
      <c r="L243">
        <v>11</v>
      </c>
      <c r="N243" t="s">
        <v>20</v>
      </c>
      <c r="O243" t="s">
        <v>16</v>
      </c>
      <c r="P243" t="s">
        <v>303</v>
      </c>
      <c r="Q243">
        <v>10</v>
      </c>
      <c r="R243">
        <v>10</v>
      </c>
      <c r="S243">
        <v>16</v>
      </c>
      <c r="T243" t="s">
        <v>275</v>
      </c>
      <c r="U243">
        <v>6.7229821297668677E-2</v>
      </c>
    </row>
    <row r="244" spans="1:21" x14ac:dyDescent="0.25">
      <c r="A244">
        <v>2</v>
      </c>
      <c r="B244">
        <v>100</v>
      </c>
      <c r="C244">
        <v>2</v>
      </c>
      <c r="D244">
        <v>8</v>
      </c>
      <c r="E244">
        <v>8</v>
      </c>
      <c r="F244" t="s">
        <v>26</v>
      </c>
      <c r="G244" t="s">
        <v>27</v>
      </c>
      <c r="H244" t="s">
        <v>28</v>
      </c>
      <c r="I244">
        <v>16</v>
      </c>
      <c r="J244">
        <v>5.0929581789406511</v>
      </c>
      <c r="K244">
        <v>3.5</v>
      </c>
      <c r="L244">
        <v>7</v>
      </c>
      <c r="N244" t="s">
        <v>20</v>
      </c>
      <c r="O244" t="s">
        <v>16</v>
      </c>
      <c r="P244" t="s">
        <v>303</v>
      </c>
      <c r="Q244">
        <v>7.5</v>
      </c>
      <c r="R244">
        <v>5</v>
      </c>
    </row>
    <row r="245" spans="1:21" x14ac:dyDescent="0.25">
      <c r="A245">
        <v>6</v>
      </c>
      <c r="B245">
        <v>100</v>
      </c>
      <c r="C245">
        <v>1</v>
      </c>
      <c r="D245">
        <v>8</v>
      </c>
      <c r="E245">
        <v>8</v>
      </c>
      <c r="F245" t="s">
        <v>26</v>
      </c>
      <c r="G245" t="s">
        <v>27</v>
      </c>
      <c r="H245" t="s">
        <v>28</v>
      </c>
      <c r="I245">
        <v>21.5</v>
      </c>
      <c r="J245">
        <v>6.8436625529514998</v>
      </c>
      <c r="K245">
        <v>6</v>
      </c>
      <c r="L245">
        <v>11</v>
      </c>
      <c r="N245" t="s">
        <v>20</v>
      </c>
      <c r="O245" t="s">
        <v>16</v>
      </c>
      <c r="P245" t="s">
        <v>303</v>
      </c>
      <c r="Q245">
        <v>10</v>
      </c>
      <c r="R245">
        <v>5</v>
      </c>
    </row>
    <row r="246" spans="1:21" x14ac:dyDescent="0.25">
      <c r="A246">
        <v>9</v>
      </c>
      <c r="B246">
        <v>500</v>
      </c>
      <c r="C246">
        <v>2</v>
      </c>
      <c r="D246">
        <v>9</v>
      </c>
      <c r="E246">
        <v>9</v>
      </c>
      <c r="F246" t="s">
        <v>26</v>
      </c>
      <c r="G246" t="s">
        <v>27</v>
      </c>
      <c r="H246" t="s">
        <v>28</v>
      </c>
      <c r="I246">
        <v>32</v>
      </c>
      <c r="J246">
        <v>10.185916357881302</v>
      </c>
      <c r="K246">
        <v>7</v>
      </c>
      <c r="L246">
        <v>12</v>
      </c>
      <c r="N246" t="s">
        <v>20</v>
      </c>
      <c r="O246" t="s">
        <v>16</v>
      </c>
      <c r="P246" t="s">
        <v>303</v>
      </c>
      <c r="Q246">
        <v>12.5</v>
      </c>
      <c r="R246">
        <v>10</v>
      </c>
      <c r="S246">
        <v>16</v>
      </c>
      <c r="T246" t="s">
        <v>275</v>
      </c>
      <c r="U246">
        <v>5.9200902635031444E-2</v>
      </c>
    </row>
    <row r="247" spans="1:21" x14ac:dyDescent="0.25">
      <c r="A247">
        <v>6</v>
      </c>
      <c r="B247">
        <v>5</v>
      </c>
      <c r="D247">
        <v>8</v>
      </c>
      <c r="E247">
        <v>8</v>
      </c>
      <c r="F247" t="s">
        <v>21</v>
      </c>
      <c r="G247" t="s">
        <v>22</v>
      </c>
      <c r="H247" t="s">
        <v>283</v>
      </c>
      <c r="L247">
        <v>8</v>
      </c>
      <c r="M247" t="e">
        <v>#REF!</v>
      </c>
      <c r="O247" t="s">
        <v>16</v>
      </c>
      <c r="P247" t="s">
        <v>303</v>
      </c>
      <c r="Q247">
        <v>7.5</v>
      </c>
      <c r="R247">
        <v>5</v>
      </c>
    </row>
    <row r="248" spans="1:21" x14ac:dyDescent="0.25">
      <c r="A248">
        <v>3</v>
      </c>
      <c r="B248">
        <v>500</v>
      </c>
      <c r="C248">
        <v>1</v>
      </c>
      <c r="D248">
        <v>10</v>
      </c>
      <c r="E248">
        <v>10</v>
      </c>
      <c r="F248" t="s">
        <v>26</v>
      </c>
      <c r="G248" t="s">
        <v>27</v>
      </c>
      <c r="H248" t="s">
        <v>28</v>
      </c>
      <c r="I248">
        <v>42</v>
      </c>
      <c r="J248">
        <v>13.369015219719209</v>
      </c>
      <c r="K248">
        <v>5.5</v>
      </c>
      <c r="L248">
        <v>9</v>
      </c>
      <c r="N248" t="s">
        <v>20</v>
      </c>
      <c r="O248" t="s">
        <v>16</v>
      </c>
      <c r="P248" t="s">
        <v>303</v>
      </c>
      <c r="Q248">
        <v>10</v>
      </c>
      <c r="R248">
        <v>15</v>
      </c>
      <c r="S248">
        <v>16</v>
      </c>
      <c r="T248" t="s">
        <v>275</v>
      </c>
      <c r="U248">
        <v>7.2649858185882196E-2</v>
      </c>
    </row>
    <row r="249" spans="1:21" x14ac:dyDescent="0.25">
      <c r="A249">
        <v>10</v>
      </c>
      <c r="B249">
        <v>500</v>
      </c>
      <c r="C249">
        <v>3</v>
      </c>
      <c r="D249">
        <v>10</v>
      </c>
      <c r="E249">
        <v>10</v>
      </c>
      <c r="F249" t="s">
        <v>26</v>
      </c>
      <c r="G249" t="s">
        <v>27</v>
      </c>
      <c r="H249" t="s">
        <v>28</v>
      </c>
      <c r="I249">
        <v>47</v>
      </c>
      <c r="J249">
        <v>14.960564650638162</v>
      </c>
      <c r="K249">
        <v>4</v>
      </c>
      <c r="L249">
        <v>10</v>
      </c>
      <c r="N249" t="s">
        <v>20</v>
      </c>
      <c r="O249" t="s">
        <v>16</v>
      </c>
      <c r="P249" t="s">
        <v>303</v>
      </c>
      <c r="Q249">
        <v>10</v>
      </c>
      <c r="R249">
        <v>15</v>
      </c>
      <c r="S249">
        <v>16</v>
      </c>
      <c r="T249" t="s">
        <v>275</v>
      </c>
      <c r="U249">
        <v>9.9500544983716244E-2</v>
      </c>
    </row>
    <row r="250" spans="1:21" x14ac:dyDescent="0.25">
      <c r="A250">
        <v>6</v>
      </c>
      <c r="B250">
        <v>500</v>
      </c>
      <c r="C250">
        <v>3</v>
      </c>
      <c r="D250">
        <v>10</v>
      </c>
      <c r="E250">
        <v>11</v>
      </c>
      <c r="F250" t="s">
        <v>26</v>
      </c>
      <c r="G250" t="s">
        <v>27</v>
      </c>
      <c r="H250" t="s">
        <v>28</v>
      </c>
      <c r="I250">
        <v>35</v>
      </c>
      <c r="J250">
        <v>11.140846016432674</v>
      </c>
      <c r="K250">
        <v>6</v>
      </c>
      <c r="L250">
        <v>13</v>
      </c>
      <c r="N250" t="s">
        <v>20</v>
      </c>
      <c r="O250" t="s">
        <v>16</v>
      </c>
      <c r="P250" t="s">
        <v>303</v>
      </c>
      <c r="Q250">
        <v>12.5</v>
      </c>
      <c r="R250">
        <v>10</v>
      </c>
      <c r="S250">
        <v>16</v>
      </c>
      <c r="T250" t="s">
        <v>275</v>
      </c>
      <c r="U250">
        <v>7.5755926738959659E-2</v>
      </c>
    </row>
    <row r="251" spans="1:21" x14ac:dyDescent="0.25">
      <c r="A251">
        <v>9</v>
      </c>
      <c r="B251">
        <v>500</v>
      </c>
      <c r="C251">
        <v>3</v>
      </c>
      <c r="D251">
        <v>11</v>
      </c>
      <c r="E251">
        <v>11</v>
      </c>
      <c r="F251" t="s">
        <v>26</v>
      </c>
      <c r="G251" t="s">
        <v>27</v>
      </c>
      <c r="H251" t="s">
        <v>28</v>
      </c>
      <c r="I251">
        <v>35.5</v>
      </c>
      <c r="J251">
        <v>11.300000959524569</v>
      </c>
      <c r="K251">
        <v>5</v>
      </c>
      <c r="L251">
        <v>10</v>
      </c>
      <c r="N251" t="s">
        <v>20</v>
      </c>
      <c r="O251" t="s">
        <v>16</v>
      </c>
      <c r="P251" t="s">
        <v>303</v>
      </c>
      <c r="Q251">
        <v>10</v>
      </c>
      <c r="R251">
        <v>10</v>
      </c>
      <c r="S251">
        <v>16</v>
      </c>
      <c r="T251" t="s">
        <v>275</v>
      </c>
      <c r="U251">
        <v>5.9429443989314337E-2</v>
      </c>
    </row>
    <row r="252" spans="1:21" x14ac:dyDescent="0.25">
      <c r="A252">
        <v>10</v>
      </c>
      <c r="B252">
        <v>500</v>
      </c>
      <c r="C252">
        <v>3</v>
      </c>
      <c r="D252">
        <v>11</v>
      </c>
      <c r="E252">
        <v>11</v>
      </c>
      <c r="F252" t="s">
        <v>26</v>
      </c>
      <c r="G252" t="s">
        <v>27</v>
      </c>
      <c r="H252" t="s">
        <v>28</v>
      </c>
      <c r="I252">
        <v>36</v>
      </c>
      <c r="J252">
        <v>11.459155902616464</v>
      </c>
      <c r="K252">
        <v>5</v>
      </c>
      <c r="L252">
        <v>12</v>
      </c>
      <c r="N252" t="s">
        <v>20</v>
      </c>
      <c r="O252" t="s">
        <v>16</v>
      </c>
      <c r="P252" t="s">
        <v>303</v>
      </c>
      <c r="Q252">
        <v>12.5</v>
      </c>
      <c r="R252">
        <v>10</v>
      </c>
      <c r="S252">
        <v>16</v>
      </c>
      <c r="T252" t="s">
        <v>275</v>
      </c>
      <c r="U252">
        <v>7.3497796805331805E-2</v>
      </c>
    </row>
    <row r="253" spans="1:21" x14ac:dyDescent="0.25">
      <c r="A253">
        <v>6</v>
      </c>
      <c r="B253">
        <v>500</v>
      </c>
      <c r="C253">
        <v>4</v>
      </c>
      <c r="D253">
        <v>11</v>
      </c>
      <c r="E253">
        <v>12</v>
      </c>
      <c r="F253" t="s">
        <v>26</v>
      </c>
      <c r="G253" t="s">
        <v>27</v>
      </c>
      <c r="H253" t="s">
        <v>28</v>
      </c>
      <c r="I253">
        <v>34.5</v>
      </c>
      <c r="J253">
        <v>10.981691073340778</v>
      </c>
      <c r="K253">
        <v>3</v>
      </c>
      <c r="L253">
        <v>10</v>
      </c>
      <c r="N253" t="s">
        <v>20</v>
      </c>
      <c r="O253" t="s">
        <v>16</v>
      </c>
      <c r="P253" t="s">
        <v>303</v>
      </c>
      <c r="Q253">
        <v>10</v>
      </c>
      <c r="R253">
        <v>10</v>
      </c>
      <c r="S253">
        <v>16</v>
      </c>
      <c r="T253" t="s">
        <v>275</v>
      </c>
      <c r="U253">
        <v>5.6391156457334175E-2</v>
      </c>
    </row>
    <row r="254" spans="1:21" x14ac:dyDescent="0.25">
      <c r="A254">
        <v>9</v>
      </c>
      <c r="B254">
        <v>500</v>
      </c>
      <c r="C254">
        <v>3</v>
      </c>
      <c r="D254">
        <v>12</v>
      </c>
      <c r="E254">
        <v>12</v>
      </c>
      <c r="F254" t="s">
        <v>26</v>
      </c>
      <c r="G254" t="s">
        <v>27</v>
      </c>
      <c r="H254" t="s">
        <v>28</v>
      </c>
      <c r="I254">
        <v>34</v>
      </c>
      <c r="J254">
        <v>10.822536130248883</v>
      </c>
      <c r="K254">
        <v>6</v>
      </c>
      <c r="L254">
        <v>10</v>
      </c>
      <c r="N254" t="s">
        <v>20</v>
      </c>
      <c r="O254" t="s">
        <v>16</v>
      </c>
      <c r="P254" t="s">
        <v>303</v>
      </c>
      <c r="Q254">
        <v>10</v>
      </c>
      <c r="R254">
        <v>10</v>
      </c>
      <c r="S254">
        <v>16</v>
      </c>
      <c r="T254" t="s">
        <v>275</v>
      </c>
      <c r="U254">
        <v>5.489928909056653E-2</v>
      </c>
    </row>
    <row r="255" spans="1:21" x14ac:dyDescent="0.25">
      <c r="A255">
        <v>3</v>
      </c>
      <c r="B255">
        <v>100</v>
      </c>
      <c r="C255">
        <v>3</v>
      </c>
      <c r="D255">
        <v>12</v>
      </c>
      <c r="E255">
        <v>12</v>
      </c>
      <c r="F255" t="s">
        <v>26</v>
      </c>
      <c r="G255" t="s">
        <v>27</v>
      </c>
      <c r="H255" t="s">
        <v>28</v>
      </c>
      <c r="I255">
        <v>17</v>
      </c>
      <c r="J255">
        <v>5.4112680651244416</v>
      </c>
      <c r="K255">
        <v>5</v>
      </c>
      <c r="L255">
        <v>8</v>
      </c>
      <c r="N255" t="s">
        <v>20</v>
      </c>
      <c r="O255" t="s">
        <v>16</v>
      </c>
      <c r="P255" t="s">
        <v>303</v>
      </c>
      <c r="Q255">
        <v>7.5</v>
      </c>
      <c r="R255">
        <v>5</v>
      </c>
    </row>
    <row r="256" spans="1:21" x14ac:dyDescent="0.25">
      <c r="A256">
        <v>6</v>
      </c>
      <c r="B256">
        <v>5</v>
      </c>
      <c r="D256">
        <v>9</v>
      </c>
      <c r="E256">
        <v>9</v>
      </c>
      <c r="F256" t="s">
        <v>21</v>
      </c>
      <c r="G256" t="s">
        <v>22</v>
      </c>
      <c r="H256" t="s">
        <v>283</v>
      </c>
      <c r="L256">
        <v>7</v>
      </c>
      <c r="M256" t="e">
        <v>#REF!</v>
      </c>
      <c r="O256" t="s">
        <v>16</v>
      </c>
      <c r="P256" t="s">
        <v>303</v>
      </c>
      <c r="Q256">
        <v>7.5</v>
      </c>
      <c r="R256">
        <v>5</v>
      </c>
    </row>
    <row r="257" spans="1:21" x14ac:dyDescent="0.25">
      <c r="A257">
        <v>9</v>
      </c>
      <c r="B257">
        <v>500</v>
      </c>
      <c r="C257">
        <v>3</v>
      </c>
      <c r="D257">
        <v>13</v>
      </c>
      <c r="E257">
        <v>13</v>
      </c>
      <c r="F257" t="s">
        <v>26</v>
      </c>
      <c r="G257" t="s">
        <v>27</v>
      </c>
      <c r="H257" t="s">
        <v>28</v>
      </c>
      <c r="I257">
        <v>37</v>
      </c>
      <c r="J257">
        <v>11.777465788800255</v>
      </c>
      <c r="K257">
        <v>5.5</v>
      </c>
      <c r="L257">
        <v>10</v>
      </c>
      <c r="N257" t="s">
        <v>20</v>
      </c>
      <c r="O257" t="s">
        <v>16</v>
      </c>
      <c r="P257" t="s">
        <v>303</v>
      </c>
      <c r="Q257">
        <v>10</v>
      </c>
      <c r="R257">
        <v>10</v>
      </c>
      <c r="S257">
        <v>16</v>
      </c>
      <c r="T257" t="s">
        <v>275</v>
      </c>
      <c r="U257">
        <v>6.4122626594503129E-2</v>
      </c>
    </row>
    <row r="258" spans="1:21" x14ac:dyDescent="0.25">
      <c r="A258">
        <v>10</v>
      </c>
      <c r="B258">
        <v>500</v>
      </c>
      <c r="C258">
        <v>4</v>
      </c>
      <c r="D258">
        <v>13</v>
      </c>
      <c r="E258">
        <v>13</v>
      </c>
      <c r="F258" t="s">
        <v>26</v>
      </c>
      <c r="G258" t="s">
        <v>27</v>
      </c>
      <c r="H258" t="s">
        <v>28</v>
      </c>
      <c r="I258">
        <v>31.5</v>
      </c>
      <c r="J258">
        <v>10.026761414789407</v>
      </c>
      <c r="K258">
        <v>5</v>
      </c>
      <c r="L258">
        <v>11</v>
      </c>
      <c r="N258" t="s">
        <v>20</v>
      </c>
      <c r="O258" t="s">
        <v>16</v>
      </c>
      <c r="P258" t="s">
        <v>303</v>
      </c>
      <c r="Q258">
        <v>10</v>
      </c>
      <c r="R258">
        <v>10</v>
      </c>
      <c r="S258">
        <v>16</v>
      </c>
      <c r="T258" t="s">
        <v>275</v>
      </c>
      <c r="U258">
        <v>5.2608361423648733E-2</v>
      </c>
    </row>
    <row r="259" spans="1:21" x14ac:dyDescent="0.25">
      <c r="A259">
        <v>10</v>
      </c>
      <c r="B259">
        <v>100</v>
      </c>
      <c r="C259">
        <v>1</v>
      </c>
      <c r="D259">
        <v>13</v>
      </c>
      <c r="E259">
        <v>13</v>
      </c>
      <c r="F259" t="s">
        <v>26</v>
      </c>
      <c r="G259" t="s">
        <v>27</v>
      </c>
      <c r="H259" t="s">
        <v>28</v>
      </c>
      <c r="I259">
        <v>29.5</v>
      </c>
      <c r="J259">
        <v>9.3901416424218258</v>
      </c>
      <c r="K259">
        <v>5</v>
      </c>
      <c r="L259">
        <v>10</v>
      </c>
      <c r="N259" t="s">
        <v>20</v>
      </c>
      <c r="O259" t="s">
        <v>16</v>
      </c>
      <c r="P259" t="s">
        <v>303</v>
      </c>
      <c r="Q259">
        <v>10</v>
      </c>
      <c r="R259">
        <v>10</v>
      </c>
    </row>
    <row r="260" spans="1:21" x14ac:dyDescent="0.25">
      <c r="A260">
        <v>11</v>
      </c>
      <c r="B260">
        <v>100</v>
      </c>
      <c r="C260">
        <v>1</v>
      </c>
      <c r="D260">
        <v>13</v>
      </c>
      <c r="E260">
        <v>13</v>
      </c>
      <c r="F260" t="s">
        <v>26</v>
      </c>
      <c r="G260" t="s">
        <v>27</v>
      </c>
      <c r="H260" t="s">
        <v>28</v>
      </c>
      <c r="I260">
        <v>18.5</v>
      </c>
      <c r="J260">
        <v>5.8887328944001274</v>
      </c>
      <c r="K260">
        <v>6</v>
      </c>
      <c r="L260">
        <v>8</v>
      </c>
      <c r="N260" t="s">
        <v>20</v>
      </c>
      <c r="O260" t="s">
        <v>16</v>
      </c>
      <c r="P260" t="s">
        <v>303</v>
      </c>
      <c r="Q260">
        <v>7.5</v>
      </c>
      <c r="R260">
        <v>5</v>
      </c>
    </row>
    <row r="261" spans="1:21" x14ac:dyDescent="0.25">
      <c r="A261">
        <v>6</v>
      </c>
      <c r="B261">
        <v>5</v>
      </c>
      <c r="D261">
        <v>10</v>
      </c>
      <c r="E261">
        <v>10</v>
      </c>
      <c r="F261" t="s">
        <v>90</v>
      </c>
      <c r="G261" t="s">
        <v>282</v>
      </c>
      <c r="H261" t="s">
        <v>124</v>
      </c>
      <c r="L261">
        <v>2</v>
      </c>
      <c r="M261" t="e">
        <v>#REF!</v>
      </c>
      <c r="O261" t="s">
        <v>16</v>
      </c>
      <c r="P261" t="s">
        <v>303</v>
      </c>
      <c r="Q261">
        <v>2.5</v>
      </c>
      <c r="R261">
        <v>5</v>
      </c>
    </row>
    <row r="262" spans="1:21" x14ac:dyDescent="0.25">
      <c r="A262">
        <v>5</v>
      </c>
      <c r="B262">
        <v>500</v>
      </c>
      <c r="C262">
        <v>1</v>
      </c>
      <c r="D262">
        <v>13</v>
      </c>
      <c r="E262">
        <v>14</v>
      </c>
      <c r="F262" t="s">
        <v>26</v>
      </c>
      <c r="G262" t="s">
        <v>27</v>
      </c>
      <c r="H262" t="s">
        <v>28</v>
      </c>
      <c r="I262">
        <v>34</v>
      </c>
      <c r="J262">
        <v>10.822536130248883</v>
      </c>
      <c r="K262">
        <v>6</v>
      </c>
      <c r="L262">
        <v>10</v>
      </c>
      <c r="N262" t="s">
        <v>20</v>
      </c>
      <c r="O262" t="s">
        <v>16</v>
      </c>
      <c r="P262" t="s">
        <v>303</v>
      </c>
      <c r="Q262">
        <v>10</v>
      </c>
      <c r="R262">
        <v>10</v>
      </c>
      <c r="S262">
        <v>16</v>
      </c>
      <c r="T262" t="s">
        <v>275</v>
      </c>
      <c r="U262">
        <v>5.489928909056653E-2</v>
      </c>
    </row>
    <row r="263" spans="1:21" x14ac:dyDescent="0.25">
      <c r="A263">
        <v>9</v>
      </c>
      <c r="B263">
        <v>500</v>
      </c>
      <c r="C263">
        <v>3</v>
      </c>
      <c r="D263">
        <v>14</v>
      </c>
      <c r="E263">
        <v>14</v>
      </c>
      <c r="F263" t="s">
        <v>26</v>
      </c>
      <c r="G263" t="s">
        <v>27</v>
      </c>
      <c r="H263" t="s">
        <v>28</v>
      </c>
      <c r="I263">
        <v>32</v>
      </c>
      <c r="J263">
        <v>10.185916357881302</v>
      </c>
      <c r="K263">
        <v>6</v>
      </c>
      <c r="L263">
        <v>12</v>
      </c>
      <c r="N263" t="s">
        <v>20</v>
      </c>
      <c r="O263" t="s">
        <v>16</v>
      </c>
      <c r="P263" t="s">
        <v>303</v>
      </c>
      <c r="Q263">
        <v>12.5</v>
      </c>
      <c r="R263">
        <v>10</v>
      </c>
      <c r="S263">
        <v>16</v>
      </c>
      <c r="T263" t="s">
        <v>275</v>
      </c>
      <c r="U263">
        <v>5.9200902635031444E-2</v>
      </c>
    </row>
    <row r="264" spans="1:21" x14ac:dyDescent="0.25">
      <c r="A264">
        <v>11</v>
      </c>
      <c r="B264">
        <v>100</v>
      </c>
      <c r="C264">
        <v>1</v>
      </c>
      <c r="D264">
        <v>14</v>
      </c>
      <c r="E264">
        <v>14</v>
      </c>
      <c r="F264" t="s">
        <v>26</v>
      </c>
      <c r="G264" t="s">
        <v>27</v>
      </c>
      <c r="H264" t="s">
        <v>28</v>
      </c>
      <c r="I264">
        <v>24</v>
      </c>
      <c r="J264">
        <v>7.6394372684109761</v>
      </c>
      <c r="K264">
        <v>6</v>
      </c>
      <c r="L264">
        <v>8</v>
      </c>
      <c r="N264" t="s">
        <v>20</v>
      </c>
      <c r="O264" t="s">
        <v>16</v>
      </c>
      <c r="P264" t="s">
        <v>303</v>
      </c>
      <c r="Q264">
        <v>7.5</v>
      </c>
      <c r="R264">
        <v>10</v>
      </c>
    </row>
    <row r="265" spans="1:21" x14ac:dyDescent="0.25">
      <c r="A265">
        <v>6</v>
      </c>
      <c r="B265">
        <v>5</v>
      </c>
      <c r="D265">
        <v>11</v>
      </c>
      <c r="E265">
        <v>11</v>
      </c>
      <c r="F265" t="s">
        <v>17</v>
      </c>
      <c r="G265" t="s">
        <v>65</v>
      </c>
      <c r="H265" t="s">
        <v>66</v>
      </c>
      <c r="L265">
        <v>1</v>
      </c>
      <c r="M265" t="e">
        <v>#REF!</v>
      </c>
      <c r="O265" t="s">
        <v>16</v>
      </c>
      <c r="P265" t="s">
        <v>303</v>
      </c>
      <c r="Q265">
        <v>2.5</v>
      </c>
      <c r="R265">
        <v>5</v>
      </c>
    </row>
    <row r="266" spans="1:21" x14ac:dyDescent="0.25">
      <c r="A266">
        <v>4</v>
      </c>
      <c r="B266">
        <v>100</v>
      </c>
      <c r="C266">
        <v>2</v>
      </c>
      <c r="D266">
        <v>14</v>
      </c>
      <c r="E266">
        <v>15</v>
      </c>
      <c r="F266" t="s">
        <v>26</v>
      </c>
      <c r="G266" t="s">
        <v>27</v>
      </c>
      <c r="H266" t="s">
        <v>28</v>
      </c>
      <c r="I266">
        <v>22.5</v>
      </c>
      <c r="J266">
        <v>7.1619724391352904</v>
      </c>
      <c r="K266">
        <v>1.3</v>
      </c>
      <c r="L266">
        <v>6</v>
      </c>
      <c r="N266" t="s">
        <v>20</v>
      </c>
      <c r="O266" t="s">
        <v>16</v>
      </c>
      <c r="P266" t="s">
        <v>303</v>
      </c>
      <c r="Q266">
        <v>5</v>
      </c>
      <c r="R266">
        <v>5</v>
      </c>
    </row>
    <row r="267" spans="1:21" x14ac:dyDescent="0.25">
      <c r="A267">
        <v>11</v>
      </c>
      <c r="B267">
        <v>100</v>
      </c>
      <c r="C267">
        <v>2</v>
      </c>
      <c r="D267">
        <v>15</v>
      </c>
      <c r="E267">
        <v>15</v>
      </c>
      <c r="F267" t="s">
        <v>26</v>
      </c>
      <c r="G267" t="s">
        <v>27</v>
      </c>
      <c r="H267" t="s">
        <v>28</v>
      </c>
      <c r="I267">
        <v>18</v>
      </c>
      <c r="J267">
        <v>5.7295779513082321</v>
      </c>
      <c r="K267">
        <v>3.5</v>
      </c>
      <c r="L267">
        <v>7</v>
      </c>
      <c r="N267" t="s">
        <v>20</v>
      </c>
      <c r="O267" t="s">
        <v>16</v>
      </c>
      <c r="P267" t="s">
        <v>303</v>
      </c>
      <c r="Q267">
        <v>7.5</v>
      </c>
      <c r="R267">
        <v>5</v>
      </c>
    </row>
    <row r="268" spans="1:21" x14ac:dyDescent="0.25">
      <c r="A268">
        <v>6</v>
      </c>
      <c r="B268">
        <v>5</v>
      </c>
      <c r="D268">
        <v>12</v>
      </c>
      <c r="E268">
        <v>12</v>
      </c>
      <c r="F268" t="s">
        <v>26</v>
      </c>
      <c r="G268" t="s">
        <v>27</v>
      </c>
      <c r="H268" t="s">
        <v>28</v>
      </c>
      <c r="L268">
        <v>2.2000000000000002</v>
      </c>
      <c r="M268" t="e">
        <v>#REF!</v>
      </c>
      <c r="O268" t="s">
        <v>16</v>
      </c>
      <c r="P268" t="s">
        <v>303</v>
      </c>
      <c r="Q268">
        <v>2.5</v>
      </c>
      <c r="R268">
        <v>5</v>
      </c>
    </row>
    <row r="269" spans="1:21" x14ac:dyDescent="0.25">
      <c r="A269">
        <v>2</v>
      </c>
      <c r="B269">
        <v>500</v>
      </c>
      <c r="C269">
        <v>1</v>
      </c>
      <c r="D269">
        <v>16</v>
      </c>
      <c r="E269">
        <v>16</v>
      </c>
      <c r="F269" t="s">
        <v>26</v>
      </c>
      <c r="G269" t="s">
        <v>27</v>
      </c>
      <c r="H269" t="s">
        <v>28</v>
      </c>
      <c r="I269">
        <v>31.5</v>
      </c>
      <c r="J269">
        <v>10.026761414789407</v>
      </c>
      <c r="K269">
        <v>6</v>
      </c>
      <c r="L269">
        <v>9</v>
      </c>
      <c r="N269" t="s">
        <v>20</v>
      </c>
      <c r="O269" t="s">
        <v>16</v>
      </c>
      <c r="P269" t="s">
        <v>303</v>
      </c>
      <c r="Q269">
        <v>10</v>
      </c>
      <c r="R269">
        <v>10</v>
      </c>
      <c r="S269">
        <v>16</v>
      </c>
      <c r="T269" t="s">
        <v>275</v>
      </c>
      <c r="U269">
        <v>4.2832563889274963E-2</v>
      </c>
    </row>
    <row r="270" spans="1:21" x14ac:dyDescent="0.25">
      <c r="A270">
        <v>11</v>
      </c>
      <c r="B270">
        <v>500</v>
      </c>
      <c r="C270">
        <v>3</v>
      </c>
      <c r="D270">
        <v>15</v>
      </c>
      <c r="E270">
        <v>16</v>
      </c>
      <c r="F270" t="s">
        <v>26</v>
      </c>
      <c r="G270" t="s">
        <v>27</v>
      </c>
      <c r="H270" t="s">
        <v>28</v>
      </c>
      <c r="I270">
        <v>31.5</v>
      </c>
      <c r="J270">
        <v>10.026761414789407</v>
      </c>
      <c r="K270">
        <v>5</v>
      </c>
      <c r="L270">
        <v>12</v>
      </c>
      <c r="N270" t="s">
        <v>20</v>
      </c>
      <c r="O270" t="s">
        <v>16</v>
      </c>
      <c r="P270" t="s">
        <v>303</v>
      </c>
      <c r="Q270">
        <v>12.5</v>
      </c>
      <c r="R270">
        <v>10</v>
      </c>
      <c r="S270">
        <v>16</v>
      </c>
      <c r="T270" t="s">
        <v>275</v>
      </c>
      <c r="U270">
        <v>5.751314793857517E-2</v>
      </c>
    </row>
    <row r="271" spans="1:21" x14ac:dyDescent="0.25">
      <c r="A271">
        <v>6</v>
      </c>
      <c r="B271">
        <v>5</v>
      </c>
      <c r="D271">
        <v>13</v>
      </c>
      <c r="E271">
        <v>13</v>
      </c>
      <c r="F271" t="s">
        <v>26</v>
      </c>
      <c r="G271" t="s">
        <v>27</v>
      </c>
      <c r="H271" t="s">
        <v>28</v>
      </c>
      <c r="L271">
        <v>1.9</v>
      </c>
      <c r="M271" t="e">
        <v>#REF!</v>
      </c>
      <c r="O271" t="s">
        <v>16</v>
      </c>
      <c r="P271" t="s">
        <v>303</v>
      </c>
      <c r="Q271">
        <v>2.5</v>
      </c>
      <c r="R271">
        <v>5</v>
      </c>
    </row>
    <row r="272" spans="1:21" x14ac:dyDescent="0.25">
      <c r="A272">
        <v>6</v>
      </c>
      <c r="B272">
        <v>500</v>
      </c>
      <c r="C272">
        <v>4</v>
      </c>
      <c r="D272">
        <v>16</v>
      </c>
      <c r="E272">
        <v>17</v>
      </c>
      <c r="F272" t="s">
        <v>26</v>
      </c>
      <c r="G272" t="s">
        <v>27</v>
      </c>
      <c r="H272" t="s">
        <v>28</v>
      </c>
      <c r="I272">
        <v>34</v>
      </c>
      <c r="J272">
        <v>10.822536130248883</v>
      </c>
      <c r="K272">
        <v>5.5</v>
      </c>
      <c r="L272">
        <v>11</v>
      </c>
      <c r="N272" t="s">
        <v>20</v>
      </c>
      <c r="O272" t="s">
        <v>16</v>
      </c>
      <c r="P272" t="s">
        <v>303</v>
      </c>
      <c r="Q272">
        <v>10</v>
      </c>
      <c r="R272">
        <v>10</v>
      </c>
      <c r="S272">
        <v>16</v>
      </c>
      <c r="T272" t="s">
        <v>275</v>
      </c>
      <c r="U272">
        <v>6.0530089697250426E-2</v>
      </c>
    </row>
    <row r="273" spans="1:21" x14ac:dyDescent="0.25">
      <c r="A273">
        <v>11</v>
      </c>
      <c r="B273">
        <v>500</v>
      </c>
      <c r="C273">
        <v>3</v>
      </c>
      <c r="D273">
        <v>16</v>
      </c>
      <c r="E273">
        <v>17</v>
      </c>
      <c r="F273" t="s">
        <v>26</v>
      </c>
      <c r="G273" t="s">
        <v>27</v>
      </c>
      <c r="H273" t="s">
        <v>28</v>
      </c>
      <c r="I273">
        <v>35</v>
      </c>
      <c r="J273">
        <v>11.140846016432674</v>
      </c>
      <c r="K273">
        <v>6</v>
      </c>
      <c r="L273">
        <v>13</v>
      </c>
      <c r="N273" t="s">
        <v>20</v>
      </c>
      <c r="O273" t="s">
        <v>16</v>
      </c>
      <c r="P273" t="s">
        <v>303</v>
      </c>
      <c r="Q273">
        <v>12.5</v>
      </c>
      <c r="R273">
        <v>10</v>
      </c>
      <c r="S273">
        <v>16</v>
      </c>
      <c r="T273" t="s">
        <v>275</v>
      </c>
      <c r="U273">
        <v>7.5755926738959659E-2</v>
      </c>
    </row>
    <row r="274" spans="1:21" x14ac:dyDescent="0.25">
      <c r="A274">
        <v>7</v>
      </c>
      <c r="B274">
        <v>500</v>
      </c>
      <c r="C274">
        <v>2</v>
      </c>
      <c r="D274">
        <v>15</v>
      </c>
      <c r="E274">
        <v>18</v>
      </c>
      <c r="F274" t="s">
        <v>26</v>
      </c>
      <c r="G274" t="s">
        <v>27</v>
      </c>
      <c r="H274" t="s">
        <v>28</v>
      </c>
      <c r="I274">
        <v>49</v>
      </c>
      <c r="J274">
        <v>15.597184423005743</v>
      </c>
      <c r="K274">
        <v>9</v>
      </c>
      <c r="L274">
        <v>13</v>
      </c>
      <c r="N274" t="s">
        <v>20</v>
      </c>
      <c r="O274" t="s">
        <v>16</v>
      </c>
      <c r="P274" t="s">
        <v>303</v>
      </c>
      <c r="Q274">
        <v>12.5</v>
      </c>
      <c r="R274">
        <v>15</v>
      </c>
      <c r="S274">
        <v>16</v>
      </c>
      <c r="T274" t="s">
        <v>275</v>
      </c>
      <c r="U274">
        <v>0.14053784150461127</v>
      </c>
    </row>
    <row r="275" spans="1:21" x14ac:dyDescent="0.25">
      <c r="A275">
        <v>11</v>
      </c>
      <c r="B275">
        <v>500</v>
      </c>
      <c r="C275">
        <v>3</v>
      </c>
      <c r="D275">
        <v>17</v>
      </c>
      <c r="E275">
        <v>18</v>
      </c>
      <c r="F275" t="s">
        <v>26</v>
      </c>
      <c r="G275" t="s">
        <v>27</v>
      </c>
      <c r="H275" t="s">
        <v>28</v>
      </c>
      <c r="I275">
        <v>34</v>
      </c>
      <c r="J275">
        <v>10.822536130248883</v>
      </c>
      <c r="K275">
        <v>6</v>
      </c>
      <c r="L275">
        <v>10</v>
      </c>
      <c r="N275" t="s">
        <v>20</v>
      </c>
      <c r="O275" t="s">
        <v>16</v>
      </c>
      <c r="P275" t="s">
        <v>303</v>
      </c>
      <c r="Q275">
        <v>10</v>
      </c>
      <c r="R275">
        <v>10</v>
      </c>
      <c r="S275">
        <v>16</v>
      </c>
      <c r="T275" t="s">
        <v>275</v>
      </c>
      <c r="U275">
        <v>5.489928909056653E-2</v>
      </c>
    </row>
    <row r="276" spans="1:21" x14ac:dyDescent="0.25">
      <c r="A276">
        <v>6</v>
      </c>
      <c r="B276">
        <v>5</v>
      </c>
      <c r="D276">
        <v>14</v>
      </c>
      <c r="E276">
        <v>14</v>
      </c>
      <c r="F276" t="s">
        <v>26</v>
      </c>
      <c r="G276" t="s">
        <v>27</v>
      </c>
      <c r="H276" t="s">
        <v>28</v>
      </c>
      <c r="L276">
        <v>2.5</v>
      </c>
      <c r="M276" t="e">
        <v>#REF!</v>
      </c>
      <c r="O276" t="s">
        <v>16</v>
      </c>
      <c r="P276" t="s">
        <v>303</v>
      </c>
      <c r="Q276">
        <v>2.5</v>
      </c>
      <c r="R276">
        <v>5</v>
      </c>
    </row>
    <row r="277" spans="1:21" x14ac:dyDescent="0.25">
      <c r="A277">
        <v>2</v>
      </c>
      <c r="B277">
        <v>500</v>
      </c>
      <c r="C277">
        <v>2</v>
      </c>
      <c r="D277">
        <v>20</v>
      </c>
      <c r="E277">
        <v>20</v>
      </c>
      <c r="F277" t="s">
        <v>26</v>
      </c>
      <c r="G277" t="s">
        <v>27</v>
      </c>
      <c r="H277" t="s">
        <v>28</v>
      </c>
      <c r="I277">
        <v>34.5</v>
      </c>
      <c r="J277">
        <v>10.981691073340778</v>
      </c>
      <c r="K277">
        <v>7</v>
      </c>
      <c r="L277">
        <v>10</v>
      </c>
      <c r="N277" t="s">
        <v>20</v>
      </c>
      <c r="O277" t="s">
        <v>16</v>
      </c>
      <c r="P277" t="s">
        <v>303</v>
      </c>
      <c r="Q277">
        <v>10</v>
      </c>
      <c r="R277">
        <v>10</v>
      </c>
      <c r="S277">
        <v>16</v>
      </c>
      <c r="T277" t="s">
        <v>275</v>
      </c>
      <c r="U277">
        <v>5.6391156457334175E-2</v>
      </c>
    </row>
    <row r="278" spans="1:21" x14ac:dyDescent="0.25">
      <c r="A278">
        <v>11</v>
      </c>
      <c r="B278">
        <v>500</v>
      </c>
      <c r="C278">
        <v>4</v>
      </c>
      <c r="D278">
        <v>20</v>
      </c>
      <c r="E278">
        <v>21</v>
      </c>
      <c r="F278" t="s">
        <v>26</v>
      </c>
      <c r="G278" t="s">
        <v>27</v>
      </c>
      <c r="H278" t="s">
        <v>28</v>
      </c>
      <c r="I278">
        <v>36</v>
      </c>
      <c r="J278">
        <v>11.459155902616464</v>
      </c>
      <c r="K278">
        <v>6</v>
      </c>
      <c r="L278">
        <v>12</v>
      </c>
      <c r="N278" t="s">
        <v>20</v>
      </c>
      <c r="O278" t="s">
        <v>16</v>
      </c>
      <c r="P278" t="s">
        <v>303</v>
      </c>
      <c r="Q278">
        <v>12.5</v>
      </c>
      <c r="R278">
        <v>10</v>
      </c>
      <c r="S278">
        <v>16</v>
      </c>
      <c r="T278" t="s">
        <v>275</v>
      </c>
      <c r="U278">
        <v>7.3497796805331805E-2</v>
      </c>
    </row>
    <row r="279" spans="1:21" x14ac:dyDescent="0.25">
      <c r="A279">
        <v>8</v>
      </c>
      <c r="B279">
        <v>500</v>
      </c>
      <c r="C279">
        <v>2</v>
      </c>
      <c r="D279">
        <v>20</v>
      </c>
      <c r="E279">
        <v>22</v>
      </c>
      <c r="F279" t="s">
        <v>26</v>
      </c>
      <c r="G279" t="s">
        <v>27</v>
      </c>
      <c r="H279" t="s">
        <v>28</v>
      </c>
      <c r="I279">
        <v>34</v>
      </c>
      <c r="J279">
        <v>10.822536130248883</v>
      </c>
      <c r="K279">
        <v>8</v>
      </c>
      <c r="L279">
        <v>11</v>
      </c>
      <c r="N279" t="s">
        <v>20</v>
      </c>
      <c r="O279" t="s">
        <v>16</v>
      </c>
      <c r="P279" t="s">
        <v>303</v>
      </c>
      <c r="Q279">
        <v>10</v>
      </c>
      <c r="R279">
        <v>10</v>
      </c>
      <c r="S279">
        <v>16</v>
      </c>
      <c r="T279" t="s">
        <v>275</v>
      </c>
      <c r="U279">
        <v>6.0530089697250426E-2</v>
      </c>
    </row>
    <row r="280" spans="1:21" x14ac:dyDescent="0.25">
      <c r="A280">
        <v>11</v>
      </c>
      <c r="B280">
        <v>500</v>
      </c>
      <c r="C280">
        <v>4</v>
      </c>
      <c r="D280">
        <v>21</v>
      </c>
      <c r="E280">
        <v>22</v>
      </c>
      <c r="F280" t="s">
        <v>26</v>
      </c>
      <c r="G280" t="s">
        <v>27</v>
      </c>
      <c r="H280" t="s">
        <v>28</v>
      </c>
      <c r="I280">
        <v>38.5</v>
      </c>
      <c r="J280">
        <v>12.254930618075941</v>
      </c>
      <c r="K280">
        <v>1.4</v>
      </c>
      <c r="L280">
        <v>12</v>
      </c>
      <c r="N280" t="s">
        <v>20</v>
      </c>
      <c r="O280" t="s">
        <v>16</v>
      </c>
      <c r="P280" t="s">
        <v>303</v>
      </c>
      <c r="Q280">
        <v>12.5</v>
      </c>
      <c r="R280">
        <v>10</v>
      </c>
      <c r="S280">
        <v>16</v>
      </c>
      <c r="T280" t="s">
        <v>275</v>
      </c>
      <c r="U280">
        <v>8.3143041429044176E-2</v>
      </c>
    </row>
    <row r="281" spans="1:21" x14ac:dyDescent="0.25">
      <c r="A281">
        <v>11</v>
      </c>
      <c r="B281">
        <v>100</v>
      </c>
      <c r="C281">
        <v>3</v>
      </c>
      <c r="D281">
        <v>22</v>
      </c>
      <c r="E281">
        <v>22</v>
      </c>
      <c r="F281" t="s">
        <v>26</v>
      </c>
      <c r="G281" t="s">
        <v>27</v>
      </c>
      <c r="H281" t="s">
        <v>28</v>
      </c>
      <c r="I281">
        <v>22</v>
      </c>
      <c r="J281">
        <v>7.0028174960433951</v>
      </c>
      <c r="K281">
        <v>3.5</v>
      </c>
      <c r="L281">
        <v>8</v>
      </c>
      <c r="N281" t="s">
        <v>20</v>
      </c>
      <c r="O281" t="s">
        <v>16</v>
      </c>
      <c r="P281" t="s">
        <v>303</v>
      </c>
      <c r="Q281">
        <v>7.5</v>
      </c>
      <c r="R281">
        <v>5</v>
      </c>
    </row>
    <row r="282" spans="1:21" x14ac:dyDescent="0.25">
      <c r="A282">
        <v>5</v>
      </c>
      <c r="B282">
        <v>500</v>
      </c>
      <c r="C282">
        <v>2</v>
      </c>
      <c r="D282">
        <v>21</v>
      </c>
      <c r="E282">
        <v>23</v>
      </c>
      <c r="F282" t="s">
        <v>26</v>
      </c>
      <c r="G282" t="s">
        <v>27</v>
      </c>
      <c r="H282" t="s">
        <v>28</v>
      </c>
      <c r="I282">
        <v>33</v>
      </c>
      <c r="J282">
        <v>10.504226244065093</v>
      </c>
      <c r="K282">
        <v>4</v>
      </c>
      <c r="L282">
        <v>10</v>
      </c>
      <c r="N282" t="s">
        <v>20</v>
      </c>
      <c r="O282" t="s">
        <v>16</v>
      </c>
      <c r="P282" t="s">
        <v>303</v>
      </c>
      <c r="Q282">
        <v>10</v>
      </c>
      <c r="R282">
        <v>10</v>
      </c>
      <c r="S282">
        <v>16</v>
      </c>
      <c r="T282" t="s">
        <v>275</v>
      </c>
      <c r="U282">
        <v>5.1970324523567132E-2</v>
      </c>
    </row>
    <row r="283" spans="1:21" x14ac:dyDescent="0.25">
      <c r="A283">
        <v>8</v>
      </c>
      <c r="B283">
        <v>500</v>
      </c>
      <c r="C283">
        <v>2</v>
      </c>
      <c r="D283">
        <v>21</v>
      </c>
      <c r="E283">
        <v>23</v>
      </c>
      <c r="F283" t="s">
        <v>26</v>
      </c>
      <c r="G283" t="s">
        <v>27</v>
      </c>
      <c r="H283" t="s">
        <v>28</v>
      </c>
      <c r="I283">
        <v>41.5</v>
      </c>
      <c r="J283">
        <v>13.209860276627314</v>
      </c>
      <c r="K283">
        <v>9</v>
      </c>
      <c r="L283">
        <v>12</v>
      </c>
      <c r="N283" t="s">
        <v>20</v>
      </c>
      <c r="O283" t="s">
        <v>16</v>
      </c>
      <c r="P283" t="s">
        <v>303</v>
      </c>
      <c r="Q283">
        <v>12.5</v>
      </c>
      <c r="R283">
        <v>15</v>
      </c>
      <c r="S283">
        <v>16</v>
      </c>
      <c r="T283" t="s">
        <v>275</v>
      </c>
      <c r="U283">
        <v>9.5427907409601123E-2</v>
      </c>
    </row>
    <row r="284" spans="1:21" x14ac:dyDescent="0.25">
      <c r="A284">
        <v>6</v>
      </c>
      <c r="B284">
        <v>100</v>
      </c>
      <c r="C284">
        <v>3</v>
      </c>
      <c r="D284">
        <v>20</v>
      </c>
      <c r="E284">
        <v>23</v>
      </c>
      <c r="F284" t="s">
        <v>26</v>
      </c>
      <c r="G284" t="s">
        <v>27</v>
      </c>
      <c r="H284" t="s">
        <v>28</v>
      </c>
      <c r="I284">
        <v>16.5</v>
      </c>
      <c r="J284">
        <v>5.2521131220325463</v>
      </c>
      <c r="K284">
        <v>5</v>
      </c>
      <c r="L284">
        <v>8</v>
      </c>
      <c r="N284" t="s">
        <v>20</v>
      </c>
      <c r="O284" t="s">
        <v>16</v>
      </c>
      <c r="P284" t="s">
        <v>303</v>
      </c>
      <c r="Q284">
        <v>7.5</v>
      </c>
      <c r="R284">
        <v>5</v>
      </c>
    </row>
    <row r="285" spans="1:21" x14ac:dyDescent="0.25">
      <c r="A285">
        <v>11</v>
      </c>
      <c r="B285">
        <v>100</v>
      </c>
      <c r="C285">
        <v>3</v>
      </c>
      <c r="D285">
        <v>23</v>
      </c>
      <c r="E285">
        <v>23</v>
      </c>
      <c r="F285" t="s">
        <v>26</v>
      </c>
      <c r="G285" t="s">
        <v>27</v>
      </c>
      <c r="H285" t="s">
        <v>28</v>
      </c>
      <c r="I285">
        <v>21.5</v>
      </c>
      <c r="J285">
        <v>6.8436625529514998</v>
      </c>
      <c r="K285">
        <v>3.5</v>
      </c>
      <c r="L285">
        <v>8</v>
      </c>
      <c r="N285" t="s">
        <v>20</v>
      </c>
      <c r="O285" t="s">
        <v>16</v>
      </c>
      <c r="P285" t="s">
        <v>303</v>
      </c>
      <c r="Q285">
        <v>7.5</v>
      </c>
      <c r="R285">
        <v>5</v>
      </c>
    </row>
    <row r="286" spans="1:21" x14ac:dyDescent="0.25">
      <c r="A286">
        <v>5</v>
      </c>
      <c r="B286">
        <v>500</v>
      </c>
      <c r="C286">
        <v>2</v>
      </c>
      <c r="D286">
        <v>22</v>
      </c>
      <c r="E286">
        <v>24</v>
      </c>
      <c r="F286" t="s">
        <v>26</v>
      </c>
      <c r="G286" t="s">
        <v>27</v>
      </c>
      <c r="H286" t="s">
        <v>28</v>
      </c>
      <c r="I286">
        <v>35</v>
      </c>
      <c r="J286">
        <v>11.140846016432674</v>
      </c>
      <c r="K286">
        <v>6</v>
      </c>
      <c r="L286">
        <v>11</v>
      </c>
      <c r="N286" t="s">
        <v>20</v>
      </c>
      <c r="O286" t="s">
        <v>16</v>
      </c>
      <c r="P286" t="s">
        <v>303</v>
      </c>
      <c r="Q286">
        <v>10</v>
      </c>
      <c r="R286">
        <v>10</v>
      </c>
      <c r="S286">
        <v>16</v>
      </c>
      <c r="T286" t="s">
        <v>275</v>
      </c>
      <c r="U286">
        <v>6.3839919236367462E-2</v>
      </c>
    </row>
    <row r="287" spans="1:21" x14ac:dyDescent="0.25">
      <c r="A287">
        <v>9</v>
      </c>
      <c r="B287">
        <v>100</v>
      </c>
      <c r="C287">
        <v>2</v>
      </c>
      <c r="D287">
        <v>24</v>
      </c>
      <c r="E287">
        <v>24</v>
      </c>
      <c r="F287" t="s">
        <v>26</v>
      </c>
      <c r="G287" t="s">
        <v>27</v>
      </c>
      <c r="H287" t="s">
        <v>28</v>
      </c>
      <c r="I287">
        <v>21</v>
      </c>
      <c r="J287">
        <v>6.6845076098596046</v>
      </c>
      <c r="K287">
        <v>3</v>
      </c>
      <c r="L287">
        <v>9</v>
      </c>
      <c r="N287" t="s">
        <v>20</v>
      </c>
      <c r="O287" t="s">
        <v>16</v>
      </c>
      <c r="P287" t="s">
        <v>303</v>
      </c>
      <c r="Q287">
        <v>10</v>
      </c>
      <c r="R287">
        <v>5</v>
      </c>
    </row>
    <row r="288" spans="1:21" x14ac:dyDescent="0.25">
      <c r="A288">
        <v>1</v>
      </c>
      <c r="B288">
        <v>500</v>
      </c>
      <c r="C288">
        <v>4</v>
      </c>
      <c r="D288">
        <v>22</v>
      </c>
      <c r="E288">
        <v>25</v>
      </c>
      <c r="F288" t="s">
        <v>26</v>
      </c>
      <c r="G288" t="s">
        <v>27</v>
      </c>
      <c r="H288" t="s">
        <v>28</v>
      </c>
      <c r="I288">
        <v>54.5</v>
      </c>
      <c r="J288">
        <v>17.347888797016591</v>
      </c>
      <c r="K288">
        <v>8</v>
      </c>
      <c r="L288">
        <v>15</v>
      </c>
      <c r="N288" t="s">
        <v>20</v>
      </c>
      <c r="O288" t="s">
        <v>16</v>
      </c>
      <c r="P288" t="s">
        <v>303</v>
      </c>
      <c r="Q288">
        <v>15</v>
      </c>
      <c r="R288">
        <v>15</v>
      </c>
      <c r="S288">
        <v>16</v>
      </c>
      <c r="T288" t="s">
        <v>275</v>
      </c>
      <c r="U288">
        <v>0.19783882699633751</v>
      </c>
    </row>
    <row r="289" spans="1:21" x14ac:dyDescent="0.25">
      <c r="A289">
        <v>9</v>
      </c>
      <c r="B289">
        <v>100</v>
      </c>
      <c r="C289">
        <v>2</v>
      </c>
      <c r="D289">
        <v>25</v>
      </c>
      <c r="E289">
        <v>25</v>
      </c>
      <c r="F289" t="s">
        <v>26</v>
      </c>
      <c r="G289" t="s">
        <v>27</v>
      </c>
      <c r="H289" t="s">
        <v>28</v>
      </c>
      <c r="I289">
        <v>25</v>
      </c>
      <c r="J289">
        <v>7.9577471545947667</v>
      </c>
      <c r="K289">
        <v>5</v>
      </c>
      <c r="L289">
        <v>9</v>
      </c>
      <c r="N289" t="s">
        <v>20</v>
      </c>
      <c r="O289" t="s">
        <v>16</v>
      </c>
      <c r="P289" t="s">
        <v>303</v>
      </c>
      <c r="Q289">
        <v>10</v>
      </c>
      <c r="R289">
        <v>10</v>
      </c>
    </row>
    <row r="290" spans="1:21" x14ac:dyDescent="0.25">
      <c r="A290">
        <v>11</v>
      </c>
      <c r="B290">
        <v>100</v>
      </c>
      <c r="C290">
        <v>3</v>
      </c>
      <c r="D290">
        <v>25</v>
      </c>
      <c r="E290">
        <v>25</v>
      </c>
      <c r="F290" t="s">
        <v>26</v>
      </c>
      <c r="G290" t="s">
        <v>27</v>
      </c>
      <c r="H290" t="s">
        <v>28</v>
      </c>
      <c r="I290">
        <v>18</v>
      </c>
      <c r="J290">
        <v>5.7295779513082321</v>
      </c>
      <c r="K290">
        <v>5.5</v>
      </c>
      <c r="L290">
        <v>5.5</v>
      </c>
      <c r="N290" t="s">
        <v>20</v>
      </c>
      <c r="O290" t="s">
        <v>16</v>
      </c>
      <c r="P290" t="s">
        <v>303</v>
      </c>
      <c r="Q290">
        <v>5</v>
      </c>
      <c r="R290">
        <v>5</v>
      </c>
    </row>
    <row r="291" spans="1:21" x14ac:dyDescent="0.25">
      <c r="A291">
        <v>9</v>
      </c>
      <c r="B291">
        <v>500</v>
      </c>
      <c r="C291">
        <v>4</v>
      </c>
      <c r="D291">
        <v>23</v>
      </c>
      <c r="E291">
        <v>26</v>
      </c>
      <c r="F291" t="s">
        <v>26</v>
      </c>
      <c r="G291" t="s">
        <v>27</v>
      </c>
      <c r="H291" t="s">
        <v>28</v>
      </c>
      <c r="I291">
        <v>35.5</v>
      </c>
      <c r="J291">
        <v>11.300000959524569</v>
      </c>
      <c r="K291">
        <v>2.2000000000000002</v>
      </c>
      <c r="L291">
        <v>9</v>
      </c>
      <c r="N291" t="s">
        <v>20</v>
      </c>
      <c r="O291" t="s">
        <v>16</v>
      </c>
      <c r="P291" t="s">
        <v>303</v>
      </c>
      <c r="Q291">
        <v>10</v>
      </c>
      <c r="R291">
        <v>10</v>
      </c>
      <c r="S291">
        <v>16</v>
      </c>
      <c r="T291" t="s">
        <v>275</v>
      </c>
      <c r="U291">
        <v>5.3348911172938406E-2</v>
      </c>
    </row>
    <row r="292" spans="1:21" x14ac:dyDescent="0.25">
      <c r="A292">
        <v>9</v>
      </c>
      <c r="B292">
        <v>500</v>
      </c>
      <c r="C292">
        <v>4</v>
      </c>
      <c r="D292">
        <v>25</v>
      </c>
      <c r="E292">
        <v>28</v>
      </c>
      <c r="F292" t="s">
        <v>26</v>
      </c>
      <c r="G292" t="s">
        <v>27</v>
      </c>
      <c r="H292" t="s">
        <v>28</v>
      </c>
      <c r="I292">
        <v>37.200000000000003</v>
      </c>
      <c r="J292">
        <v>11.841127766037014</v>
      </c>
      <c r="K292">
        <v>4</v>
      </c>
      <c r="L292">
        <v>10</v>
      </c>
      <c r="N292" t="s">
        <v>20</v>
      </c>
      <c r="O292" t="s">
        <v>16</v>
      </c>
      <c r="P292" t="s">
        <v>303</v>
      </c>
      <c r="Q292">
        <v>10</v>
      </c>
      <c r="R292">
        <v>10</v>
      </c>
      <c r="S292">
        <v>16</v>
      </c>
      <c r="T292" t="s">
        <v>275</v>
      </c>
      <c r="U292">
        <v>6.4760642257022452E-2</v>
      </c>
    </row>
    <row r="293" spans="1:21" x14ac:dyDescent="0.25">
      <c r="A293">
        <v>4</v>
      </c>
      <c r="B293">
        <v>500</v>
      </c>
      <c r="C293">
        <v>2</v>
      </c>
      <c r="D293">
        <v>28</v>
      </c>
      <c r="E293">
        <v>29</v>
      </c>
      <c r="F293" t="s">
        <v>26</v>
      </c>
      <c r="G293" t="s">
        <v>27</v>
      </c>
      <c r="H293" t="s">
        <v>28</v>
      </c>
      <c r="I293">
        <v>48.5</v>
      </c>
      <c r="J293">
        <v>15.438029479913848</v>
      </c>
      <c r="K293">
        <v>3.5</v>
      </c>
      <c r="L293">
        <v>13</v>
      </c>
      <c r="N293" t="s">
        <v>20</v>
      </c>
      <c r="O293" t="s">
        <v>16</v>
      </c>
      <c r="P293" t="s">
        <v>303</v>
      </c>
      <c r="Q293">
        <v>12.5</v>
      </c>
      <c r="R293">
        <v>15</v>
      </c>
      <c r="S293">
        <v>16</v>
      </c>
      <c r="T293" t="s">
        <v>275</v>
      </c>
      <c r="U293">
        <v>0.13791531609601446</v>
      </c>
    </row>
    <row r="294" spans="1:21" x14ac:dyDescent="0.25">
      <c r="A294">
        <v>5</v>
      </c>
      <c r="B294">
        <v>500</v>
      </c>
      <c r="C294">
        <v>3</v>
      </c>
      <c r="D294">
        <v>28</v>
      </c>
      <c r="E294">
        <v>30</v>
      </c>
      <c r="F294" t="s">
        <v>26</v>
      </c>
      <c r="G294" t="s">
        <v>27</v>
      </c>
      <c r="H294" t="s">
        <v>28</v>
      </c>
      <c r="I294">
        <v>31.5</v>
      </c>
      <c r="J294">
        <v>10.026761414789407</v>
      </c>
      <c r="K294">
        <v>6</v>
      </c>
      <c r="L294">
        <v>9</v>
      </c>
      <c r="N294" t="s">
        <v>20</v>
      </c>
      <c r="O294" t="s">
        <v>16</v>
      </c>
      <c r="P294" t="s">
        <v>303</v>
      </c>
      <c r="Q294">
        <v>10</v>
      </c>
      <c r="R294">
        <v>10</v>
      </c>
      <c r="S294">
        <v>16</v>
      </c>
      <c r="T294" t="s">
        <v>275</v>
      </c>
      <c r="U294">
        <v>4.2832563889274963E-2</v>
      </c>
    </row>
    <row r="295" spans="1:21" x14ac:dyDescent="0.25">
      <c r="A295">
        <v>11</v>
      </c>
      <c r="B295">
        <v>100</v>
      </c>
      <c r="C295">
        <v>3</v>
      </c>
      <c r="D295">
        <v>30</v>
      </c>
      <c r="E295">
        <v>30</v>
      </c>
      <c r="F295" t="s">
        <v>26</v>
      </c>
      <c r="G295" t="s">
        <v>27</v>
      </c>
      <c r="H295" t="s">
        <v>28</v>
      </c>
      <c r="I295">
        <v>18.5</v>
      </c>
      <c r="J295">
        <v>5.8887328944001274</v>
      </c>
      <c r="K295">
        <v>3</v>
      </c>
      <c r="L295">
        <v>6</v>
      </c>
      <c r="N295" t="s">
        <v>20</v>
      </c>
      <c r="O295" t="s">
        <v>16</v>
      </c>
      <c r="P295" t="s">
        <v>303</v>
      </c>
      <c r="Q295">
        <v>5</v>
      </c>
      <c r="R295">
        <v>5</v>
      </c>
    </row>
    <row r="296" spans="1:21" x14ac:dyDescent="0.25">
      <c r="A296">
        <v>5</v>
      </c>
      <c r="B296">
        <v>500</v>
      </c>
      <c r="C296">
        <v>3</v>
      </c>
      <c r="D296">
        <v>29</v>
      </c>
      <c r="E296">
        <v>31</v>
      </c>
      <c r="F296" t="s">
        <v>26</v>
      </c>
      <c r="G296" t="s">
        <v>27</v>
      </c>
      <c r="H296" t="s">
        <v>28</v>
      </c>
      <c r="I296">
        <v>35</v>
      </c>
      <c r="J296">
        <v>11.140846016432674</v>
      </c>
      <c r="K296">
        <v>5.5</v>
      </c>
      <c r="L296">
        <v>11</v>
      </c>
      <c r="N296" t="s">
        <v>20</v>
      </c>
      <c r="O296" t="s">
        <v>16</v>
      </c>
      <c r="P296" t="s">
        <v>303</v>
      </c>
      <c r="Q296">
        <v>10</v>
      </c>
      <c r="R296">
        <v>10</v>
      </c>
      <c r="S296">
        <v>16</v>
      </c>
      <c r="T296" t="s">
        <v>275</v>
      </c>
      <c r="U296">
        <v>6.3839919236367462E-2</v>
      </c>
    </row>
    <row r="297" spans="1:21" x14ac:dyDescent="0.25">
      <c r="A297">
        <v>2</v>
      </c>
      <c r="B297">
        <v>500</v>
      </c>
      <c r="C297">
        <v>2</v>
      </c>
      <c r="D297">
        <v>31</v>
      </c>
      <c r="E297">
        <v>32</v>
      </c>
      <c r="F297" t="s">
        <v>26</v>
      </c>
      <c r="G297" t="s">
        <v>27</v>
      </c>
      <c r="H297" t="s">
        <v>28</v>
      </c>
      <c r="I297">
        <v>48</v>
      </c>
      <c r="J297">
        <v>15.278874536821952</v>
      </c>
      <c r="K297">
        <v>7</v>
      </c>
      <c r="L297">
        <v>11</v>
      </c>
      <c r="N297" t="s">
        <v>20</v>
      </c>
      <c r="O297" t="s">
        <v>16</v>
      </c>
      <c r="P297" t="s">
        <v>303</v>
      </c>
      <c r="Q297">
        <v>10</v>
      </c>
      <c r="R297">
        <v>15</v>
      </c>
      <c r="S297">
        <v>16</v>
      </c>
      <c r="T297" t="s">
        <v>275</v>
      </c>
      <c r="U297">
        <v>0.11403092739822697</v>
      </c>
    </row>
    <row r="298" spans="1:21" x14ac:dyDescent="0.25">
      <c r="A298">
        <v>5</v>
      </c>
      <c r="B298">
        <v>500</v>
      </c>
      <c r="C298">
        <v>3</v>
      </c>
      <c r="D298">
        <v>30</v>
      </c>
      <c r="E298">
        <v>32</v>
      </c>
      <c r="F298" t="s">
        <v>26</v>
      </c>
      <c r="G298" t="s">
        <v>27</v>
      </c>
      <c r="H298" t="s">
        <v>28</v>
      </c>
      <c r="I298">
        <v>34</v>
      </c>
      <c r="J298">
        <v>10.822536130248883</v>
      </c>
      <c r="K298">
        <v>6</v>
      </c>
      <c r="L298">
        <v>10</v>
      </c>
      <c r="N298" t="s">
        <v>20</v>
      </c>
      <c r="O298" t="s">
        <v>16</v>
      </c>
      <c r="P298" t="s">
        <v>303</v>
      </c>
      <c r="Q298">
        <v>10</v>
      </c>
      <c r="R298">
        <v>10</v>
      </c>
      <c r="S298">
        <v>16</v>
      </c>
      <c r="T298" t="s">
        <v>275</v>
      </c>
      <c r="U298">
        <v>5.489928909056653E-2</v>
      </c>
    </row>
    <row r="299" spans="1:21" x14ac:dyDescent="0.25">
      <c r="A299">
        <v>4</v>
      </c>
      <c r="B299">
        <v>500</v>
      </c>
      <c r="C299">
        <v>2</v>
      </c>
      <c r="D299">
        <v>32</v>
      </c>
      <c r="E299">
        <v>33</v>
      </c>
      <c r="F299" t="s">
        <v>26</v>
      </c>
      <c r="G299" t="s">
        <v>27</v>
      </c>
      <c r="H299" t="s">
        <v>28</v>
      </c>
      <c r="I299">
        <v>33</v>
      </c>
      <c r="J299">
        <v>10.504226244065093</v>
      </c>
      <c r="K299">
        <v>4</v>
      </c>
      <c r="L299">
        <v>9</v>
      </c>
      <c r="N299" t="s">
        <v>20</v>
      </c>
      <c r="O299" t="s">
        <v>16</v>
      </c>
      <c r="P299" t="s">
        <v>303</v>
      </c>
      <c r="Q299">
        <v>10</v>
      </c>
      <c r="R299">
        <v>10</v>
      </c>
      <c r="S299">
        <v>16</v>
      </c>
      <c r="T299" t="s">
        <v>275</v>
      </c>
      <c r="U299">
        <v>4.6652972676895367E-2</v>
      </c>
    </row>
    <row r="300" spans="1:21" x14ac:dyDescent="0.25">
      <c r="A300">
        <v>9</v>
      </c>
      <c r="B300">
        <v>100</v>
      </c>
      <c r="C300">
        <v>3</v>
      </c>
      <c r="D300">
        <v>33</v>
      </c>
      <c r="E300">
        <v>33</v>
      </c>
      <c r="F300" t="s">
        <v>26</v>
      </c>
      <c r="G300" t="s">
        <v>27</v>
      </c>
      <c r="H300" t="s">
        <v>28</v>
      </c>
      <c r="I300">
        <v>25.5</v>
      </c>
      <c r="J300">
        <v>8.1169020976866619</v>
      </c>
      <c r="K300">
        <v>7</v>
      </c>
      <c r="L300">
        <v>10</v>
      </c>
      <c r="N300" t="s">
        <v>20</v>
      </c>
      <c r="O300" t="s">
        <v>16</v>
      </c>
      <c r="P300" t="s">
        <v>303</v>
      </c>
      <c r="Q300">
        <v>10</v>
      </c>
      <c r="R300">
        <v>10</v>
      </c>
    </row>
    <row r="301" spans="1:21" x14ac:dyDescent="0.25">
      <c r="A301">
        <v>7</v>
      </c>
      <c r="B301">
        <v>500</v>
      </c>
      <c r="C301">
        <v>3</v>
      </c>
      <c r="D301">
        <v>31</v>
      </c>
      <c r="E301">
        <v>34</v>
      </c>
      <c r="F301" t="s">
        <v>26</v>
      </c>
      <c r="G301" t="s">
        <v>27</v>
      </c>
      <c r="H301" t="s">
        <v>28</v>
      </c>
      <c r="I301">
        <v>38.5</v>
      </c>
      <c r="J301">
        <v>12.254930618075941</v>
      </c>
      <c r="K301">
        <v>5</v>
      </c>
      <c r="L301">
        <v>13</v>
      </c>
      <c r="N301" t="s">
        <v>20</v>
      </c>
      <c r="O301" t="s">
        <v>16</v>
      </c>
      <c r="P301" t="s">
        <v>303</v>
      </c>
      <c r="Q301">
        <v>12.5</v>
      </c>
      <c r="R301">
        <v>10</v>
      </c>
      <c r="S301">
        <v>16</v>
      </c>
      <c r="T301" t="s">
        <v>275</v>
      </c>
      <c r="U301">
        <v>9.0248050629486057E-2</v>
      </c>
    </row>
    <row r="302" spans="1:21" x14ac:dyDescent="0.25">
      <c r="A302">
        <v>11</v>
      </c>
      <c r="B302">
        <v>100</v>
      </c>
      <c r="C302">
        <v>3</v>
      </c>
      <c r="D302">
        <v>34</v>
      </c>
      <c r="E302">
        <v>34</v>
      </c>
      <c r="F302" t="s">
        <v>26</v>
      </c>
      <c r="G302" t="s">
        <v>27</v>
      </c>
      <c r="H302" t="s">
        <v>28</v>
      </c>
      <c r="I302">
        <v>31</v>
      </c>
      <c r="J302">
        <v>9.8676064716975116</v>
      </c>
      <c r="K302">
        <v>6</v>
      </c>
      <c r="L302">
        <v>11</v>
      </c>
      <c r="N302" t="s">
        <v>20</v>
      </c>
      <c r="O302" t="s">
        <v>16</v>
      </c>
      <c r="P302" t="s">
        <v>303</v>
      </c>
      <c r="Q302">
        <v>10</v>
      </c>
      <c r="R302">
        <v>10</v>
      </c>
    </row>
    <row r="303" spans="1:21" x14ac:dyDescent="0.25">
      <c r="A303">
        <v>8</v>
      </c>
      <c r="B303">
        <v>500</v>
      </c>
      <c r="C303">
        <v>3</v>
      </c>
      <c r="D303">
        <v>30</v>
      </c>
      <c r="E303">
        <v>35</v>
      </c>
      <c r="F303" t="s">
        <v>26</v>
      </c>
      <c r="G303" t="s">
        <v>27</v>
      </c>
      <c r="H303" t="s">
        <v>28</v>
      </c>
      <c r="I303">
        <v>42</v>
      </c>
      <c r="J303">
        <v>13.369015219719209</v>
      </c>
      <c r="K303">
        <v>9</v>
      </c>
      <c r="L303">
        <v>13</v>
      </c>
      <c r="N303" t="s">
        <v>20</v>
      </c>
      <c r="O303" t="s">
        <v>16</v>
      </c>
      <c r="P303" t="s">
        <v>303</v>
      </c>
      <c r="Q303">
        <v>12.5</v>
      </c>
      <c r="R303">
        <v>15</v>
      </c>
      <c r="S303">
        <v>16</v>
      </c>
      <c r="T303" t="s">
        <v>275</v>
      </c>
      <c r="U303">
        <v>0.10588629712540945</v>
      </c>
    </row>
    <row r="304" spans="1:21" x14ac:dyDescent="0.25">
      <c r="A304">
        <v>9</v>
      </c>
      <c r="B304">
        <v>100</v>
      </c>
      <c r="C304">
        <v>3</v>
      </c>
      <c r="D304">
        <v>35</v>
      </c>
      <c r="E304">
        <v>35</v>
      </c>
      <c r="F304" t="s">
        <v>26</v>
      </c>
      <c r="G304" t="s">
        <v>27</v>
      </c>
      <c r="H304" t="s">
        <v>28</v>
      </c>
      <c r="I304">
        <v>21.5</v>
      </c>
      <c r="J304">
        <v>6.8436625529514998</v>
      </c>
      <c r="K304">
        <v>5</v>
      </c>
      <c r="L304">
        <v>7</v>
      </c>
      <c r="N304" t="s">
        <v>20</v>
      </c>
      <c r="O304" t="s">
        <v>16</v>
      </c>
      <c r="P304" t="s">
        <v>303</v>
      </c>
      <c r="Q304">
        <v>7.5</v>
      </c>
      <c r="R304">
        <v>5</v>
      </c>
    </row>
    <row r="305" spans="1:21" x14ac:dyDescent="0.25">
      <c r="A305">
        <v>4</v>
      </c>
      <c r="B305">
        <v>500</v>
      </c>
      <c r="C305">
        <v>3</v>
      </c>
      <c r="D305">
        <v>37</v>
      </c>
      <c r="E305">
        <v>38</v>
      </c>
      <c r="F305" t="s">
        <v>26</v>
      </c>
      <c r="G305" t="s">
        <v>27</v>
      </c>
      <c r="H305" t="s">
        <v>28</v>
      </c>
      <c r="I305">
        <v>32</v>
      </c>
      <c r="J305">
        <v>10.185916357881302</v>
      </c>
      <c r="K305">
        <v>4</v>
      </c>
      <c r="L305">
        <v>10</v>
      </c>
      <c r="N305" t="s">
        <v>20</v>
      </c>
      <c r="O305" t="s">
        <v>16</v>
      </c>
      <c r="P305" t="s">
        <v>303</v>
      </c>
      <c r="Q305">
        <v>10</v>
      </c>
      <c r="R305">
        <v>10</v>
      </c>
      <c r="S305">
        <v>16</v>
      </c>
      <c r="T305" t="s">
        <v>275</v>
      </c>
      <c r="U305">
        <v>4.9114685538601273E-2</v>
      </c>
    </row>
    <row r="306" spans="1:21" x14ac:dyDescent="0.25">
      <c r="A306">
        <v>9</v>
      </c>
      <c r="B306">
        <v>100</v>
      </c>
      <c r="C306">
        <v>3</v>
      </c>
      <c r="D306">
        <v>39</v>
      </c>
      <c r="E306">
        <v>39</v>
      </c>
      <c r="F306" t="s">
        <v>26</v>
      </c>
      <c r="G306" t="s">
        <v>27</v>
      </c>
      <c r="H306" t="s">
        <v>28</v>
      </c>
      <c r="I306">
        <v>19.5</v>
      </c>
      <c r="J306">
        <v>6.2070427805839179</v>
      </c>
      <c r="K306">
        <v>6</v>
      </c>
      <c r="L306">
        <v>9</v>
      </c>
      <c r="N306" t="s">
        <v>20</v>
      </c>
      <c r="O306" t="s">
        <v>16</v>
      </c>
      <c r="P306" t="s">
        <v>303</v>
      </c>
      <c r="Q306">
        <v>10</v>
      </c>
      <c r="R306">
        <v>5</v>
      </c>
    </row>
    <row r="307" spans="1:21" x14ac:dyDescent="0.25">
      <c r="A307">
        <v>9</v>
      </c>
      <c r="B307">
        <v>100</v>
      </c>
      <c r="C307">
        <v>3</v>
      </c>
      <c r="D307">
        <v>40</v>
      </c>
      <c r="E307">
        <v>40</v>
      </c>
      <c r="F307" t="s">
        <v>26</v>
      </c>
      <c r="G307" t="s">
        <v>27</v>
      </c>
      <c r="H307" t="s">
        <v>28</v>
      </c>
      <c r="I307">
        <v>16</v>
      </c>
      <c r="J307">
        <v>5.0929581789406511</v>
      </c>
      <c r="K307">
        <v>4</v>
      </c>
      <c r="L307">
        <v>8</v>
      </c>
      <c r="N307" t="s">
        <v>20</v>
      </c>
      <c r="O307" t="s">
        <v>16</v>
      </c>
      <c r="P307" t="s">
        <v>303</v>
      </c>
      <c r="Q307">
        <v>7.5</v>
      </c>
      <c r="R307">
        <v>5</v>
      </c>
    </row>
    <row r="308" spans="1:21" x14ac:dyDescent="0.25">
      <c r="A308">
        <v>2</v>
      </c>
      <c r="B308">
        <v>500</v>
      </c>
      <c r="C308">
        <v>3</v>
      </c>
      <c r="D308">
        <v>44</v>
      </c>
      <c r="E308">
        <v>46</v>
      </c>
      <c r="F308" t="s">
        <v>26</v>
      </c>
      <c r="G308" t="s">
        <v>27</v>
      </c>
      <c r="H308" t="s">
        <v>28</v>
      </c>
      <c r="I308">
        <v>36</v>
      </c>
      <c r="J308">
        <v>11.459155902616464</v>
      </c>
      <c r="K308">
        <v>5.5</v>
      </c>
      <c r="L308">
        <v>10</v>
      </c>
      <c r="N308" t="s">
        <v>20</v>
      </c>
      <c r="O308" t="s">
        <v>16</v>
      </c>
      <c r="P308" t="s">
        <v>303</v>
      </c>
      <c r="Q308">
        <v>10</v>
      </c>
      <c r="R308">
        <v>10</v>
      </c>
      <c r="S308">
        <v>16</v>
      </c>
      <c r="T308" t="s">
        <v>275</v>
      </c>
      <c r="U308">
        <v>6.0975779374989041E-2</v>
      </c>
    </row>
    <row r="309" spans="1:21" x14ac:dyDescent="0.25">
      <c r="A309">
        <v>9</v>
      </c>
      <c r="B309">
        <v>100</v>
      </c>
      <c r="C309">
        <v>4</v>
      </c>
      <c r="D309">
        <v>48</v>
      </c>
      <c r="E309">
        <v>48</v>
      </c>
      <c r="F309" t="s">
        <v>26</v>
      </c>
      <c r="G309" t="s">
        <v>27</v>
      </c>
      <c r="H309" t="s">
        <v>28</v>
      </c>
      <c r="I309">
        <v>24.5</v>
      </c>
      <c r="J309">
        <v>7.7985922115028714</v>
      </c>
      <c r="K309">
        <v>7</v>
      </c>
      <c r="L309">
        <v>9</v>
      </c>
      <c r="N309" t="s">
        <v>20</v>
      </c>
      <c r="O309" t="s">
        <v>16</v>
      </c>
      <c r="P309" t="s">
        <v>303</v>
      </c>
      <c r="Q309">
        <v>10</v>
      </c>
      <c r="R309">
        <v>10</v>
      </c>
    </row>
    <row r="310" spans="1:21" x14ac:dyDescent="0.25">
      <c r="A310">
        <v>9</v>
      </c>
      <c r="B310">
        <v>100</v>
      </c>
      <c r="C310">
        <v>4</v>
      </c>
      <c r="D310">
        <v>49</v>
      </c>
      <c r="E310">
        <v>49</v>
      </c>
      <c r="F310" t="s">
        <v>26</v>
      </c>
      <c r="G310" t="s">
        <v>27</v>
      </c>
      <c r="H310" t="s">
        <v>28</v>
      </c>
      <c r="I310">
        <v>21.5</v>
      </c>
      <c r="J310">
        <v>6.8436625529514998</v>
      </c>
      <c r="K310">
        <v>6</v>
      </c>
      <c r="L310">
        <v>8</v>
      </c>
      <c r="N310" t="s">
        <v>20</v>
      </c>
      <c r="O310" t="s">
        <v>16</v>
      </c>
      <c r="P310" t="s">
        <v>303</v>
      </c>
      <c r="Q310">
        <v>7.5</v>
      </c>
      <c r="R310">
        <v>5</v>
      </c>
    </row>
    <row r="311" spans="1:21" x14ac:dyDescent="0.25">
      <c r="A311">
        <v>8</v>
      </c>
      <c r="B311">
        <v>500</v>
      </c>
      <c r="C311">
        <v>4</v>
      </c>
      <c r="D311">
        <v>47</v>
      </c>
      <c r="E311">
        <v>52</v>
      </c>
      <c r="F311" t="s">
        <v>26</v>
      </c>
      <c r="G311" t="s">
        <v>27</v>
      </c>
      <c r="H311" t="s">
        <v>28</v>
      </c>
      <c r="I311">
        <v>31.5</v>
      </c>
      <c r="J311">
        <v>10.026761414789407</v>
      </c>
      <c r="K311">
        <v>6</v>
      </c>
      <c r="L311">
        <v>10</v>
      </c>
      <c r="N311" t="s">
        <v>20</v>
      </c>
      <c r="O311" t="s">
        <v>16</v>
      </c>
      <c r="P311" t="s">
        <v>303</v>
      </c>
      <c r="Q311">
        <v>10</v>
      </c>
      <c r="R311">
        <v>10</v>
      </c>
      <c r="S311">
        <v>16</v>
      </c>
      <c r="T311" t="s">
        <v>275</v>
      </c>
      <c r="U311">
        <v>4.771447815166701E-2</v>
      </c>
    </row>
    <row r="312" spans="1:21" x14ac:dyDescent="0.25">
      <c r="A312">
        <v>3</v>
      </c>
      <c r="B312">
        <v>500</v>
      </c>
      <c r="C312">
        <v>4</v>
      </c>
      <c r="D312">
        <v>45</v>
      </c>
      <c r="E312">
        <v>54</v>
      </c>
      <c r="F312" t="s">
        <v>26</v>
      </c>
      <c r="G312" t="s">
        <v>27</v>
      </c>
      <c r="H312" t="s">
        <v>28</v>
      </c>
      <c r="I312">
        <v>37.5</v>
      </c>
      <c r="J312">
        <v>11.93662073189215</v>
      </c>
      <c r="K312">
        <v>6</v>
      </c>
      <c r="L312">
        <v>13</v>
      </c>
      <c r="N312" t="s">
        <v>20</v>
      </c>
      <c r="O312" t="s">
        <v>16</v>
      </c>
      <c r="P312" t="s">
        <v>303</v>
      </c>
      <c r="Q312">
        <v>12.5</v>
      </c>
      <c r="R312">
        <v>10</v>
      </c>
      <c r="S312">
        <v>16</v>
      </c>
      <c r="T312" t="s">
        <v>275</v>
      </c>
      <c r="U312">
        <v>8.5989741535008518E-2</v>
      </c>
    </row>
    <row r="313" spans="1:21" x14ac:dyDescent="0.25">
      <c r="A313">
        <v>8</v>
      </c>
      <c r="B313">
        <v>500</v>
      </c>
      <c r="C313">
        <v>4</v>
      </c>
      <c r="D313">
        <v>51</v>
      </c>
      <c r="E313">
        <v>56</v>
      </c>
      <c r="F313" t="s">
        <v>26</v>
      </c>
      <c r="G313" t="s">
        <v>27</v>
      </c>
      <c r="H313" t="s">
        <v>28</v>
      </c>
      <c r="I313">
        <v>35</v>
      </c>
      <c r="J313">
        <v>11.140846016432674</v>
      </c>
      <c r="K313">
        <v>6</v>
      </c>
      <c r="L313">
        <v>9</v>
      </c>
      <c r="N313" t="s">
        <v>20</v>
      </c>
      <c r="O313" t="s">
        <v>16</v>
      </c>
      <c r="P313" t="s">
        <v>303</v>
      </c>
      <c r="Q313">
        <v>10</v>
      </c>
      <c r="R313">
        <v>10</v>
      </c>
      <c r="S313">
        <v>16</v>
      </c>
      <c r="T313" t="s">
        <v>275</v>
      </c>
      <c r="U313">
        <v>5.197704975750627E-2</v>
      </c>
    </row>
    <row r="314" spans="1:21" x14ac:dyDescent="0.25">
      <c r="A314">
        <v>8</v>
      </c>
      <c r="B314">
        <v>500</v>
      </c>
      <c r="C314">
        <v>4</v>
      </c>
      <c r="D314">
        <v>52</v>
      </c>
      <c r="E314">
        <v>57</v>
      </c>
      <c r="F314" t="s">
        <v>26</v>
      </c>
      <c r="G314" t="s">
        <v>27</v>
      </c>
      <c r="H314" t="s">
        <v>28</v>
      </c>
      <c r="I314">
        <v>37.5</v>
      </c>
      <c r="J314">
        <v>11.93662073189215</v>
      </c>
      <c r="K314">
        <v>4</v>
      </c>
      <c r="L314">
        <v>13</v>
      </c>
      <c r="N314" t="s">
        <v>20</v>
      </c>
      <c r="O314" t="s">
        <v>16</v>
      </c>
      <c r="P314" t="s">
        <v>303</v>
      </c>
      <c r="Q314">
        <v>12.5</v>
      </c>
      <c r="R314">
        <v>10</v>
      </c>
      <c r="S314">
        <v>16</v>
      </c>
      <c r="T314" t="s">
        <v>275</v>
      </c>
      <c r="U314">
        <v>8.5989741535008518E-2</v>
      </c>
    </row>
    <row r="315" spans="1:21" x14ac:dyDescent="0.25">
      <c r="A315">
        <v>3</v>
      </c>
      <c r="B315">
        <v>500</v>
      </c>
      <c r="C315">
        <v>4</v>
      </c>
      <c r="D315">
        <v>51</v>
      </c>
      <c r="E315">
        <v>60</v>
      </c>
      <c r="F315" t="s">
        <v>26</v>
      </c>
      <c r="G315" t="s">
        <v>27</v>
      </c>
      <c r="H315" t="s">
        <v>28</v>
      </c>
      <c r="I315">
        <v>49</v>
      </c>
      <c r="J315">
        <v>15.597184423005743</v>
      </c>
      <c r="K315">
        <v>5</v>
      </c>
      <c r="L315">
        <v>13</v>
      </c>
      <c r="N315" t="s">
        <v>20</v>
      </c>
      <c r="O315" t="s">
        <v>16</v>
      </c>
      <c r="P315" t="s">
        <v>303</v>
      </c>
      <c r="Q315">
        <v>12.5</v>
      </c>
      <c r="R315">
        <v>15</v>
      </c>
      <c r="S315">
        <v>16</v>
      </c>
      <c r="T315" t="s">
        <v>275</v>
      </c>
      <c r="U315">
        <v>0.14053784150461127</v>
      </c>
    </row>
    <row r="316" spans="1:21" x14ac:dyDescent="0.25">
      <c r="A316">
        <v>3</v>
      </c>
      <c r="B316">
        <v>500</v>
      </c>
      <c r="C316">
        <v>4</v>
      </c>
      <c r="D316">
        <v>53</v>
      </c>
      <c r="E316">
        <v>62</v>
      </c>
      <c r="F316" t="s">
        <v>26</v>
      </c>
      <c r="G316" t="s">
        <v>27</v>
      </c>
      <c r="H316" t="s">
        <v>28</v>
      </c>
      <c r="I316">
        <v>36.5</v>
      </c>
      <c r="J316">
        <v>11.618310845708359</v>
      </c>
      <c r="K316">
        <v>6</v>
      </c>
      <c r="L316">
        <v>11</v>
      </c>
      <c r="N316" t="s">
        <v>20</v>
      </c>
      <c r="O316" t="s">
        <v>16</v>
      </c>
      <c r="P316" t="s">
        <v>303</v>
      </c>
      <c r="Q316">
        <v>10</v>
      </c>
      <c r="R316">
        <v>10</v>
      </c>
      <c r="S316">
        <v>16</v>
      </c>
      <c r="T316" t="s">
        <v>275</v>
      </c>
      <c r="U316">
        <v>6.8954684113488304E-2</v>
      </c>
    </row>
    <row r="317" spans="1:21" x14ac:dyDescent="0.25">
      <c r="A317">
        <v>6</v>
      </c>
      <c r="B317">
        <v>5</v>
      </c>
      <c r="D317">
        <v>15</v>
      </c>
      <c r="E317">
        <v>15</v>
      </c>
      <c r="F317" t="s">
        <v>26</v>
      </c>
      <c r="G317" t="s">
        <v>27</v>
      </c>
      <c r="H317" t="s">
        <v>28</v>
      </c>
      <c r="L317">
        <v>2.5</v>
      </c>
      <c r="M317" t="e">
        <v>#REF!</v>
      </c>
      <c r="O317" t="s">
        <v>16</v>
      </c>
      <c r="P317" t="s">
        <v>303</v>
      </c>
      <c r="Q317">
        <v>2.5</v>
      </c>
      <c r="R317">
        <v>5</v>
      </c>
    </row>
    <row r="318" spans="1:21" x14ac:dyDescent="0.25">
      <c r="A318">
        <v>6</v>
      </c>
      <c r="B318">
        <v>5</v>
      </c>
      <c r="D318">
        <v>16</v>
      </c>
      <c r="E318">
        <v>16</v>
      </c>
      <c r="F318" t="s">
        <v>26</v>
      </c>
      <c r="G318" t="s">
        <v>27</v>
      </c>
      <c r="H318" t="s">
        <v>28</v>
      </c>
      <c r="L318">
        <v>7</v>
      </c>
      <c r="M318" t="e">
        <v>#REF!</v>
      </c>
      <c r="O318" t="s">
        <v>16</v>
      </c>
      <c r="P318" t="s">
        <v>303</v>
      </c>
      <c r="Q318">
        <v>7.5</v>
      </c>
      <c r="R318">
        <v>5</v>
      </c>
    </row>
    <row r="319" spans="1:21" x14ac:dyDescent="0.25">
      <c r="A319">
        <v>6</v>
      </c>
      <c r="B319">
        <v>5</v>
      </c>
      <c r="D319">
        <v>17</v>
      </c>
      <c r="E319">
        <v>17</v>
      </c>
      <c r="F319" t="s">
        <v>36</v>
      </c>
      <c r="G319" t="s">
        <v>37</v>
      </c>
      <c r="H319" t="s">
        <v>38</v>
      </c>
      <c r="L319">
        <v>3</v>
      </c>
      <c r="M319" t="e">
        <v>#REF!</v>
      </c>
      <c r="O319" t="s">
        <v>16</v>
      </c>
      <c r="P319" t="s">
        <v>303</v>
      </c>
      <c r="Q319">
        <v>2.5</v>
      </c>
      <c r="R319">
        <v>5</v>
      </c>
    </row>
    <row r="320" spans="1:21" x14ac:dyDescent="0.25">
      <c r="A320">
        <v>6</v>
      </c>
      <c r="B320">
        <v>5</v>
      </c>
      <c r="D320">
        <v>18</v>
      </c>
      <c r="E320">
        <v>18</v>
      </c>
      <c r="F320" t="s">
        <v>90</v>
      </c>
      <c r="G320" t="s">
        <v>177</v>
      </c>
      <c r="H320" t="s">
        <v>178</v>
      </c>
      <c r="L320">
        <v>0.8</v>
      </c>
      <c r="M320" t="e">
        <v>#REF!</v>
      </c>
      <c r="O320" t="s">
        <v>16</v>
      </c>
      <c r="P320" t="s">
        <v>303</v>
      </c>
      <c r="Q320">
        <v>2.5</v>
      </c>
      <c r="R320">
        <v>5</v>
      </c>
    </row>
    <row r="321" spans="1:18" x14ac:dyDescent="0.25">
      <c r="A321">
        <v>6</v>
      </c>
      <c r="B321">
        <v>5</v>
      </c>
      <c r="D321">
        <v>19</v>
      </c>
      <c r="E321">
        <v>19</v>
      </c>
      <c r="F321" t="s">
        <v>90</v>
      </c>
      <c r="G321" t="s">
        <v>177</v>
      </c>
      <c r="H321" t="s">
        <v>178</v>
      </c>
      <c r="L321">
        <v>0.7</v>
      </c>
      <c r="M321" t="e">
        <v>#REF!</v>
      </c>
      <c r="O321" t="s">
        <v>16</v>
      </c>
      <c r="P321" t="s">
        <v>303</v>
      </c>
      <c r="Q321">
        <v>2.5</v>
      </c>
      <c r="R321">
        <v>5</v>
      </c>
    </row>
    <row r="322" spans="1:18" x14ac:dyDescent="0.25">
      <c r="A322">
        <v>6</v>
      </c>
      <c r="B322">
        <v>5</v>
      </c>
      <c r="D322">
        <v>20</v>
      </c>
      <c r="E322">
        <v>20</v>
      </c>
      <c r="F322" t="s">
        <v>90</v>
      </c>
      <c r="G322" t="s">
        <v>177</v>
      </c>
      <c r="H322" t="s">
        <v>178</v>
      </c>
      <c r="L322">
        <v>0.5</v>
      </c>
      <c r="M322" t="e">
        <v>#REF!</v>
      </c>
      <c r="O322" t="s">
        <v>16</v>
      </c>
      <c r="P322" t="s">
        <v>303</v>
      </c>
      <c r="Q322">
        <v>2.5</v>
      </c>
      <c r="R322">
        <v>5</v>
      </c>
    </row>
    <row r="323" spans="1:18" x14ac:dyDescent="0.25">
      <c r="A323">
        <v>6</v>
      </c>
      <c r="B323">
        <v>5</v>
      </c>
      <c r="D323">
        <v>21</v>
      </c>
      <c r="E323">
        <v>21</v>
      </c>
      <c r="F323" t="s">
        <v>90</v>
      </c>
      <c r="G323" t="s">
        <v>177</v>
      </c>
      <c r="H323" t="s">
        <v>178</v>
      </c>
      <c r="L323">
        <v>0.4</v>
      </c>
      <c r="M323" t="e">
        <v>#REF!</v>
      </c>
      <c r="O323" t="s">
        <v>16</v>
      </c>
      <c r="P323" t="s">
        <v>303</v>
      </c>
      <c r="Q323">
        <v>2.5</v>
      </c>
      <c r="R323">
        <v>5</v>
      </c>
    </row>
    <row r="324" spans="1:18" x14ac:dyDescent="0.25">
      <c r="A324">
        <v>6</v>
      </c>
      <c r="B324">
        <v>5</v>
      </c>
      <c r="D324">
        <v>22</v>
      </c>
      <c r="E324">
        <v>22</v>
      </c>
      <c r="F324" t="s">
        <v>90</v>
      </c>
      <c r="G324" t="s">
        <v>177</v>
      </c>
      <c r="H324" t="s">
        <v>178</v>
      </c>
      <c r="L324">
        <v>0.3</v>
      </c>
      <c r="M324" t="e">
        <v>#REF!</v>
      </c>
      <c r="O324" t="s">
        <v>16</v>
      </c>
      <c r="P324" t="s">
        <v>303</v>
      </c>
      <c r="Q324">
        <v>2.5</v>
      </c>
      <c r="R324">
        <v>5</v>
      </c>
    </row>
    <row r="325" spans="1:18" x14ac:dyDescent="0.25">
      <c r="A325">
        <v>2</v>
      </c>
      <c r="B325">
        <v>100</v>
      </c>
      <c r="C325">
        <v>4</v>
      </c>
      <c r="D325">
        <v>13</v>
      </c>
      <c r="E325">
        <v>13</v>
      </c>
      <c r="F325" t="s">
        <v>17</v>
      </c>
      <c r="G325" t="s">
        <v>54</v>
      </c>
      <c r="H325" t="s">
        <v>55</v>
      </c>
      <c r="I325">
        <v>16.5</v>
      </c>
      <c r="J325">
        <v>5.2521131220325463</v>
      </c>
      <c r="K325">
        <v>1.8</v>
      </c>
      <c r="L325">
        <v>7</v>
      </c>
      <c r="N325" t="s">
        <v>20</v>
      </c>
      <c r="O325" t="s">
        <v>16</v>
      </c>
      <c r="P325" t="s">
        <v>303</v>
      </c>
      <c r="Q325">
        <v>7.5</v>
      </c>
      <c r="R325">
        <v>5</v>
      </c>
    </row>
    <row r="326" spans="1:18" x14ac:dyDescent="0.25">
      <c r="A326">
        <v>6</v>
      </c>
      <c r="B326">
        <v>5</v>
      </c>
      <c r="D326">
        <v>23</v>
      </c>
      <c r="E326">
        <v>23</v>
      </c>
      <c r="F326" t="s">
        <v>17</v>
      </c>
      <c r="G326" t="s">
        <v>65</v>
      </c>
      <c r="H326" t="s">
        <v>66</v>
      </c>
      <c r="L326">
        <v>0.2</v>
      </c>
      <c r="M326" t="e">
        <v>#REF!</v>
      </c>
      <c r="O326" t="s">
        <v>16</v>
      </c>
      <c r="P326" t="s">
        <v>303</v>
      </c>
      <c r="Q326">
        <v>2.5</v>
      </c>
      <c r="R326">
        <v>5</v>
      </c>
    </row>
    <row r="327" spans="1:18" x14ac:dyDescent="0.25">
      <c r="A327">
        <v>6</v>
      </c>
      <c r="B327">
        <v>5</v>
      </c>
      <c r="D327">
        <v>24</v>
      </c>
      <c r="E327">
        <v>24</v>
      </c>
      <c r="F327" t="s">
        <v>158</v>
      </c>
      <c r="G327" t="s">
        <v>159</v>
      </c>
      <c r="H327" t="s">
        <v>160</v>
      </c>
      <c r="L327">
        <v>0.4</v>
      </c>
      <c r="M327" t="e">
        <v>#REF!</v>
      </c>
      <c r="O327" t="s">
        <v>16</v>
      </c>
      <c r="P327" t="s">
        <v>303</v>
      </c>
      <c r="Q327">
        <v>2.5</v>
      </c>
      <c r="R327">
        <v>5</v>
      </c>
    </row>
    <row r="328" spans="1:18" x14ac:dyDescent="0.25">
      <c r="A328">
        <v>6</v>
      </c>
      <c r="B328">
        <v>5</v>
      </c>
      <c r="D328">
        <v>25</v>
      </c>
      <c r="E328">
        <v>25</v>
      </c>
      <c r="F328" t="s">
        <v>158</v>
      </c>
      <c r="G328" t="s">
        <v>159</v>
      </c>
      <c r="H328" t="s">
        <v>160</v>
      </c>
      <c r="L328">
        <v>0.4</v>
      </c>
      <c r="M328" t="e">
        <v>#REF!</v>
      </c>
      <c r="O328" t="s">
        <v>16</v>
      </c>
      <c r="P328" t="s">
        <v>303</v>
      </c>
      <c r="Q328">
        <v>2.5</v>
      </c>
      <c r="R328">
        <v>5</v>
      </c>
    </row>
    <row r="329" spans="1:18" x14ac:dyDescent="0.25">
      <c r="A329">
        <v>6</v>
      </c>
      <c r="B329">
        <v>5</v>
      </c>
      <c r="D329">
        <v>26</v>
      </c>
      <c r="E329">
        <v>26</v>
      </c>
      <c r="F329" t="s">
        <v>158</v>
      </c>
      <c r="G329" t="s">
        <v>159</v>
      </c>
      <c r="H329" t="s">
        <v>160</v>
      </c>
      <c r="L329">
        <v>0.4</v>
      </c>
      <c r="M329" t="e">
        <v>#REF!</v>
      </c>
      <c r="O329" t="s">
        <v>16</v>
      </c>
      <c r="P329" t="s">
        <v>303</v>
      </c>
      <c r="Q329">
        <v>2.5</v>
      </c>
      <c r="R329">
        <v>5</v>
      </c>
    </row>
    <row r="330" spans="1:18" x14ac:dyDescent="0.25">
      <c r="A330">
        <v>6</v>
      </c>
      <c r="B330">
        <v>5</v>
      </c>
      <c r="D330">
        <v>27</v>
      </c>
      <c r="E330">
        <v>27</v>
      </c>
      <c r="F330" t="s">
        <v>158</v>
      </c>
      <c r="G330" t="s">
        <v>159</v>
      </c>
      <c r="H330" t="s">
        <v>160</v>
      </c>
      <c r="L330">
        <v>0.4</v>
      </c>
      <c r="M330" t="e">
        <v>#REF!</v>
      </c>
      <c r="O330" t="s">
        <v>16</v>
      </c>
      <c r="P330" t="s">
        <v>303</v>
      </c>
      <c r="Q330">
        <v>2.5</v>
      </c>
      <c r="R330">
        <v>5</v>
      </c>
    </row>
    <row r="331" spans="1:18" x14ac:dyDescent="0.25">
      <c r="A331">
        <v>6</v>
      </c>
      <c r="B331">
        <v>5</v>
      </c>
      <c r="D331">
        <v>28</v>
      </c>
      <c r="E331">
        <v>28</v>
      </c>
      <c r="F331" t="s">
        <v>158</v>
      </c>
      <c r="G331" t="s">
        <v>159</v>
      </c>
      <c r="H331" t="s">
        <v>160</v>
      </c>
      <c r="L331">
        <v>0.4</v>
      </c>
      <c r="M331" t="e">
        <v>#REF!</v>
      </c>
      <c r="O331" t="s">
        <v>16</v>
      </c>
      <c r="P331" t="s">
        <v>303</v>
      </c>
      <c r="Q331">
        <v>2.5</v>
      </c>
      <c r="R331">
        <v>5</v>
      </c>
    </row>
    <row r="332" spans="1:18" x14ac:dyDescent="0.25">
      <c r="A332">
        <v>6</v>
      </c>
      <c r="B332">
        <v>5</v>
      </c>
      <c r="D332">
        <v>29</v>
      </c>
      <c r="E332">
        <v>29</v>
      </c>
      <c r="F332" t="s">
        <v>158</v>
      </c>
      <c r="G332" t="s">
        <v>159</v>
      </c>
      <c r="H332" t="s">
        <v>160</v>
      </c>
      <c r="L332">
        <v>0.4</v>
      </c>
      <c r="M332" t="e">
        <v>#REF!</v>
      </c>
      <c r="O332" t="s">
        <v>16</v>
      </c>
      <c r="P332" t="s">
        <v>303</v>
      </c>
      <c r="Q332">
        <v>2.5</v>
      </c>
      <c r="R332">
        <v>5</v>
      </c>
    </row>
    <row r="333" spans="1:18" x14ac:dyDescent="0.25">
      <c r="A333">
        <v>6</v>
      </c>
      <c r="B333">
        <v>5</v>
      </c>
      <c r="D333">
        <v>30</v>
      </c>
      <c r="E333">
        <v>30</v>
      </c>
      <c r="F333" t="s">
        <v>158</v>
      </c>
      <c r="G333" t="s">
        <v>159</v>
      </c>
      <c r="H333" t="s">
        <v>160</v>
      </c>
      <c r="L333">
        <v>0.4</v>
      </c>
      <c r="M333" t="e">
        <v>#REF!</v>
      </c>
      <c r="O333" t="s">
        <v>16</v>
      </c>
      <c r="P333" t="s">
        <v>303</v>
      </c>
      <c r="Q333">
        <v>2.5</v>
      </c>
      <c r="R333">
        <v>5</v>
      </c>
    </row>
    <row r="334" spans="1:18" x14ac:dyDescent="0.25">
      <c r="A334">
        <v>6</v>
      </c>
      <c r="B334">
        <v>5</v>
      </c>
      <c r="D334">
        <v>31</v>
      </c>
      <c r="E334">
        <v>31</v>
      </c>
      <c r="F334" t="s">
        <v>158</v>
      </c>
      <c r="G334" t="s">
        <v>159</v>
      </c>
      <c r="H334" t="s">
        <v>160</v>
      </c>
      <c r="L334">
        <v>0.4</v>
      </c>
      <c r="M334" t="e">
        <v>#REF!</v>
      </c>
      <c r="O334" t="s">
        <v>16</v>
      </c>
      <c r="P334" t="s">
        <v>303</v>
      </c>
      <c r="Q334">
        <v>2.5</v>
      </c>
      <c r="R334">
        <v>5</v>
      </c>
    </row>
    <row r="335" spans="1:18" x14ac:dyDescent="0.25">
      <c r="A335">
        <v>6</v>
      </c>
      <c r="B335">
        <v>5</v>
      </c>
      <c r="D335">
        <v>32</v>
      </c>
      <c r="E335">
        <v>32</v>
      </c>
      <c r="F335" t="s">
        <v>158</v>
      </c>
      <c r="G335" t="s">
        <v>159</v>
      </c>
      <c r="H335" t="s">
        <v>160</v>
      </c>
      <c r="L335">
        <v>0.4</v>
      </c>
      <c r="M335" t="e">
        <v>#REF!</v>
      </c>
      <c r="O335" t="s">
        <v>16</v>
      </c>
      <c r="P335" t="s">
        <v>303</v>
      </c>
      <c r="Q335">
        <v>2.5</v>
      </c>
      <c r="R335">
        <v>5</v>
      </c>
    </row>
    <row r="336" spans="1:18" x14ac:dyDescent="0.25">
      <c r="A336">
        <v>6</v>
      </c>
      <c r="B336">
        <v>5</v>
      </c>
      <c r="D336">
        <v>33</v>
      </c>
      <c r="E336">
        <v>33</v>
      </c>
      <c r="F336" t="s">
        <v>158</v>
      </c>
      <c r="G336" t="s">
        <v>159</v>
      </c>
      <c r="H336" t="s">
        <v>160</v>
      </c>
      <c r="L336">
        <v>0.4</v>
      </c>
      <c r="M336" t="e">
        <v>#REF!</v>
      </c>
      <c r="O336" t="s">
        <v>16</v>
      </c>
      <c r="P336" t="s">
        <v>303</v>
      </c>
      <c r="Q336">
        <v>2.5</v>
      </c>
      <c r="R336">
        <v>5</v>
      </c>
    </row>
    <row r="337" spans="1:18" x14ac:dyDescent="0.25">
      <c r="A337">
        <v>6</v>
      </c>
      <c r="B337">
        <v>5</v>
      </c>
      <c r="D337">
        <v>34</v>
      </c>
      <c r="E337">
        <v>34</v>
      </c>
      <c r="F337" t="s">
        <v>158</v>
      </c>
      <c r="G337" t="s">
        <v>159</v>
      </c>
      <c r="H337" t="s">
        <v>160</v>
      </c>
      <c r="L337">
        <v>0.4</v>
      </c>
      <c r="M337" t="e">
        <v>#REF!</v>
      </c>
      <c r="O337" t="s">
        <v>16</v>
      </c>
      <c r="P337" t="s">
        <v>303</v>
      </c>
      <c r="Q337">
        <v>2.5</v>
      </c>
      <c r="R337">
        <v>5</v>
      </c>
    </row>
    <row r="338" spans="1:18" x14ac:dyDescent="0.25">
      <c r="A338">
        <v>6</v>
      </c>
      <c r="B338">
        <v>5</v>
      </c>
      <c r="D338">
        <v>35</v>
      </c>
      <c r="E338">
        <v>35</v>
      </c>
      <c r="F338" t="s">
        <v>158</v>
      </c>
      <c r="G338" t="s">
        <v>159</v>
      </c>
      <c r="H338" t="s">
        <v>160</v>
      </c>
      <c r="L338">
        <v>0.4</v>
      </c>
      <c r="M338" t="e">
        <v>#REF!</v>
      </c>
      <c r="O338" t="s">
        <v>16</v>
      </c>
      <c r="P338" t="s">
        <v>303</v>
      </c>
      <c r="Q338">
        <v>2.5</v>
      </c>
      <c r="R338">
        <v>5</v>
      </c>
    </row>
    <row r="339" spans="1:18" x14ac:dyDescent="0.25">
      <c r="A339">
        <v>6</v>
      </c>
      <c r="B339">
        <v>5</v>
      </c>
      <c r="D339">
        <v>36</v>
      </c>
      <c r="E339">
        <v>36</v>
      </c>
      <c r="F339" t="s">
        <v>158</v>
      </c>
      <c r="G339" t="s">
        <v>159</v>
      </c>
      <c r="H339" t="s">
        <v>160</v>
      </c>
      <c r="L339">
        <v>0.4</v>
      </c>
      <c r="M339" t="e">
        <v>#REF!</v>
      </c>
      <c r="O339" t="s">
        <v>16</v>
      </c>
      <c r="P339" t="s">
        <v>303</v>
      </c>
      <c r="Q339">
        <v>2.5</v>
      </c>
      <c r="R339">
        <v>5</v>
      </c>
    </row>
    <row r="340" spans="1:18" x14ac:dyDescent="0.25">
      <c r="A340">
        <v>3</v>
      </c>
      <c r="B340">
        <v>100</v>
      </c>
      <c r="C340">
        <v>1</v>
      </c>
      <c r="D340">
        <v>2</v>
      </c>
      <c r="E340">
        <v>2</v>
      </c>
      <c r="F340" t="s">
        <v>108</v>
      </c>
      <c r="G340" t="s">
        <v>122</v>
      </c>
      <c r="H340" t="s">
        <v>123</v>
      </c>
      <c r="I340">
        <v>21</v>
      </c>
      <c r="J340">
        <v>6.6845076098596046</v>
      </c>
      <c r="K340">
        <v>2.5</v>
      </c>
      <c r="L340">
        <v>9</v>
      </c>
      <c r="N340" t="s">
        <v>20</v>
      </c>
      <c r="O340" t="s">
        <v>16</v>
      </c>
      <c r="P340" t="s">
        <v>303</v>
      </c>
      <c r="Q340">
        <v>10</v>
      </c>
      <c r="R340">
        <v>5</v>
      </c>
    </row>
    <row r="341" spans="1:18" x14ac:dyDescent="0.25">
      <c r="A341">
        <v>8</v>
      </c>
      <c r="B341">
        <v>100</v>
      </c>
      <c r="C341">
        <v>1</v>
      </c>
      <c r="D341">
        <v>9</v>
      </c>
      <c r="E341">
        <v>9</v>
      </c>
      <c r="F341" t="s">
        <v>108</v>
      </c>
      <c r="G341" t="s">
        <v>122</v>
      </c>
      <c r="H341" t="s">
        <v>123</v>
      </c>
      <c r="I341">
        <v>16</v>
      </c>
      <c r="J341">
        <v>5.0929581789406511</v>
      </c>
      <c r="K341">
        <v>2.5</v>
      </c>
      <c r="L341">
        <v>6</v>
      </c>
      <c r="N341" t="s">
        <v>20</v>
      </c>
      <c r="O341" t="s">
        <v>16</v>
      </c>
      <c r="P341" t="s">
        <v>303</v>
      </c>
      <c r="Q341">
        <v>5</v>
      </c>
      <c r="R341">
        <v>5</v>
      </c>
    </row>
    <row r="342" spans="1:18" x14ac:dyDescent="0.25">
      <c r="A342">
        <v>6</v>
      </c>
      <c r="B342">
        <v>5</v>
      </c>
      <c r="D342">
        <v>37</v>
      </c>
      <c r="E342">
        <v>37</v>
      </c>
      <c r="F342" t="s">
        <v>158</v>
      </c>
      <c r="G342" t="s">
        <v>159</v>
      </c>
      <c r="H342" t="s">
        <v>160</v>
      </c>
      <c r="L342">
        <v>0.4</v>
      </c>
      <c r="M342" t="e">
        <v>#REF!</v>
      </c>
      <c r="O342" t="s">
        <v>16</v>
      </c>
      <c r="P342" t="s">
        <v>303</v>
      </c>
      <c r="Q342">
        <v>2.5</v>
      </c>
      <c r="R342">
        <v>5</v>
      </c>
    </row>
    <row r="343" spans="1:18" x14ac:dyDescent="0.25">
      <c r="A343">
        <v>6</v>
      </c>
      <c r="B343">
        <v>5</v>
      </c>
      <c r="D343">
        <v>38</v>
      </c>
      <c r="E343">
        <v>38</v>
      </c>
      <c r="F343" t="s">
        <v>158</v>
      </c>
      <c r="G343" t="s">
        <v>159</v>
      </c>
      <c r="H343" t="s">
        <v>160</v>
      </c>
      <c r="L343">
        <v>0.4</v>
      </c>
      <c r="M343" t="e">
        <v>#REF!</v>
      </c>
      <c r="O343" t="s">
        <v>16</v>
      </c>
      <c r="P343" t="s">
        <v>303</v>
      </c>
      <c r="Q343">
        <v>2.5</v>
      </c>
      <c r="R343">
        <v>5</v>
      </c>
    </row>
    <row r="344" spans="1:18" x14ac:dyDescent="0.25">
      <c r="A344">
        <v>6</v>
      </c>
      <c r="B344">
        <v>5</v>
      </c>
      <c r="D344">
        <v>39</v>
      </c>
      <c r="E344">
        <v>39</v>
      </c>
      <c r="F344" t="s">
        <v>158</v>
      </c>
      <c r="G344" t="s">
        <v>159</v>
      </c>
      <c r="H344" t="s">
        <v>160</v>
      </c>
      <c r="L344">
        <v>0.4</v>
      </c>
      <c r="M344" t="e">
        <v>#REF!</v>
      </c>
      <c r="O344" t="s">
        <v>16</v>
      </c>
      <c r="P344" t="s">
        <v>303</v>
      </c>
      <c r="Q344">
        <v>2.5</v>
      </c>
      <c r="R344">
        <v>5</v>
      </c>
    </row>
    <row r="345" spans="1:18" x14ac:dyDescent="0.25">
      <c r="A345">
        <v>6</v>
      </c>
      <c r="B345">
        <v>5</v>
      </c>
      <c r="D345">
        <v>40</v>
      </c>
      <c r="E345">
        <v>40</v>
      </c>
      <c r="F345" t="s">
        <v>158</v>
      </c>
      <c r="G345" t="s">
        <v>159</v>
      </c>
      <c r="H345" t="s">
        <v>160</v>
      </c>
      <c r="L345">
        <v>0.4</v>
      </c>
      <c r="M345" t="e">
        <v>#REF!</v>
      </c>
      <c r="O345" t="s">
        <v>16</v>
      </c>
      <c r="P345" t="s">
        <v>303</v>
      </c>
      <c r="Q345">
        <v>2.5</v>
      </c>
      <c r="R345">
        <v>5</v>
      </c>
    </row>
    <row r="346" spans="1:18" x14ac:dyDescent="0.25">
      <c r="A346">
        <v>6</v>
      </c>
      <c r="B346">
        <v>5</v>
      </c>
      <c r="D346">
        <v>41</v>
      </c>
      <c r="E346">
        <v>41</v>
      </c>
      <c r="F346" t="s">
        <v>158</v>
      </c>
      <c r="G346" t="s">
        <v>159</v>
      </c>
      <c r="H346" t="s">
        <v>160</v>
      </c>
      <c r="L346">
        <v>0.4</v>
      </c>
      <c r="M346" t="e">
        <v>#REF!</v>
      </c>
      <c r="O346" t="s">
        <v>16</v>
      </c>
      <c r="P346" t="s">
        <v>303</v>
      </c>
      <c r="Q346">
        <v>2.5</v>
      </c>
      <c r="R346">
        <v>5</v>
      </c>
    </row>
    <row r="347" spans="1:18" x14ac:dyDescent="0.25">
      <c r="A347">
        <v>6</v>
      </c>
      <c r="B347">
        <v>5</v>
      </c>
      <c r="D347">
        <v>42</v>
      </c>
      <c r="E347">
        <v>42</v>
      </c>
      <c r="F347" t="s">
        <v>158</v>
      </c>
      <c r="G347" t="s">
        <v>159</v>
      </c>
      <c r="H347" t="s">
        <v>160</v>
      </c>
      <c r="L347">
        <v>0.4</v>
      </c>
      <c r="M347" t="e">
        <v>#REF!</v>
      </c>
      <c r="O347" t="s">
        <v>16</v>
      </c>
      <c r="P347" t="s">
        <v>303</v>
      </c>
      <c r="Q347">
        <v>2.5</v>
      </c>
      <c r="R347">
        <v>5</v>
      </c>
    </row>
    <row r="348" spans="1:18" x14ac:dyDescent="0.25">
      <c r="A348">
        <v>6</v>
      </c>
      <c r="B348">
        <v>5</v>
      </c>
      <c r="D348">
        <v>43</v>
      </c>
      <c r="E348">
        <v>43</v>
      </c>
      <c r="F348" t="s">
        <v>158</v>
      </c>
      <c r="G348" t="s">
        <v>159</v>
      </c>
      <c r="H348" t="s">
        <v>160</v>
      </c>
      <c r="L348">
        <v>0.4</v>
      </c>
      <c r="M348" t="e">
        <v>#REF!</v>
      </c>
      <c r="O348" t="s">
        <v>16</v>
      </c>
      <c r="P348" t="s">
        <v>303</v>
      </c>
      <c r="Q348">
        <v>2.5</v>
      </c>
      <c r="R348">
        <v>5</v>
      </c>
    </row>
    <row r="349" spans="1:18" x14ac:dyDescent="0.25">
      <c r="A349">
        <v>6</v>
      </c>
      <c r="B349">
        <v>5</v>
      </c>
      <c r="D349">
        <v>44</v>
      </c>
      <c r="E349">
        <v>44</v>
      </c>
      <c r="F349" t="s">
        <v>158</v>
      </c>
      <c r="G349" t="s">
        <v>159</v>
      </c>
      <c r="H349" t="s">
        <v>160</v>
      </c>
      <c r="L349">
        <v>0.4</v>
      </c>
      <c r="M349" t="e">
        <v>#REF!</v>
      </c>
      <c r="O349" t="s">
        <v>16</v>
      </c>
      <c r="P349" t="s">
        <v>303</v>
      </c>
      <c r="Q349">
        <v>2.5</v>
      </c>
      <c r="R349">
        <v>5</v>
      </c>
    </row>
    <row r="350" spans="1:18" x14ac:dyDescent="0.25">
      <c r="A350">
        <v>6</v>
      </c>
      <c r="B350">
        <v>5</v>
      </c>
      <c r="D350">
        <v>45</v>
      </c>
      <c r="E350">
        <v>45</v>
      </c>
      <c r="F350" t="s">
        <v>158</v>
      </c>
      <c r="G350" t="s">
        <v>159</v>
      </c>
      <c r="H350" t="s">
        <v>160</v>
      </c>
      <c r="L350">
        <v>0.4</v>
      </c>
      <c r="M350" t="e">
        <v>#REF!</v>
      </c>
      <c r="O350" t="s">
        <v>16</v>
      </c>
      <c r="P350" t="s">
        <v>303</v>
      </c>
      <c r="Q350">
        <v>2.5</v>
      </c>
      <c r="R350">
        <v>5</v>
      </c>
    </row>
    <row r="351" spans="1:18" x14ac:dyDescent="0.25">
      <c r="A351">
        <v>6</v>
      </c>
      <c r="B351">
        <v>5</v>
      </c>
      <c r="D351">
        <v>46</v>
      </c>
      <c r="E351">
        <v>46</v>
      </c>
      <c r="F351" t="s">
        <v>158</v>
      </c>
      <c r="G351" t="s">
        <v>159</v>
      </c>
      <c r="H351" t="s">
        <v>160</v>
      </c>
      <c r="L351">
        <v>0.4</v>
      </c>
      <c r="M351" t="e">
        <v>#REF!</v>
      </c>
      <c r="O351" t="s">
        <v>16</v>
      </c>
      <c r="P351" t="s">
        <v>303</v>
      </c>
      <c r="Q351">
        <v>2.5</v>
      </c>
      <c r="R351">
        <v>5</v>
      </c>
    </row>
    <row r="352" spans="1:18" x14ac:dyDescent="0.25">
      <c r="A352">
        <v>6</v>
      </c>
      <c r="B352">
        <v>5</v>
      </c>
      <c r="D352">
        <v>47</v>
      </c>
      <c r="E352">
        <v>47</v>
      </c>
      <c r="F352" t="s">
        <v>158</v>
      </c>
      <c r="G352" t="s">
        <v>159</v>
      </c>
      <c r="H352" t="s">
        <v>160</v>
      </c>
      <c r="L352">
        <v>0.4</v>
      </c>
      <c r="M352" t="e">
        <v>#REF!</v>
      </c>
      <c r="O352" t="s">
        <v>16</v>
      </c>
      <c r="P352" t="s">
        <v>303</v>
      </c>
      <c r="Q352">
        <v>2.5</v>
      </c>
      <c r="R352">
        <v>5</v>
      </c>
    </row>
    <row r="353" spans="1:18" x14ac:dyDescent="0.25">
      <c r="A353">
        <v>6</v>
      </c>
      <c r="B353">
        <v>5</v>
      </c>
      <c r="D353">
        <v>48</v>
      </c>
      <c r="E353">
        <v>48</v>
      </c>
      <c r="F353" t="s">
        <v>158</v>
      </c>
      <c r="G353" t="s">
        <v>159</v>
      </c>
      <c r="H353" t="s">
        <v>160</v>
      </c>
      <c r="L353">
        <v>0.4</v>
      </c>
      <c r="M353" t="e">
        <v>#REF!</v>
      </c>
      <c r="O353" t="s">
        <v>16</v>
      </c>
      <c r="P353" t="s">
        <v>303</v>
      </c>
      <c r="Q353">
        <v>2.5</v>
      </c>
      <c r="R353">
        <v>5</v>
      </c>
    </row>
    <row r="354" spans="1:18" x14ac:dyDescent="0.25">
      <c r="A354">
        <v>6</v>
      </c>
      <c r="B354">
        <v>5</v>
      </c>
      <c r="D354">
        <v>49</v>
      </c>
      <c r="E354">
        <v>49</v>
      </c>
      <c r="F354" t="s">
        <v>158</v>
      </c>
      <c r="G354" t="s">
        <v>159</v>
      </c>
      <c r="H354" t="s">
        <v>160</v>
      </c>
      <c r="L354">
        <v>0.4</v>
      </c>
      <c r="M354" t="e">
        <v>#REF!</v>
      </c>
      <c r="O354" t="s">
        <v>16</v>
      </c>
      <c r="P354" t="s">
        <v>303</v>
      </c>
      <c r="Q354">
        <v>2.5</v>
      </c>
      <c r="R354">
        <v>5</v>
      </c>
    </row>
    <row r="355" spans="1:18" x14ac:dyDescent="0.25">
      <c r="A355">
        <v>6</v>
      </c>
      <c r="B355">
        <v>5</v>
      </c>
      <c r="D355">
        <v>50</v>
      </c>
      <c r="E355">
        <v>50</v>
      </c>
      <c r="F355" t="s">
        <v>158</v>
      </c>
      <c r="G355" t="s">
        <v>159</v>
      </c>
      <c r="H355" t="s">
        <v>160</v>
      </c>
      <c r="L355">
        <v>0.4</v>
      </c>
      <c r="M355" t="e">
        <v>#REF!</v>
      </c>
      <c r="O355" t="s">
        <v>16</v>
      </c>
      <c r="P355" t="s">
        <v>303</v>
      </c>
      <c r="Q355">
        <v>2.5</v>
      </c>
      <c r="R355">
        <v>5</v>
      </c>
    </row>
    <row r="356" spans="1:18" x14ac:dyDescent="0.25">
      <c r="A356">
        <v>6</v>
      </c>
      <c r="B356">
        <v>5</v>
      </c>
      <c r="D356">
        <v>51</v>
      </c>
      <c r="E356">
        <v>51</v>
      </c>
      <c r="F356" t="s">
        <v>158</v>
      </c>
      <c r="G356" t="s">
        <v>159</v>
      </c>
      <c r="H356" t="s">
        <v>160</v>
      </c>
      <c r="L356">
        <v>0.4</v>
      </c>
      <c r="M356" t="e">
        <v>#REF!</v>
      </c>
      <c r="O356" t="s">
        <v>16</v>
      </c>
      <c r="P356" t="s">
        <v>303</v>
      </c>
      <c r="Q356">
        <v>2.5</v>
      </c>
      <c r="R356">
        <v>5</v>
      </c>
    </row>
    <row r="357" spans="1:18" x14ac:dyDescent="0.25">
      <c r="A357">
        <v>6</v>
      </c>
      <c r="B357">
        <v>5</v>
      </c>
      <c r="D357">
        <v>52</v>
      </c>
      <c r="E357">
        <v>52</v>
      </c>
      <c r="F357" t="s">
        <v>158</v>
      </c>
      <c r="G357" t="s">
        <v>159</v>
      </c>
      <c r="H357" t="s">
        <v>160</v>
      </c>
      <c r="L357">
        <v>0.4</v>
      </c>
      <c r="M357" t="e">
        <v>#REF!</v>
      </c>
      <c r="O357" t="s">
        <v>16</v>
      </c>
      <c r="P357" t="s">
        <v>303</v>
      </c>
      <c r="Q357">
        <v>2.5</v>
      </c>
      <c r="R357">
        <v>5</v>
      </c>
    </row>
    <row r="358" spans="1:18" x14ac:dyDescent="0.25">
      <c r="A358">
        <v>6</v>
      </c>
      <c r="B358">
        <v>5</v>
      </c>
      <c r="D358">
        <v>53</v>
      </c>
      <c r="E358">
        <v>53</v>
      </c>
      <c r="F358" t="s">
        <v>158</v>
      </c>
      <c r="G358" t="s">
        <v>159</v>
      </c>
      <c r="H358" t="s">
        <v>160</v>
      </c>
      <c r="L358">
        <v>0.4</v>
      </c>
      <c r="M358" t="e">
        <v>#REF!</v>
      </c>
      <c r="O358" t="s">
        <v>16</v>
      </c>
      <c r="P358" t="s">
        <v>303</v>
      </c>
      <c r="Q358">
        <v>2.5</v>
      </c>
      <c r="R358">
        <v>5</v>
      </c>
    </row>
    <row r="359" spans="1:18" x14ac:dyDescent="0.25">
      <c r="A359">
        <v>6</v>
      </c>
      <c r="B359">
        <v>5</v>
      </c>
      <c r="D359">
        <v>54</v>
      </c>
      <c r="E359">
        <v>54</v>
      </c>
      <c r="F359" t="s">
        <v>158</v>
      </c>
      <c r="G359" t="s">
        <v>159</v>
      </c>
      <c r="H359" t="s">
        <v>160</v>
      </c>
      <c r="L359">
        <v>0.4</v>
      </c>
      <c r="M359" t="e">
        <v>#REF!</v>
      </c>
      <c r="O359" t="s">
        <v>16</v>
      </c>
      <c r="P359" t="s">
        <v>303</v>
      </c>
      <c r="Q359">
        <v>2.5</v>
      </c>
      <c r="R359">
        <v>5</v>
      </c>
    </row>
    <row r="360" spans="1:18" x14ac:dyDescent="0.25">
      <c r="A360">
        <v>6</v>
      </c>
      <c r="B360">
        <v>5</v>
      </c>
      <c r="D360">
        <v>55</v>
      </c>
      <c r="E360">
        <v>55</v>
      </c>
      <c r="F360" t="s">
        <v>179</v>
      </c>
      <c r="G360" t="s">
        <v>284</v>
      </c>
      <c r="H360" t="s">
        <v>285</v>
      </c>
      <c r="L360">
        <v>1</v>
      </c>
      <c r="M360" t="e">
        <v>#REF!</v>
      </c>
      <c r="O360" t="s">
        <v>16</v>
      </c>
      <c r="P360" t="s">
        <v>303</v>
      </c>
      <c r="Q360">
        <v>2.5</v>
      </c>
      <c r="R360">
        <v>5</v>
      </c>
    </row>
    <row r="361" spans="1:18" x14ac:dyDescent="0.25">
      <c r="A361">
        <v>6</v>
      </c>
      <c r="B361">
        <v>5</v>
      </c>
      <c r="D361">
        <v>56</v>
      </c>
      <c r="E361">
        <v>56</v>
      </c>
      <c r="F361" t="s">
        <v>43</v>
      </c>
      <c r="G361" t="s">
        <v>146</v>
      </c>
      <c r="H361" t="s">
        <v>147</v>
      </c>
      <c r="L361">
        <v>0.6</v>
      </c>
      <c r="M361" t="e">
        <v>#REF!</v>
      </c>
      <c r="O361" t="s">
        <v>16</v>
      </c>
      <c r="P361" t="s">
        <v>303</v>
      </c>
      <c r="Q361">
        <v>2.5</v>
      </c>
      <c r="R361">
        <v>5</v>
      </c>
    </row>
    <row r="362" spans="1:18" x14ac:dyDescent="0.25">
      <c r="A362">
        <v>7</v>
      </c>
      <c r="B362">
        <v>5</v>
      </c>
      <c r="D362">
        <v>1</v>
      </c>
      <c r="E362">
        <v>1</v>
      </c>
      <c r="F362" t="s">
        <v>108</v>
      </c>
      <c r="G362" t="s">
        <v>111</v>
      </c>
      <c r="H362" t="s">
        <v>112</v>
      </c>
      <c r="L362">
        <v>5</v>
      </c>
      <c r="M362" t="e">
        <v>#REF!</v>
      </c>
      <c r="O362" t="s">
        <v>209</v>
      </c>
      <c r="P362" t="s">
        <v>303</v>
      </c>
      <c r="Q362">
        <v>5</v>
      </c>
      <c r="R362">
        <v>5</v>
      </c>
    </row>
    <row r="363" spans="1:18" x14ac:dyDescent="0.25">
      <c r="A363">
        <v>7</v>
      </c>
      <c r="B363">
        <v>5</v>
      </c>
      <c r="D363">
        <v>2</v>
      </c>
      <c r="E363">
        <v>2</v>
      </c>
      <c r="F363" t="s">
        <v>129</v>
      </c>
      <c r="G363" t="s">
        <v>130</v>
      </c>
      <c r="H363" t="s">
        <v>131</v>
      </c>
      <c r="L363">
        <v>1.5</v>
      </c>
      <c r="M363" t="e">
        <v>#REF!</v>
      </c>
      <c r="O363" t="s">
        <v>16</v>
      </c>
      <c r="P363" t="s">
        <v>303</v>
      </c>
      <c r="Q363">
        <v>2.5</v>
      </c>
      <c r="R363">
        <v>5</v>
      </c>
    </row>
    <row r="364" spans="1:18" x14ac:dyDescent="0.25">
      <c r="A364">
        <v>7</v>
      </c>
      <c r="B364">
        <v>5</v>
      </c>
      <c r="D364">
        <v>3</v>
      </c>
      <c r="E364">
        <v>3</v>
      </c>
      <c r="F364" t="s">
        <v>36</v>
      </c>
      <c r="G364" t="s">
        <v>37</v>
      </c>
      <c r="H364" t="s">
        <v>38</v>
      </c>
      <c r="L364">
        <v>1.5</v>
      </c>
      <c r="M364" t="e">
        <v>#REF!</v>
      </c>
      <c r="O364" t="s">
        <v>16</v>
      </c>
      <c r="P364" t="s">
        <v>303</v>
      </c>
      <c r="Q364">
        <v>2.5</v>
      </c>
      <c r="R364">
        <v>5</v>
      </c>
    </row>
    <row r="365" spans="1:18" x14ac:dyDescent="0.25">
      <c r="A365">
        <v>7</v>
      </c>
      <c r="B365">
        <v>5</v>
      </c>
      <c r="D365">
        <v>4</v>
      </c>
      <c r="E365">
        <v>4</v>
      </c>
      <c r="F365" t="s">
        <v>36</v>
      </c>
      <c r="G365" t="s">
        <v>101</v>
      </c>
      <c r="H365" t="s">
        <v>102</v>
      </c>
      <c r="L365">
        <v>1.2</v>
      </c>
      <c r="M365" t="e">
        <v>#REF!</v>
      </c>
      <c r="O365" t="s">
        <v>16</v>
      </c>
      <c r="P365" t="s">
        <v>303</v>
      </c>
      <c r="Q365">
        <v>2.5</v>
      </c>
      <c r="R365">
        <v>5</v>
      </c>
    </row>
    <row r="366" spans="1:18" x14ac:dyDescent="0.25">
      <c r="A366">
        <v>7</v>
      </c>
      <c r="B366">
        <v>5</v>
      </c>
      <c r="D366">
        <v>5</v>
      </c>
      <c r="E366">
        <v>5</v>
      </c>
      <c r="F366" t="s">
        <v>13</v>
      </c>
      <c r="G366" t="s">
        <v>14</v>
      </c>
      <c r="H366" t="s">
        <v>15</v>
      </c>
      <c r="L366">
        <v>0.4</v>
      </c>
      <c r="M366" t="e">
        <v>#REF!</v>
      </c>
      <c r="O366" t="s">
        <v>16</v>
      </c>
      <c r="P366" t="s">
        <v>303</v>
      </c>
      <c r="Q366">
        <v>2.5</v>
      </c>
      <c r="R366">
        <v>5</v>
      </c>
    </row>
    <row r="367" spans="1:18" x14ac:dyDescent="0.25">
      <c r="A367">
        <v>7</v>
      </c>
      <c r="B367">
        <v>5</v>
      </c>
      <c r="D367">
        <v>6</v>
      </c>
      <c r="E367">
        <v>6</v>
      </c>
      <c r="F367" t="s">
        <v>13</v>
      </c>
      <c r="G367" t="s">
        <v>14</v>
      </c>
      <c r="H367" t="s">
        <v>15</v>
      </c>
      <c r="L367">
        <v>0.4</v>
      </c>
      <c r="M367" t="e">
        <v>#REF!</v>
      </c>
      <c r="O367" t="s">
        <v>16</v>
      </c>
      <c r="P367" t="s">
        <v>303</v>
      </c>
      <c r="Q367">
        <v>2.5</v>
      </c>
      <c r="R367">
        <v>5</v>
      </c>
    </row>
    <row r="368" spans="1:18" x14ac:dyDescent="0.25">
      <c r="A368">
        <v>7</v>
      </c>
      <c r="B368">
        <v>5</v>
      </c>
      <c r="D368">
        <v>7</v>
      </c>
      <c r="E368">
        <v>7</v>
      </c>
      <c r="F368" t="s">
        <v>13</v>
      </c>
      <c r="G368" t="s">
        <v>14</v>
      </c>
      <c r="H368" t="s">
        <v>15</v>
      </c>
      <c r="L368">
        <v>0.4</v>
      </c>
      <c r="M368" t="e">
        <v>#REF!</v>
      </c>
      <c r="O368" t="s">
        <v>16</v>
      </c>
      <c r="P368" t="s">
        <v>303</v>
      </c>
      <c r="Q368">
        <v>2.5</v>
      </c>
      <c r="R368">
        <v>5</v>
      </c>
    </row>
    <row r="369" spans="1:21" x14ac:dyDescent="0.25">
      <c r="A369">
        <v>7</v>
      </c>
      <c r="B369">
        <v>5</v>
      </c>
      <c r="D369">
        <v>8</v>
      </c>
      <c r="E369">
        <v>8</v>
      </c>
      <c r="F369" t="s">
        <v>13</v>
      </c>
      <c r="G369" t="s">
        <v>14</v>
      </c>
      <c r="H369" t="s">
        <v>15</v>
      </c>
      <c r="L369">
        <v>0.4</v>
      </c>
      <c r="M369" t="e">
        <v>#REF!</v>
      </c>
      <c r="O369" t="s">
        <v>16</v>
      </c>
      <c r="P369" t="s">
        <v>303</v>
      </c>
      <c r="Q369">
        <v>2.5</v>
      </c>
      <c r="R369">
        <v>5</v>
      </c>
    </row>
    <row r="370" spans="1:21" x14ac:dyDescent="0.25">
      <c r="A370">
        <v>7</v>
      </c>
      <c r="B370">
        <v>5</v>
      </c>
      <c r="D370">
        <v>9</v>
      </c>
      <c r="E370">
        <v>9</v>
      </c>
      <c r="F370" t="s">
        <v>13</v>
      </c>
      <c r="G370" t="s">
        <v>14</v>
      </c>
      <c r="H370" t="s">
        <v>15</v>
      </c>
      <c r="L370">
        <v>0.4</v>
      </c>
      <c r="M370" t="e">
        <v>#REF!</v>
      </c>
      <c r="O370" t="s">
        <v>16</v>
      </c>
      <c r="P370" t="s">
        <v>303</v>
      </c>
      <c r="Q370">
        <v>2.5</v>
      </c>
      <c r="R370">
        <v>5</v>
      </c>
    </row>
    <row r="371" spans="1:21" x14ac:dyDescent="0.25">
      <c r="A371">
        <v>7</v>
      </c>
      <c r="B371">
        <v>5</v>
      </c>
      <c r="D371">
        <v>10</v>
      </c>
      <c r="E371">
        <v>10</v>
      </c>
      <c r="F371" t="s">
        <v>13</v>
      </c>
      <c r="G371" t="s">
        <v>14</v>
      </c>
      <c r="H371" t="s">
        <v>15</v>
      </c>
      <c r="L371">
        <v>0.4</v>
      </c>
      <c r="M371" t="e">
        <v>#REF!</v>
      </c>
      <c r="O371" t="s">
        <v>16</v>
      </c>
      <c r="P371" t="s">
        <v>303</v>
      </c>
      <c r="Q371">
        <v>2.5</v>
      </c>
      <c r="R371">
        <v>5</v>
      </c>
    </row>
    <row r="372" spans="1:21" x14ac:dyDescent="0.25">
      <c r="A372">
        <v>7</v>
      </c>
      <c r="B372">
        <v>5</v>
      </c>
      <c r="D372">
        <v>11</v>
      </c>
      <c r="E372">
        <v>11</v>
      </c>
      <c r="F372" t="s">
        <v>13</v>
      </c>
      <c r="G372" t="s">
        <v>14</v>
      </c>
      <c r="H372" t="s">
        <v>15</v>
      </c>
      <c r="L372">
        <v>0.4</v>
      </c>
      <c r="M372" t="e">
        <v>#REF!</v>
      </c>
      <c r="O372" t="s">
        <v>16</v>
      </c>
      <c r="P372" t="s">
        <v>303</v>
      </c>
      <c r="Q372">
        <v>2.5</v>
      </c>
      <c r="R372">
        <v>5</v>
      </c>
    </row>
    <row r="373" spans="1:21" x14ac:dyDescent="0.25">
      <c r="A373">
        <v>7</v>
      </c>
      <c r="B373">
        <v>5</v>
      </c>
      <c r="D373">
        <v>12</v>
      </c>
      <c r="E373">
        <v>12</v>
      </c>
      <c r="F373" t="s">
        <v>13</v>
      </c>
      <c r="G373" t="s">
        <v>14</v>
      </c>
      <c r="H373" t="s">
        <v>15</v>
      </c>
      <c r="L373">
        <v>0.4</v>
      </c>
      <c r="M373" t="e">
        <v>#REF!</v>
      </c>
      <c r="O373" t="s">
        <v>16</v>
      </c>
      <c r="P373" t="s">
        <v>303</v>
      </c>
      <c r="Q373">
        <v>2.5</v>
      </c>
      <c r="R373">
        <v>5</v>
      </c>
    </row>
    <row r="374" spans="1:21" x14ac:dyDescent="0.25">
      <c r="A374">
        <v>7</v>
      </c>
      <c r="B374">
        <v>5</v>
      </c>
      <c r="D374">
        <v>13</v>
      </c>
      <c r="E374">
        <v>13</v>
      </c>
      <c r="F374" t="s">
        <v>13</v>
      </c>
      <c r="G374" t="s">
        <v>14</v>
      </c>
      <c r="H374" t="s">
        <v>15</v>
      </c>
      <c r="L374">
        <v>0.4</v>
      </c>
      <c r="M374" t="e">
        <v>#REF!</v>
      </c>
      <c r="O374" t="s">
        <v>16</v>
      </c>
      <c r="P374" t="s">
        <v>303</v>
      </c>
      <c r="Q374">
        <v>2.5</v>
      </c>
      <c r="R374">
        <v>5</v>
      </c>
    </row>
    <row r="375" spans="1:21" x14ac:dyDescent="0.25">
      <c r="A375">
        <v>7</v>
      </c>
      <c r="B375">
        <v>5</v>
      </c>
      <c r="D375">
        <v>14</v>
      </c>
      <c r="E375">
        <v>14</v>
      </c>
      <c r="F375" t="s">
        <v>13</v>
      </c>
      <c r="G375" t="s">
        <v>14</v>
      </c>
      <c r="H375" t="s">
        <v>15</v>
      </c>
      <c r="L375">
        <v>0.4</v>
      </c>
      <c r="M375" t="e">
        <v>#REF!</v>
      </c>
      <c r="O375" t="s">
        <v>16</v>
      </c>
      <c r="P375" t="s">
        <v>303</v>
      </c>
      <c r="Q375">
        <v>2.5</v>
      </c>
      <c r="R375">
        <v>5</v>
      </c>
    </row>
    <row r="376" spans="1:21" x14ac:dyDescent="0.25">
      <c r="A376">
        <v>7</v>
      </c>
      <c r="B376">
        <v>5</v>
      </c>
      <c r="D376">
        <v>15</v>
      </c>
      <c r="E376">
        <v>15</v>
      </c>
      <c r="F376" t="s">
        <v>13</v>
      </c>
      <c r="G376" t="s">
        <v>14</v>
      </c>
      <c r="H376" t="s">
        <v>15</v>
      </c>
      <c r="L376">
        <v>0.4</v>
      </c>
      <c r="M376" t="e">
        <v>#REF!</v>
      </c>
      <c r="O376" t="s">
        <v>16</v>
      </c>
      <c r="P376" t="s">
        <v>303</v>
      </c>
      <c r="Q376">
        <v>2.5</v>
      </c>
      <c r="R376">
        <v>5</v>
      </c>
    </row>
    <row r="377" spans="1:21" x14ac:dyDescent="0.25">
      <c r="A377">
        <v>7</v>
      </c>
      <c r="B377">
        <v>5</v>
      </c>
      <c r="D377">
        <v>16</v>
      </c>
      <c r="E377">
        <v>16</v>
      </c>
      <c r="F377" t="s">
        <v>13</v>
      </c>
      <c r="G377" t="s">
        <v>14</v>
      </c>
      <c r="H377" t="s">
        <v>15</v>
      </c>
      <c r="L377">
        <v>0.4</v>
      </c>
      <c r="M377" t="e">
        <v>#REF!</v>
      </c>
      <c r="O377" t="s">
        <v>16</v>
      </c>
      <c r="P377" t="s">
        <v>303</v>
      </c>
      <c r="Q377">
        <v>2.5</v>
      </c>
      <c r="R377">
        <v>5</v>
      </c>
    </row>
    <row r="378" spans="1:21" x14ac:dyDescent="0.25">
      <c r="A378">
        <v>7</v>
      </c>
      <c r="B378">
        <v>5</v>
      </c>
      <c r="D378">
        <v>17</v>
      </c>
      <c r="E378">
        <v>17</v>
      </c>
      <c r="F378" t="s">
        <v>13</v>
      </c>
      <c r="G378" t="s">
        <v>14</v>
      </c>
      <c r="H378" t="s">
        <v>15</v>
      </c>
      <c r="L378">
        <v>0.4</v>
      </c>
      <c r="M378" t="e">
        <v>#REF!</v>
      </c>
      <c r="O378" t="s">
        <v>16</v>
      </c>
      <c r="P378" t="s">
        <v>303</v>
      </c>
      <c r="Q378">
        <v>2.5</v>
      </c>
      <c r="R378">
        <v>5</v>
      </c>
    </row>
    <row r="379" spans="1:21" x14ac:dyDescent="0.25">
      <c r="A379">
        <v>7</v>
      </c>
      <c r="B379">
        <v>5</v>
      </c>
      <c r="D379">
        <v>18</v>
      </c>
      <c r="E379">
        <v>18</v>
      </c>
      <c r="F379" t="s">
        <v>33</v>
      </c>
      <c r="G379" t="s">
        <v>186</v>
      </c>
      <c r="H379" t="s">
        <v>187</v>
      </c>
      <c r="L379">
        <v>0.6</v>
      </c>
      <c r="M379" t="e">
        <v>#REF!</v>
      </c>
      <c r="O379" t="s">
        <v>16</v>
      </c>
      <c r="P379" t="s">
        <v>303</v>
      </c>
      <c r="Q379">
        <v>2.5</v>
      </c>
      <c r="R379">
        <v>5</v>
      </c>
    </row>
    <row r="380" spans="1:21" x14ac:dyDescent="0.25">
      <c r="A380">
        <v>7</v>
      </c>
      <c r="B380">
        <v>5</v>
      </c>
      <c r="D380">
        <v>19</v>
      </c>
      <c r="E380">
        <v>19</v>
      </c>
      <c r="F380" t="s">
        <v>17</v>
      </c>
      <c r="G380" t="s">
        <v>18</v>
      </c>
      <c r="H380" t="s">
        <v>19</v>
      </c>
      <c r="L380">
        <v>0.15</v>
      </c>
      <c r="M380" t="e">
        <v>#REF!</v>
      </c>
      <c r="O380" t="s">
        <v>16</v>
      </c>
      <c r="P380" t="s">
        <v>303</v>
      </c>
      <c r="Q380">
        <v>2.5</v>
      </c>
      <c r="R380">
        <v>5</v>
      </c>
    </row>
    <row r="381" spans="1:21" x14ac:dyDescent="0.25">
      <c r="A381">
        <v>7</v>
      </c>
      <c r="B381">
        <v>5</v>
      </c>
      <c r="D381">
        <v>20</v>
      </c>
      <c r="E381">
        <v>20</v>
      </c>
      <c r="F381" t="s">
        <v>23</v>
      </c>
      <c r="G381" t="s">
        <v>24</v>
      </c>
      <c r="H381" t="s">
        <v>25</v>
      </c>
      <c r="L381">
        <v>0.2</v>
      </c>
      <c r="M381" t="e">
        <v>#REF!</v>
      </c>
      <c r="O381" t="s">
        <v>16</v>
      </c>
      <c r="P381" t="s">
        <v>303</v>
      </c>
      <c r="Q381">
        <v>2.5</v>
      </c>
      <c r="R381">
        <v>5</v>
      </c>
    </row>
    <row r="382" spans="1:21" x14ac:dyDescent="0.25">
      <c r="A382">
        <v>11</v>
      </c>
      <c r="B382">
        <v>100</v>
      </c>
      <c r="C382">
        <v>4</v>
      </c>
      <c r="D382">
        <v>37</v>
      </c>
      <c r="E382">
        <v>37</v>
      </c>
      <c r="F382" t="s">
        <v>226</v>
      </c>
      <c r="G382" t="s">
        <v>227</v>
      </c>
      <c r="H382" t="s">
        <v>228</v>
      </c>
      <c r="I382">
        <v>26.5</v>
      </c>
      <c r="J382">
        <v>8.4352119838704525</v>
      </c>
      <c r="K382">
        <v>3</v>
      </c>
      <c r="L382">
        <v>7</v>
      </c>
      <c r="N382" t="s">
        <v>20</v>
      </c>
      <c r="O382" t="s">
        <v>16</v>
      </c>
      <c r="P382" t="s">
        <v>303</v>
      </c>
      <c r="Q382">
        <v>7.5</v>
      </c>
      <c r="R382">
        <v>10</v>
      </c>
    </row>
    <row r="383" spans="1:21" x14ac:dyDescent="0.25">
      <c r="A383">
        <v>3</v>
      </c>
      <c r="B383">
        <v>500</v>
      </c>
      <c r="C383">
        <v>1</v>
      </c>
      <c r="D383">
        <v>1</v>
      </c>
      <c r="E383">
        <v>1</v>
      </c>
      <c r="F383" t="s">
        <v>30</v>
      </c>
      <c r="G383" t="s">
        <v>31</v>
      </c>
      <c r="H383" t="s">
        <v>32</v>
      </c>
      <c r="I383">
        <v>38.5</v>
      </c>
      <c r="J383">
        <v>12.254930618075941</v>
      </c>
      <c r="K383">
        <v>6</v>
      </c>
      <c r="L383">
        <v>10</v>
      </c>
      <c r="N383" t="s">
        <v>20</v>
      </c>
      <c r="O383" t="s">
        <v>16</v>
      </c>
      <c r="P383" t="s">
        <v>303</v>
      </c>
      <c r="Q383">
        <v>10</v>
      </c>
      <c r="R383">
        <v>10</v>
      </c>
      <c r="S383">
        <v>12</v>
      </c>
      <c r="T383" t="s">
        <v>276</v>
      </c>
      <c r="U383">
        <v>7.3195775547621564E-2</v>
      </c>
    </row>
    <row r="384" spans="1:21" x14ac:dyDescent="0.25">
      <c r="A384">
        <v>8</v>
      </c>
      <c r="B384">
        <v>500</v>
      </c>
      <c r="C384">
        <v>1</v>
      </c>
      <c r="D384">
        <v>1</v>
      </c>
      <c r="E384">
        <v>1</v>
      </c>
      <c r="F384" t="s">
        <v>30</v>
      </c>
      <c r="G384" t="s">
        <v>31</v>
      </c>
      <c r="H384" t="s">
        <v>32</v>
      </c>
      <c r="I384">
        <v>33</v>
      </c>
      <c r="J384">
        <v>10.504226244065093</v>
      </c>
      <c r="K384">
        <v>9</v>
      </c>
      <c r="L384">
        <v>11</v>
      </c>
      <c r="N384" t="s">
        <v>20</v>
      </c>
      <c r="O384" t="s">
        <v>16</v>
      </c>
      <c r="P384" t="s">
        <v>303</v>
      </c>
      <c r="Q384">
        <v>10</v>
      </c>
      <c r="R384">
        <v>10</v>
      </c>
      <c r="S384">
        <v>12</v>
      </c>
      <c r="T384" t="s">
        <v>276</v>
      </c>
      <c r="U384">
        <v>5.992880615699217E-2</v>
      </c>
    </row>
    <row r="385" spans="1:21" x14ac:dyDescent="0.25">
      <c r="A385">
        <v>4</v>
      </c>
      <c r="B385">
        <v>100</v>
      </c>
      <c r="C385">
        <v>1</v>
      </c>
      <c r="D385">
        <v>1</v>
      </c>
      <c r="E385">
        <v>1</v>
      </c>
      <c r="F385" t="s">
        <v>30</v>
      </c>
      <c r="G385" t="s">
        <v>31</v>
      </c>
      <c r="H385" t="s">
        <v>32</v>
      </c>
      <c r="I385">
        <v>29</v>
      </c>
      <c r="J385">
        <v>9.2309866993299305</v>
      </c>
      <c r="K385">
        <v>6</v>
      </c>
      <c r="L385">
        <v>12</v>
      </c>
      <c r="N385" t="s">
        <v>20</v>
      </c>
      <c r="O385" t="s">
        <v>16</v>
      </c>
      <c r="P385" t="s">
        <v>303</v>
      </c>
      <c r="Q385">
        <v>12.5</v>
      </c>
      <c r="R385">
        <v>10</v>
      </c>
    </row>
    <row r="386" spans="1:21" x14ac:dyDescent="0.25">
      <c r="A386">
        <v>2</v>
      </c>
      <c r="B386">
        <v>500</v>
      </c>
      <c r="C386">
        <v>1</v>
      </c>
      <c r="D386">
        <v>2</v>
      </c>
      <c r="E386">
        <v>2</v>
      </c>
      <c r="F386" t="s">
        <v>30</v>
      </c>
      <c r="G386" t="s">
        <v>31</v>
      </c>
      <c r="H386" t="s">
        <v>32</v>
      </c>
      <c r="I386">
        <v>35</v>
      </c>
      <c r="J386">
        <v>11.140846016432674</v>
      </c>
      <c r="K386">
        <v>6.5</v>
      </c>
      <c r="L386">
        <v>12</v>
      </c>
      <c r="N386" t="s">
        <v>20</v>
      </c>
      <c r="O386" t="s">
        <v>16</v>
      </c>
      <c r="P386" t="s">
        <v>303</v>
      </c>
      <c r="Q386">
        <v>12.5</v>
      </c>
      <c r="R386">
        <v>10</v>
      </c>
      <c r="S386">
        <v>12</v>
      </c>
      <c r="T386" t="s">
        <v>276</v>
      </c>
      <c r="U386">
        <v>7.2985625018523723E-2</v>
      </c>
    </row>
    <row r="387" spans="1:21" x14ac:dyDescent="0.25">
      <c r="A387">
        <v>9</v>
      </c>
      <c r="B387">
        <v>500</v>
      </c>
      <c r="C387">
        <v>1</v>
      </c>
      <c r="D387">
        <v>2</v>
      </c>
      <c r="E387">
        <v>2</v>
      </c>
      <c r="F387" t="s">
        <v>30</v>
      </c>
      <c r="G387" t="s">
        <v>31</v>
      </c>
      <c r="H387" t="s">
        <v>32</v>
      </c>
      <c r="I387">
        <v>36.5</v>
      </c>
      <c r="J387">
        <v>11.618310845708359</v>
      </c>
      <c r="K387">
        <v>4</v>
      </c>
      <c r="L387">
        <v>11</v>
      </c>
      <c r="N387" t="s">
        <v>20</v>
      </c>
      <c r="O387" t="s">
        <v>16</v>
      </c>
      <c r="P387" t="s">
        <v>303</v>
      </c>
      <c r="Q387">
        <v>10</v>
      </c>
      <c r="R387">
        <v>10</v>
      </c>
      <c r="S387">
        <v>12</v>
      </c>
      <c r="T387" t="s">
        <v>276</v>
      </c>
      <c r="U387">
        <v>7.2597802746153378E-2</v>
      </c>
    </row>
    <row r="388" spans="1:21" x14ac:dyDescent="0.25">
      <c r="A388">
        <v>10</v>
      </c>
      <c r="B388">
        <v>500</v>
      </c>
      <c r="C388">
        <v>1</v>
      </c>
      <c r="D388">
        <v>2</v>
      </c>
      <c r="E388">
        <v>2</v>
      </c>
      <c r="F388" t="s">
        <v>30</v>
      </c>
      <c r="G388" t="s">
        <v>31</v>
      </c>
      <c r="H388" t="s">
        <v>32</v>
      </c>
      <c r="I388">
        <v>32.5</v>
      </c>
      <c r="J388">
        <v>10.345071300973197</v>
      </c>
      <c r="K388">
        <v>6</v>
      </c>
      <c r="L388">
        <v>10</v>
      </c>
      <c r="N388" t="s">
        <v>20</v>
      </c>
      <c r="O388" t="s">
        <v>16</v>
      </c>
      <c r="P388" t="s">
        <v>303</v>
      </c>
      <c r="Q388">
        <v>10</v>
      </c>
      <c r="R388">
        <v>10</v>
      </c>
      <c r="S388">
        <v>12</v>
      </c>
      <c r="T388" t="s">
        <v>276</v>
      </c>
      <c r="U388">
        <v>5.3028297531253217E-2</v>
      </c>
    </row>
    <row r="389" spans="1:21" x14ac:dyDescent="0.25">
      <c r="A389">
        <v>9</v>
      </c>
      <c r="B389">
        <v>100</v>
      </c>
      <c r="C389">
        <v>1</v>
      </c>
      <c r="D389">
        <v>2</v>
      </c>
      <c r="E389">
        <v>2</v>
      </c>
      <c r="F389" t="s">
        <v>30</v>
      </c>
      <c r="G389" t="s">
        <v>31</v>
      </c>
      <c r="H389" t="s">
        <v>32</v>
      </c>
      <c r="I389">
        <v>22.5</v>
      </c>
      <c r="J389">
        <v>7.1619724391352904</v>
      </c>
      <c r="K389">
        <v>7</v>
      </c>
      <c r="L389">
        <v>9</v>
      </c>
      <c r="N389" t="s">
        <v>20</v>
      </c>
      <c r="O389" t="s">
        <v>16</v>
      </c>
      <c r="P389" t="s">
        <v>303</v>
      </c>
      <c r="Q389">
        <v>10</v>
      </c>
      <c r="R389">
        <v>5</v>
      </c>
    </row>
    <row r="390" spans="1:21" x14ac:dyDescent="0.25">
      <c r="A390">
        <v>2</v>
      </c>
      <c r="B390">
        <v>500</v>
      </c>
      <c r="C390">
        <v>1</v>
      </c>
      <c r="D390">
        <v>3</v>
      </c>
      <c r="E390">
        <v>3</v>
      </c>
      <c r="F390" t="s">
        <v>30</v>
      </c>
      <c r="G390" t="s">
        <v>31</v>
      </c>
      <c r="H390" t="s">
        <v>32</v>
      </c>
      <c r="I390">
        <v>38.5</v>
      </c>
      <c r="J390">
        <v>12.254930618075941</v>
      </c>
      <c r="K390">
        <v>6</v>
      </c>
      <c r="L390">
        <v>12</v>
      </c>
      <c r="N390" t="s">
        <v>20</v>
      </c>
      <c r="O390" t="s">
        <v>16</v>
      </c>
      <c r="P390" t="s">
        <v>303</v>
      </c>
      <c r="Q390">
        <v>12.5</v>
      </c>
      <c r="R390">
        <v>10</v>
      </c>
      <c r="S390">
        <v>12</v>
      </c>
      <c r="T390" t="s">
        <v>276</v>
      </c>
      <c r="U390">
        <v>8.7495445337458511E-2</v>
      </c>
    </row>
    <row r="391" spans="1:21" x14ac:dyDescent="0.25">
      <c r="A391">
        <v>7</v>
      </c>
      <c r="B391">
        <v>500</v>
      </c>
      <c r="C391">
        <v>1</v>
      </c>
      <c r="D391">
        <v>3</v>
      </c>
      <c r="E391">
        <v>3</v>
      </c>
      <c r="F391" t="s">
        <v>30</v>
      </c>
      <c r="G391" t="s">
        <v>31</v>
      </c>
      <c r="H391" t="s">
        <v>32</v>
      </c>
      <c r="I391">
        <v>79</v>
      </c>
      <c r="J391">
        <v>25.146481008519466</v>
      </c>
      <c r="K391">
        <v>6</v>
      </c>
      <c r="L391">
        <v>14</v>
      </c>
      <c r="N391" t="s">
        <v>20</v>
      </c>
      <c r="O391" t="s">
        <v>16</v>
      </c>
      <c r="P391" t="s">
        <v>303</v>
      </c>
      <c r="Q391">
        <v>15</v>
      </c>
      <c r="R391">
        <v>25</v>
      </c>
      <c r="S391">
        <v>12</v>
      </c>
      <c r="T391" t="s">
        <v>276</v>
      </c>
      <c r="U391">
        <v>0.39938863670000313</v>
      </c>
    </row>
    <row r="392" spans="1:21" x14ac:dyDescent="0.25">
      <c r="A392">
        <v>1</v>
      </c>
      <c r="B392">
        <v>100</v>
      </c>
      <c r="C392">
        <v>1</v>
      </c>
      <c r="D392">
        <v>3</v>
      </c>
      <c r="E392">
        <v>3</v>
      </c>
      <c r="F392" t="s">
        <v>30</v>
      </c>
      <c r="G392" t="s">
        <v>31</v>
      </c>
      <c r="H392" t="s">
        <v>32</v>
      </c>
      <c r="I392">
        <v>24.5</v>
      </c>
      <c r="J392">
        <v>7.7985922115028714</v>
      </c>
      <c r="K392">
        <v>6</v>
      </c>
      <c r="L392">
        <v>8</v>
      </c>
      <c r="N392" t="s">
        <v>20</v>
      </c>
      <c r="O392" t="s">
        <v>16</v>
      </c>
      <c r="P392" t="s">
        <v>303</v>
      </c>
      <c r="Q392">
        <v>7.5</v>
      </c>
      <c r="R392">
        <v>10</v>
      </c>
    </row>
    <row r="393" spans="1:21" x14ac:dyDescent="0.25">
      <c r="A393">
        <v>2</v>
      </c>
      <c r="B393">
        <v>100</v>
      </c>
      <c r="C393">
        <v>1</v>
      </c>
      <c r="D393">
        <v>3</v>
      </c>
      <c r="E393">
        <v>3</v>
      </c>
      <c r="F393" t="s">
        <v>30</v>
      </c>
      <c r="G393" t="s">
        <v>31</v>
      </c>
      <c r="H393" t="s">
        <v>32</v>
      </c>
      <c r="I393">
        <v>19</v>
      </c>
      <c r="J393">
        <v>6.0478878374920226</v>
      </c>
      <c r="K393">
        <v>3</v>
      </c>
      <c r="L393">
        <v>6</v>
      </c>
      <c r="N393" t="s">
        <v>20</v>
      </c>
      <c r="O393" t="s">
        <v>39</v>
      </c>
      <c r="P393" t="s">
        <v>303</v>
      </c>
      <c r="Q393">
        <v>5</v>
      </c>
      <c r="R393">
        <v>5</v>
      </c>
    </row>
    <row r="394" spans="1:21" x14ac:dyDescent="0.25">
      <c r="A394">
        <v>6</v>
      </c>
      <c r="B394">
        <v>100</v>
      </c>
      <c r="C394">
        <v>1</v>
      </c>
      <c r="D394">
        <v>3</v>
      </c>
      <c r="E394">
        <v>3</v>
      </c>
      <c r="F394" t="s">
        <v>30</v>
      </c>
      <c r="G394" t="s">
        <v>31</v>
      </c>
      <c r="H394" t="s">
        <v>32</v>
      </c>
      <c r="I394">
        <v>20.5</v>
      </c>
      <c r="J394">
        <v>6.5253526667677093</v>
      </c>
      <c r="K394">
        <v>6</v>
      </c>
      <c r="L394">
        <v>10</v>
      </c>
      <c r="N394" t="s">
        <v>20</v>
      </c>
      <c r="O394" t="s">
        <v>16</v>
      </c>
      <c r="P394" t="s">
        <v>303</v>
      </c>
      <c r="Q394">
        <v>10</v>
      </c>
      <c r="R394">
        <v>5</v>
      </c>
    </row>
    <row r="395" spans="1:21" x14ac:dyDescent="0.25">
      <c r="A395">
        <v>9</v>
      </c>
      <c r="B395">
        <v>100</v>
      </c>
      <c r="C395">
        <v>1</v>
      </c>
      <c r="D395">
        <v>3</v>
      </c>
      <c r="E395">
        <v>3</v>
      </c>
      <c r="F395" t="s">
        <v>30</v>
      </c>
      <c r="G395" t="s">
        <v>31</v>
      </c>
      <c r="H395" t="s">
        <v>32</v>
      </c>
      <c r="I395">
        <v>19</v>
      </c>
      <c r="J395">
        <v>6.0478878374920226</v>
      </c>
      <c r="K395">
        <v>6</v>
      </c>
      <c r="L395">
        <v>8</v>
      </c>
      <c r="N395" t="s">
        <v>20</v>
      </c>
      <c r="O395" t="s">
        <v>16</v>
      </c>
      <c r="P395" t="s">
        <v>303</v>
      </c>
      <c r="Q395">
        <v>7.5</v>
      </c>
      <c r="R395">
        <v>5</v>
      </c>
    </row>
    <row r="396" spans="1:21" x14ac:dyDescent="0.25">
      <c r="A396">
        <v>2</v>
      </c>
      <c r="B396">
        <v>500</v>
      </c>
      <c r="C396">
        <v>1</v>
      </c>
      <c r="D396">
        <v>4</v>
      </c>
      <c r="E396">
        <v>4</v>
      </c>
      <c r="F396" t="s">
        <v>30</v>
      </c>
      <c r="G396" t="s">
        <v>31</v>
      </c>
      <c r="H396" t="s">
        <v>32</v>
      </c>
      <c r="I396">
        <v>35</v>
      </c>
      <c r="J396">
        <v>11.140846016432674</v>
      </c>
      <c r="K396">
        <v>4.5</v>
      </c>
      <c r="L396">
        <v>10</v>
      </c>
      <c r="N396" t="s">
        <v>20</v>
      </c>
      <c r="O396" t="s">
        <v>16</v>
      </c>
      <c r="P396" t="s">
        <v>303</v>
      </c>
      <c r="Q396">
        <v>10</v>
      </c>
      <c r="R396">
        <v>10</v>
      </c>
      <c r="S396">
        <v>12</v>
      </c>
      <c r="T396" t="s">
        <v>276</v>
      </c>
      <c r="U396">
        <v>6.105734311602639E-2</v>
      </c>
    </row>
    <row r="397" spans="1:21" x14ac:dyDescent="0.25">
      <c r="A397">
        <v>10</v>
      </c>
      <c r="B397">
        <v>500</v>
      </c>
      <c r="C397">
        <v>1</v>
      </c>
      <c r="D397">
        <v>4</v>
      </c>
      <c r="E397">
        <v>4</v>
      </c>
      <c r="F397" t="s">
        <v>30</v>
      </c>
      <c r="G397" t="s">
        <v>31</v>
      </c>
      <c r="H397" t="s">
        <v>32</v>
      </c>
      <c r="I397">
        <v>35.5</v>
      </c>
      <c r="J397">
        <v>11.300000959524569</v>
      </c>
      <c r="K397">
        <v>5</v>
      </c>
      <c r="L397">
        <v>10</v>
      </c>
      <c r="N397" t="s">
        <v>20</v>
      </c>
      <c r="O397" t="s">
        <v>16</v>
      </c>
      <c r="P397" t="s">
        <v>303</v>
      </c>
      <c r="Q397">
        <v>10</v>
      </c>
      <c r="R397">
        <v>10</v>
      </c>
      <c r="S397">
        <v>12</v>
      </c>
      <c r="T397" t="s">
        <v>276</v>
      </c>
      <c r="U397">
        <v>6.2727455486645323E-2</v>
      </c>
    </row>
    <row r="398" spans="1:21" x14ac:dyDescent="0.25">
      <c r="A398">
        <v>3</v>
      </c>
      <c r="B398">
        <v>100</v>
      </c>
      <c r="C398">
        <v>1</v>
      </c>
      <c r="D398">
        <v>4</v>
      </c>
      <c r="E398">
        <v>4</v>
      </c>
      <c r="F398" t="s">
        <v>30</v>
      </c>
      <c r="G398" t="s">
        <v>31</v>
      </c>
      <c r="H398" t="s">
        <v>32</v>
      </c>
      <c r="I398">
        <v>23</v>
      </c>
      <c r="J398">
        <v>7.3211273822271856</v>
      </c>
      <c r="K398">
        <v>4</v>
      </c>
      <c r="L398">
        <v>6</v>
      </c>
      <c r="N398" t="s">
        <v>20</v>
      </c>
      <c r="O398" t="s">
        <v>16</v>
      </c>
      <c r="P398" t="s">
        <v>303</v>
      </c>
      <c r="Q398">
        <v>5</v>
      </c>
      <c r="R398">
        <v>5</v>
      </c>
    </row>
    <row r="399" spans="1:21" x14ac:dyDescent="0.25">
      <c r="A399">
        <v>11</v>
      </c>
      <c r="B399">
        <v>100</v>
      </c>
      <c r="C399">
        <v>1</v>
      </c>
      <c r="D399">
        <v>4</v>
      </c>
      <c r="E399">
        <v>4</v>
      </c>
      <c r="F399" t="s">
        <v>30</v>
      </c>
      <c r="G399" t="s">
        <v>31</v>
      </c>
      <c r="H399" t="s">
        <v>32</v>
      </c>
      <c r="I399">
        <v>17.5</v>
      </c>
      <c r="J399">
        <v>5.5704230082163368</v>
      </c>
      <c r="K399">
        <v>4.5</v>
      </c>
      <c r="L399">
        <v>7</v>
      </c>
      <c r="N399" t="s">
        <v>20</v>
      </c>
      <c r="O399" t="s">
        <v>16</v>
      </c>
      <c r="P399" t="s">
        <v>303</v>
      </c>
      <c r="Q399">
        <v>7.5</v>
      </c>
      <c r="R399">
        <v>5</v>
      </c>
    </row>
    <row r="400" spans="1:21" x14ac:dyDescent="0.25">
      <c r="A400">
        <v>9</v>
      </c>
      <c r="B400">
        <v>100</v>
      </c>
      <c r="C400">
        <v>1</v>
      </c>
      <c r="D400">
        <v>5</v>
      </c>
      <c r="E400">
        <v>5</v>
      </c>
      <c r="F400" t="s">
        <v>30</v>
      </c>
      <c r="G400" t="s">
        <v>31</v>
      </c>
      <c r="H400" t="s">
        <v>32</v>
      </c>
      <c r="I400">
        <v>26</v>
      </c>
      <c r="J400">
        <v>8.2760570407785572</v>
      </c>
      <c r="K400">
        <v>6</v>
      </c>
      <c r="L400">
        <v>9</v>
      </c>
      <c r="N400" t="s">
        <v>20</v>
      </c>
      <c r="O400" t="s">
        <v>16</v>
      </c>
      <c r="P400" t="s">
        <v>303</v>
      </c>
      <c r="Q400">
        <v>10</v>
      </c>
      <c r="R400">
        <v>10</v>
      </c>
    </row>
    <row r="401" spans="1:21" x14ac:dyDescent="0.25">
      <c r="A401">
        <v>10</v>
      </c>
      <c r="B401">
        <v>100</v>
      </c>
      <c r="C401">
        <v>1</v>
      </c>
      <c r="D401">
        <v>5</v>
      </c>
      <c r="E401">
        <v>5</v>
      </c>
      <c r="F401" t="s">
        <v>30</v>
      </c>
      <c r="G401" t="s">
        <v>31</v>
      </c>
      <c r="H401" t="s">
        <v>32</v>
      </c>
      <c r="I401">
        <v>21</v>
      </c>
      <c r="J401">
        <v>6.6845076098596046</v>
      </c>
      <c r="K401">
        <v>7</v>
      </c>
      <c r="L401">
        <v>10</v>
      </c>
      <c r="N401" t="s">
        <v>20</v>
      </c>
      <c r="O401" t="s">
        <v>16</v>
      </c>
      <c r="P401" t="s">
        <v>303</v>
      </c>
      <c r="Q401">
        <v>10</v>
      </c>
      <c r="R401">
        <v>5</v>
      </c>
    </row>
    <row r="402" spans="1:21" x14ac:dyDescent="0.25">
      <c r="A402">
        <v>7</v>
      </c>
      <c r="B402">
        <v>5</v>
      </c>
      <c r="D402">
        <v>21</v>
      </c>
      <c r="E402">
        <v>21</v>
      </c>
      <c r="F402" t="s">
        <v>152</v>
      </c>
      <c r="G402" t="s">
        <v>188</v>
      </c>
      <c r="H402" t="s">
        <v>189</v>
      </c>
      <c r="L402">
        <v>1.5</v>
      </c>
      <c r="M402" t="e">
        <v>#REF!</v>
      </c>
      <c r="O402" t="s">
        <v>16</v>
      </c>
      <c r="P402" t="s">
        <v>303</v>
      </c>
      <c r="Q402">
        <v>2.5</v>
      </c>
      <c r="R402">
        <v>5</v>
      </c>
    </row>
    <row r="403" spans="1:21" x14ac:dyDescent="0.25">
      <c r="A403">
        <v>2</v>
      </c>
      <c r="B403">
        <v>500</v>
      </c>
      <c r="C403">
        <v>1</v>
      </c>
      <c r="D403">
        <v>6</v>
      </c>
      <c r="E403">
        <v>6</v>
      </c>
      <c r="F403" t="s">
        <v>30</v>
      </c>
      <c r="G403" t="s">
        <v>31</v>
      </c>
      <c r="H403" t="s">
        <v>32</v>
      </c>
      <c r="I403">
        <v>43.5</v>
      </c>
      <c r="J403">
        <v>13.846480048994895</v>
      </c>
      <c r="K403">
        <v>4</v>
      </c>
      <c r="L403">
        <v>12</v>
      </c>
      <c r="N403" t="s">
        <v>20</v>
      </c>
      <c r="O403" t="s">
        <v>16</v>
      </c>
      <c r="P403" t="s">
        <v>303</v>
      </c>
      <c r="Q403">
        <v>12.5</v>
      </c>
      <c r="R403">
        <v>15</v>
      </c>
      <c r="S403">
        <v>12</v>
      </c>
      <c r="T403" t="s">
        <v>276</v>
      </c>
      <c r="U403">
        <v>0.11037490364679946</v>
      </c>
    </row>
    <row r="404" spans="1:21" x14ac:dyDescent="0.25">
      <c r="A404">
        <v>3</v>
      </c>
      <c r="B404">
        <v>500</v>
      </c>
      <c r="C404">
        <v>1</v>
      </c>
      <c r="D404">
        <v>6</v>
      </c>
      <c r="E404">
        <v>6</v>
      </c>
      <c r="F404" t="s">
        <v>30</v>
      </c>
      <c r="G404" t="s">
        <v>31</v>
      </c>
      <c r="H404" t="s">
        <v>32</v>
      </c>
      <c r="I404">
        <v>38.5</v>
      </c>
      <c r="J404">
        <v>12.254930618075941</v>
      </c>
      <c r="K404">
        <v>7</v>
      </c>
      <c r="L404">
        <v>9</v>
      </c>
      <c r="N404" t="s">
        <v>20</v>
      </c>
      <c r="O404" t="s">
        <v>16</v>
      </c>
      <c r="P404" t="s">
        <v>303</v>
      </c>
      <c r="Q404">
        <v>10</v>
      </c>
      <c r="R404">
        <v>10</v>
      </c>
      <c r="S404">
        <v>12</v>
      </c>
      <c r="T404" t="s">
        <v>276</v>
      </c>
      <c r="U404">
        <v>6.6023785230263032E-2</v>
      </c>
    </row>
    <row r="405" spans="1:21" x14ac:dyDescent="0.25">
      <c r="A405">
        <v>6</v>
      </c>
      <c r="B405">
        <v>500</v>
      </c>
      <c r="C405">
        <v>2</v>
      </c>
      <c r="D405">
        <v>5</v>
      </c>
      <c r="E405">
        <v>6</v>
      </c>
      <c r="F405" t="s">
        <v>30</v>
      </c>
      <c r="G405" t="s">
        <v>31</v>
      </c>
      <c r="H405" t="s">
        <v>32</v>
      </c>
      <c r="I405">
        <v>35</v>
      </c>
      <c r="J405">
        <v>11.140846016432674</v>
      </c>
      <c r="K405">
        <v>4</v>
      </c>
      <c r="L405">
        <v>10</v>
      </c>
      <c r="N405" t="s">
        <v>20</v>
      </c>
      <c r="O405" t="s">
        <v>16</v>
      </c>
      <c r="P405" t="s">
        <v>303</v>
      </c>
      <c r="Q405">
        <v>10</v>
      </c>
      <c r="R405">
        <v>10</v>
      </c>
      <c r="S405">
        <v>12</v>
      </c>
      <c r="T405" t="s">
        <v>276</v>
      </c>
      <c r="U405">
        <v>6.105734311602639E-2</v>
      </c>
    </row>
    <row r="406" spans="1:21" x14ac:dyDescent="0.25">
      <c r="A406">
        <v>7</v>
      </c>
      <c r="B406">
        <v>500</v>
      </c>
      <c r="C406">
        <v>1</v>
      </c>
      <c r="D406">
        <v>5</v>
      </c>
      <c r="E406">
        <v>6</v>
      </c>
      <c r="F406" t="s">
        <v>30</v>
      </c>
      <c r="G406" t="s">
        <v>31</v>
      </c>
      <c r="H406" t="s">
        <v>32</v>
      </c>
      <c r="I406">
        <v>81</v>
      </c>
      <c r="J406">
        <v>25.783100780887047</v>
      </c>
      <c r="K406">
        <v>8</v>
      </c>
      <c r="L406">
        <v>12</v>
      </c>
      <c r="N406" t="s">
        <v>20</v>
      </c>
      <c r="O406" t="s">
        <v>16</v>
      </c>
      <c r="P406" t="s">
        <v>303</v>
      </c>
      <c r="Q406">
        <v>12.5</v>
      </c>
      <c r="R406">
        <v>25</v>
      </c>
      <c r="S406">
        <v>12</v>
      </c>
      <c r="T406" t="s">
        <v>276</v>
      </c>
      <c r="U406">
        <v>0.36018671662514573</v>
      </c>
    </row>
    <row r="407" spans="1:21" x14ac:dyDescent="0.25">
      <c r="A407">
        <v>9</v>
      </c>
      <c r="B407">
        <v>500</v>
      </c>
      <c r="C407">
        <v>1</v>
      </c>
      <c r="D407">
        <v>6</v>
      </c>
      <c r="E407">
        <v>6</v>
      </c>
      <c r="F407" t="s">
        <v>30</v>
      </c>
      <c r="G407" t="s">
        <v>31</v>
      </c>
      <c r="H407" t="s">
        <v>32</v>
      </c>
      <c r="I407">
        <v>32.5</v>
      </c>
      <c r="J407">
        <v>10.345071300973197</v>
      </c>
      <c r="K407">
        <v>4</v>
      </c>
      <c r="L407">
        <v>10</v>
      </c>
      <c r="N407" t="s">
        <v>20</v>
      </c>
      <c r="O407" t="s">
        <v>16</v>
      </c>
      <c r="P407" t="s">
        <v>303</v>
      </c>
      <c r="Q407">
        <v>10</v>
      </c>
      <c r="R407">
        <v>10</v>
      </c>
      <c r="S407">
        <v>12</v>
      </c>
      <c r="T407" t="s">
        <v>276</v>
      </c>
      <c r="U407">
        <v>5.3028297531253217E-2</v>
      </c>
    </row>
    <row r="408" spans="1:21" x14ac:dyDescent="0.25">
      <c r="A408">
        <v>10</v>
      </c>
      <c r="B408">
        <v>500</v>
      </c>
      <c r="C408">
        <v>2</v>
      </c>
      <c r="D408">
        <v>6</v>
      </c>
      <c r="E408">
        <v>6</v>
      </c>
      <c r="F408" t="s">
        <v>30</v>
      </c>
      <c r="G408" t="s">
        <v>31</v>
      </c>
      <c r="H408" t="s">
        <v>32</v>
      </c>
      <c r="I408">
        <v>32</v>
      </c>
      <c r="J408">
        <v>10.185916357881302</v>
      </c>
      <c r="K408">
        <v>5</v>
      </c>
      <c r="L408">
        <v>11</v>
      </c>
      <c r="N408" t="s">
        <v>20</v>
      </c>
      <c r="O408" t="s">
        <v>16</v>
      </c>
      <c r="P408" t="s">
        <v>303</v>
      </c>
      <c r="Q408">
        <v>10</v>
      </c>
      <c r="R408">
        <v>10</v>
      </c>
      <c r="S408">
        <v>12</v>
      </c>
      <c r="T408" t="s">
        <v>276</v>
      </c>
      <c r="U408">
        <v>5.6521172649776755E-2</v>
      </c>
    </row>
    <row r="409" spans="1:21" x14ac:dyDescent="0.25">
      <c r="A409">
        <v>5</v>
      </c>
      <c r="B409">
        <v>100</v>
      </c>
      <c r="C409">
        <v>1</v>
      </c>
      <c r="D409">
        <v>5</v>
      </c>
      <c r="E409">
        <v>6</v>
      </c>
      <c r="F409" t="s">
        <v>30</v>
      </c>
      <c r="G409" t="s">
        <v>31</v>
      </c>
      <c r="H409" t="s">
        <v>32</v>
      </c>
      <c r="I409">
        <v>20</v>
      </c>
      <c r="J409">
        <v>6.366197723675814</v>
      </c>
      <c r="K409">
        <v>3</v>
      </c>
      <c r="L409">
        <v>6</v>
      </c>
      <c r="N409" t="s">
        <v>20</v>
      </c>
      <c r="O409" t="s">
        <v>16</v>
      </c>
      <c r="P409" t="s">
        <v>303</v>
      </c>
      <c r="Q409">
        <v>5</v>
      </c>
      <c r="R409">
        <v>5</v>
      </c>
    </row>
    <row r="410" spans="1:21" x14ac:dyDescent="0.25">
      <c r="A410">
        <v>6</v>
      </c>
      <c r="B410">
        <v>100</v>
      </c>
      <c r="C410">
        <v>1</v>
      </c>
      <c r="D410">
        <v>6</v>
      </c>
      <c r="E410">
        <v>6</v>
      </c>
      <c r="F410" t="s">
        <v>30</v>
      </c>
      <c r="G410" t="s">
        <v>31</v>
      </c>
      <c r="H410" t="s">
        <v>32</v>
      </c>
      <c r="I410">
        <v>23</v>
      </c>
      <c r="J410">
        <v>7.3211273822271856</v>
      </c>
      <c r="K410">
        <v>4</v>
      </c>
      <c r="L410">
        <v>8</v>
      </c>
      <c r="N410" t="s">
        <v>20</v>
      </c>
      <c r="O410" t="s">
        <v>16</v>
      </c>
      <c r="P410" t="s">
        <v>303</v>
      </c>
      <c r="Q410">
        <v>7.5</v>
      </c>
      <c r="R410">
        <v>5</v>
      </c>
    </row>
    <row r="411" spans="1:21" x14ac:dyDescent="0.25">
      <c r="A411">
        <v>2</v>
      </c>
      <c r="B411">
        <v>500</v>
      </c>
      <c r="C411">
        <v>1</v>
      </c>
      <c r="D411">
        <v>7</v>
      </c>
      <c r="E411">
        <v>7</v>
      </c>
      <c r="F411" t="s">
        <v>30</v>
      </c>
      <c r="G411" t="s">
        <v>31</v>
      </c>
      <c r="H411" t="s">
        <v>32</v>
      </c>
      <c r="I411">
        <v>32</v>
      </c>
      <c r="J411">
        <v>10.185916357881302</v>
      </c>
      <c r="K411">
        <v>4.5</v>
      </c>
      <c r="L411">
        <v>9</v>
      </c>
      <c r="N411" t="s">
        <v>20</v>
      </c>
      <c r="O411" t="s">
        <v>16</v>
      </c>
      <c r="P411" t="s">
        <v>303</v>
      </c>
      <c r="Q411">
        <v>10</v>
      </c>
      <c r="R411">
        <v>10</v>
      </c>
      <c r="S411">
        <v>12</v>
      </c>
      <c r="T411" t="s">
        <v>276</v>
      </c>
      <c r="U411">
        <v>4.6442123120946172E-2</v>
      </c>
    </row>
    <row r="412" spans="1:21" x14ac:dyDescent="0.25">
      <c r="A412">
        <v>3</v>
      </c>
      <c r="B412">
        <v>500</v>
      </c>
      <c r="C412">
        <v>1</v>
      </c>
      <c r="D412">
        <v>7</v>
      </c>
      <c r="E412">
        <v>7</v>
      </c>
      <c r="F412" t="s">
        <v>30</v>
      </c>
      <c r="G412" t="s">
        <v>31</v>
      </c>
      <c r="H412" t="s">
        <v>32</v>
      </c>
      <c r="I412">
        <v>42</v>
      </c>
      <c r="J412">
        <v>13.369015219719209</v>
      </c>
      <c r="K412">
        <v>7</v>
      </c>
      <c r="L412">
        <v>10</v>
      </c>
      <c r="N412" t="s">
        <v>20</v>
      </c>
      <c r="O412" t="s">
        <v>16</v>
      </c>
      <c r="P412" t="s">
        <v>303</v>
      </c>
      <c r="Q412">
        <v>10</v>
      </c>
      <c r="R412">
        <v>15</v>
      </c>
      <c r="S412">
        <v>12</v>
      </c>
      <c r="T412" t="s">
        <v>276</v>
      </c>
      <c r="U412">
        <v>8.6372882353242891E-2</v>
      </c>
    </row>
    <row r="413" spans="1:21" x14ac:dyDescent="0.25">
      <c r="A413">
        <v>10</v>
      </c>
      <c r="B413">
        <v>100</v>
      </c>
      <c r="C413">
        <v>1</v>
      </c>
      <c r="D413">
        <v>7</v>
      </c>
      <c r="E413">
        <v>7</v>
      </c>
      <c r="F413" t="s">
        <v>30</v>
      </c>
      <c r="G413" t="s">
        <v>31</v>
      </c>
      <c r="H413" t="s">
        <v>32</v>
      </c>
      <c r="I413">
        <v>16</v>
      </c>
      <c r="J413">
        <v>5.0929581789406511</v>
      </c>
      <c r="K413">
        <v>6</v>
      </c>
      <c r="L413">
        <v>8</v>
      </c>
      <c r="N413" t="s">
        <v>20</v>
      </c>
      <c r="O413" t="s">
        <v>16</v>
      </c>
      <c r="P413" t="s">
        <v>303</v>
      </c>
      <c r="Q413">
        <v>7.5</v>
      </c>
      <c r="R413">
        <v>5</v>
      </c>
    </row>
    <row r="414" spans="1:21" x14ac:dyDescent="0.25">
      <c r="A414">
        <v>1</v>
      </c>
      <c r="B414">
        <v>500</v>
      </c>
      <c r="C414">
        <v>2</v>
      </c>
      <c r="D414">
        <v>7</v>
      </c>
      <c r="E414">
        <v>8</v>
      </c>
      <c r="F414" t="s">
        <v>30</v>
      </c>
      <c r="G414" t="s">
        <v>31</v>
      </c>
      <c r="H414" t="s">
        <v>32</v>
      </c>
      <c r="I414">
        <v>37</v>
      </c>
      <c r="J414">
        <v>11.777465788800255</v>
      </c>
      <c r="K414">
        <v>8</v>
      </c>
      <c r="L414">
        <v>11</v>
      </c>
      <c r="N414" t="s">
        <v>20</v>
      </c>
      <c r="O414" t="s">
        <v>16</v>
      </c>
      <c r="P414" t="s">
        <v>303</v>
      </c>
      <c r="Q414">
        <v>10</v>
      </c>
      <c r="R414">
        <v>10</v>
      </c>
      <c r="S414">
        <v>12</v>
      </c>
      <c r="T414" t="s">
        <v>276</v>
      </c>
      <c r="U414">
        <v>7.4501475185697733E-2</v>
      </c>
    </row>
    <row r="415" spans="1:21" x14ac:dyDescent="0.25">
      <c r="A415">
        <v>3</v>
      </c>
      <c r="B415">
        <v>500</v>
      </c>
      <c r="C415">
        <v>1</v>
      </c>
      <c r="D415">
        <v>8</v>
      </c>
      <c r="E415">
        <v>8</v>
      </c>
      <c r="F415" t="s">
        <v>30</v>
      </c>
      <c r="G415" t="s">
        <v>31</v>
      </c>
      <c r="H415" t="s">
        <v>32</v>
      </c>
      <c r="I415">
        <v>41.5</v>
      </c>
      <c r="J415">
        <v>13.209860276627314</v>
      </c>
      <c r="K415">
        <v>8</v>
      </c>
      <c r="L415">
        <v>10</v>
      </c>
      <c r="N415" t="s">
        <v>20</v>
      </c>
      <c r="O415" t="s">
        <v>16</v>
      </c>
      <c r="P415" t="s">
        <v>303</v>
      </c>
      <c r="Q415">
        <v>10</v>
      </c>
      <c r="R415">
        <v>15</v>
      </c>
      <c r="S415">
        <v>12</v>
      </c>
      <c r="T415" t="s">
        <v>276</v>
      </c>
      <c r="U415">
        <v>8.442718834039023E-2</v>
      </c>
    </row>
    <row r="416" spans="1:21" x14ac:dyDescent="0.25">
      <c r="A416">
        <v>10</v>
      </c>
      <c r="B416">
        <v>500</v>
      </c>
      <c r="C416">
        <v>2</v>
      </c>
      <c r="D416">
        <v>8</v>
      </c>
      <c r="E416">
        <v>8</v>
      </c>
      <c r="F416" t="s">
        <v>30</v>
      </c>
      <c r="G416" t="s">
        <v>31</v>
      </c>
      <c r="H416" t="s">
        <v>32</v>
      </c>
      <c r="I416">
        <v>36</v>
      </c>
      <c r="J416">
        <v>11.459155902616464</v>
      </c>
      <c r="K416">
        <v>6.5</v>
      </c>
      <c r="L416">
        <v>10</v>
      </c>
      <c r="N416" t="s">
        <v>20</v>
      </c>
      <c r="O416" t="s">
        <v>16</v>
      </c>
      <c r="P416" t="s">
        <v>303</v>
      </c>
      <c r="Q416">
        <v>10</v>
      </c>
      <c r="R416">
        <v>10</v>
      </c>
      <c r="S416">
        <v>12</v>
      </c>
      <c r="T416" t="s">
        <v>276</v>
      </c>
      <c r="U416">
        <v>6.4418932145957952E-2</v>
      </c>
    </row>
    <row r="417" spans="1:21" x14ac:dyDescent="0.25">
      <c r="A417">
        <v>7</v>
      </c>
      <c r="B417">
        <v>100</v>
      </c>
      <c r="C417">
        <v>3</v>
      </c>
      <c r="D417">
        <v>8</v>
      </c>
      <c r="E417">
        <v>8</v>
      </c>
      <c r="F417" t="s">
        <v>30</v>
      </c>
      <c r="G417" t="s">
        <v>31</v>
      </c>
      <c r="H417" t="s">
        <v>32</v>
      </c>
      <c r="I417">
        <v>25</v>
      </c>
      <c r="J417">
        <v>7.9577471545947667</v>
      </c>
      <c r="K417">
        <v>7</v>
      </c>
      <c r="L417">
        <v>11</v>
      </c>
      <c r="N417" t="s">
        <v>20</v>
      </c>
      <c r="O417" t="s">
        <v>16</v>
      </c>
      <c r="P417" t="s">
        <v>303</v>
      </c>
      <c r="Q417">
        <v>10</v>
      </c>
      <c r="R417">
        <v>10</v>
      </c>
    </row>
    <row r="418" spans="1:21" x14ac:dyDescent="0.25">
      <c r="A418">
        <v>10</v>
      </c>
      <c r="B418">
        <v>100</v>
      </c>
      <c r="C418">
        <v>1</v>
      </c>
      <c r="D418">
        <v>8</v>
      </c>
      <c r="E418">
        <v>8</v>
      </c>
      <c r="F418" t="s">
        <v>30</v>
      </c>
      <c r="G418" t="s">
        <v>31</v>
      </c>
      <c r="H418" t="s">
        <v>32</v>
      </c>
      <c r="I418">
        <v>17.5</v>
      </c>
      <c r="J418">
        <v>5.5704230082163368</v>
      </c>
      <c r="K418">
        <v>7</v>
      </c>
      <c r="L418">
        <v>8</v>
      </c>
      <c r="N418" t="s">
        <v>20</v>
      </c>
      <c r="O418" t="s">
        <v>16</v>
      </c>
      <c r="P418" t="s">
        <v>303</v>
      </c>
      <c r="Q418">
        <v>7.5</v>
      </c>
      <c r="R418">
        <v>5</v>
      </c>
    </row>
    <row r="419" spans="1:21" x14ac:dyDescent="0.25">
      <c r="A419">
        <v>11</v>
      </c>
      <c r="B419">
        <v>100</v>
      </c>
      <c r="C419">
        <v>1</v>
      </c>
      <c r="D419">
        <v>8</v>
      </c>
      <c r="E419">
        <v>8</v>
      </c>
      <c r="F419" t="s">
        <v>30</v>
      </c>
      <c r="G419" t="s">
        <v>31</v>
      </c>
      <c r="H419" t="s">
        <v>32</v>
      </c>
      <c r="I419">
        <v>19.5</v>
      </c>
      <c r="J419">
        <v>6.2070427805839179</v>
      </c>
      <c r="K419">
        <v>7</v>
      </c>
      <c r="L419">
        <v>8.5</v>
      </c>
      <c r="N419" t="s">
        <v>20</v>
      </c>
      <c r="O419" t="s">
        <v>16</v>
      </c>
      <c r="P419" t="s">
        <v>303</v>
      </c>
      <c r="Q419">
        <v>7.5</v>
      </c>
      <c r="R419">
        <v>5</v>
      </c>
    </row>
    <row r="420" spans="1:21" x14ac:dyDescent="0.25">
      <c r="A420">
        <v>1</v>
      </c>
      <c r="B420">
        <v>500</v>
      </c>
      <c r="C420">
        <v>2</v>
      </c>
      <c r="D420">
        <v>8</v>
      </c>
      <c r="E420">
        <v>9</v>
      </c>
      <c r="F420" t="s">
        <v>30</v>
      </c>
      <c r="G420" t="s">
        <v>31</v>
      </c>
      <c r="H420" t="s">
        <v>32</v>
      </c>
      <c r="I420">
        <v>33</v>
      </c>
      <c r="J420">
        <v>10.504226244065093</v>
      </c>
      <c r="K420">
        <v>4</v>
      </c>
      <c r="L420">
        <v>8</v>
      </c>
      <c r="N420" t="s">
        <v>20</v>
      </c>
      <c r="O420" t="s">
        <v>16</v>
      </c>
      <c r="P420" t="s">
        <v>303</v>
      </c>
      <c r="Q420">
        <v>7.5</v>
      </c>
      <c r="R420">
        <v>10</v>
      </c>
      <c r="S420">
        <v>12</v>
      </c>
      <c r="T420" t="s">
        <v>276</v>
      </c>
      <c r="U420">
        <v>4.3880391105574526E-2</v>
      </c>
    </row>
    <row r="421" spans="1:21" x14ac:dyDescent="0.25">
      <c r="A421">
        <v>2</v>
      </c>
      <c r="B421">
        <v>500</v>
      </c>
      <c r="C421">
        <v>1</v>
      </c>
      <c r="D421">
        <v>9</v>
      </c>
      <c r="E421">
        <v>9</v>
      </c>
      <c r="F421" t="s">
        <v>30</v>
      </c>
      <c r="G421" t="s">
        <v>31</v>
      </c>
      <c r="H421" t="s">
        <v>32</v>
      </c>
      <c r="I421">
        <v>37</v>
      </c>
      <c r="J421">
        <v>11.777465788800255</v>
      </c>
      <c r="K421">
        <v>8</v>
      </c>
      <c r="L421">
        <v>12</v>
      </c>
      <c r="N421" t="s">
        <v>20</v>
      </c>
      <c r="O421" t="s">
        <v>16</v>
      </c>
      <c r="P421" t="s">
        <v>303</v>
      </c>
      <c r="Q421">
        <v>12.5</v>
      </c>
      <c r="R421">
        <v>10</v>
      </c>
      <c r="S421">
        <v>12</v>
      </c>
      <c r="T421" t="s">
        <v>276</v>
      </c>
      <c r="U421">
        <v>8.1124269783116265E-2</v>
      </c>
    </row>
    <row r="422" spans="1:21" x14ac:dyDescent="0.25">
      <c r="A422">
        <v>1</v>
      </c>
      <c r="B422">
        <v>100</v>
      </c>
      <c r="C422">
        <v>2</v>
      </c>
      <c r="D422">
        <v>9</v>
      </c>
      <c r="E422">
        <v>9</v>
      </c>
      <c r="F422" t="s">
        <v>30</v>
      </c>
      <c r="G422" t="s">
        <v>31</v>
      </c>
      <c r="H422" t="s">
        <v>32</v>
      </c>
      <c r="I422">
        <v>16</v>
      </c>
      <c r="J422">
        <v>5.0929581789406511</v>
      </c>
      <c r="K422">
        <v>2.5</v>
      </c>
      <c r="L422">
        <v>7</v>
      </c>
      <c r="N422" t="s">
        <v>20</v>
      </c>
      <c r="O422" t="s">
        <v>16</v>
      </c>
      <c r="P422" t="s">
        <v>303</v>
      </c>
      <c r="Q422">
        <v>7.5</v>
      </c>
      <c r="R422">
        <v>5</v>
      </c>
    </row>
    <row r="423" spans="1:21" x14ac:dyDescent="0.25">
      <c r="A423">
        <v>9</v>
      </c>
      <c r="B423">
        <v>100</v>
      </c>
      <c r="C423">
        <v>1</v>
      </c>
      <c r="D423">
        <v>9</v>
      </c>
      <c r="E423">
        <v>9</v>
      </c>
      <c r="F423" t="s">
        <v>30</v>
      </c>
      <c r="G423" t="s">
        <v>31</v>
      </c>
      <c r="H423" t="s">
        <v>32</v>
      </c>
      <c r="I423">
        <v>18</v>
      </c>
      <c r="J423">
        <v>5.7295779513082321</v>
      </c>
      <c r="K423">
        <v>6</v>
      </c>
      <c r="L423">
        <v>8</v>
      </c>
      <c r="N423" t="s">
        <v>20</v>
      </c>
      <c r="O423" t="s">
        <v>16</v>
      </c>
      <c r="P423" t="s">
        <v>303</v>
      </c>
      <c r="Q423">
        <v>7.5</v>
      </c>
      <c r="R423">
        <v>5</v>
      </c>
    </row>
    <row r="424" spans="1:21" x14ac:dyDescent="0.25">
      <c r="A424">
        <v>11</v>
      </c>
      <c r="B424">
        <v>100</v>
      </c>
      <c r="C424">
        <v>1</v>
      </c>
      <c r="D424">
        <v>9</v>
      </c>
      <c r="E424">
        <v>9</v>
      </c>
      <c r="F424" t="s">
        <v>30</v>
      </c>
      <c r="G424" t="s">
        <v>31</v>
      </c>
      <c r="H424" t="s">
        <v>32</v>
      </c>
      <c r="I424">
        <v>24</v>
      </c>
      <c r="J424">
        <v>7.6394372684109761</v>
      </c>
      <c r="K424">
        <v>7</v>
      </c>
      <c r="L424">
        <v>8.5</v>
      </c>
      <c r="N424" t="s">
        <v>20</v>
      </c>
      <c r="O424" t="s">
        <v>16</v>
      </c>
      <c r="P424" t="s">
        <v>303</v>
      </c>
      <c r="Q424">
        <v>7.5</v>
      </c>
      <c r="R424">
        <v>10</v>
      </c>
    </row>
    <row r="425" spans="1:21" x14ac:dyDescent="0.25">
      <c r="A425">
        <v>5</v>
      </c>
      <c r="B425">
        <v>500</v>
      </c>
      <c r="C425">
        <v>1</v>
      </c>
      <c r="D425">
        <v>10</v>
      </c>
      <c r="E425">
        <v>10</v>
      </c>
      <c r="F425" t="s">
        <v>30</v>
      </c>
      <c r="G425" t="s">
        <v>31</v>
      </c>
      <c r="H425" t="s">
        <v>32</v>
      </c>
      <c r="I425">
        <v>36.5</v>
      </c>
      <c r="J425">
        <v>11.618310845708359</v>
      </c>
      <c r="K425">
        <v>5</v>
      </c>
      <c r="L425">
        <v>8</v>
      </c>
      <c r="N425" t="s">
        <v>20</v>
      </c>
      <c r="O425" t="s">
        <v>16</v>
      </c>
      <c r="P425" t="s">
        <v>303</v>
      </c>
      <c r="Q425">
        <v>7.5</v>
      </c>
      <c r="R425">
        <v>10</v>
      </c>
      <c r="S425">
        <v>12</v>
      </c>
      <c r="T425" t="s">
        <v>276</v>
      </c>
      <c r="U425">
        <v>5.315674017535691E-2</v>
      </c>
    </row>
    <row r="426" spans="1:21" x14ac:dyDescent="0.25">
      <c r="A426">
        <v>11</v>
      </c>
      <c r="B426">
        <v>100</v>
      </c>
      <c r="C426">
        <v>1</v>
      </c>
      <c r="D426">
        <v>10</v>
      </c>
      <c r="E426">
        <v>10</v>
      </c>
      <c r="F426" t="s">
        <v>30</v>
      </c>
      <c r="G426" t="s">
        <v>31</v>
      </c>
      <c r="H426" t="s">
        <v>32</v>
      </c>
      <c r="I426">
        <v>18.5</v>
      </c>
      <c r="J426">
        <v>5.8887328944001274</v>
      </c>
      <c r="K426">
        <v>7</v>
      </c>
      <c r="L426">
        <v>9</v>
      </c>
      <c r="N426" t="s">
        <v>20</v>
      </c>
      <c r="O426" t="s">
        <v>16</v>
      </c>
      <c r="P426" t="s">
        <v>303</v>
      </c>
      <c r="Q426">
        <v>10</v>
      </c>
      <c r="R426">
        <v>5</v>
      </c>
    </row>
    <row r="427" spans="1:21" x14ac:dyDescent="0.25">
      <c r="A427">
        <v>3</v>
      </c>
      <c r="B427">
        <v>500</v>
      </c>
      <c r="C427">
        <v>1</v>
      </c>
      <c r="D427">
        <v>11</v>
      </c>
      <c r="E427">
        <v>11</v>
      </c>
      <c r="F427" t="s">
        <v>30</v>
      </c>
      <c r="G427" t="s">
        <v>31</v>
      </c>
      <c r="H427" t="s">
        <v>32</v>
      </c>
      <c r="I427">
        <v>34</v>
      </c>
      <c r="J427">
        <v>10.822536130248883</v>
      </c>
      <c r="K427">
        <v>7</v>
      </c>
      <c r="L427">
        <v>11</v>
      </c>
      <c r="N427" t="s">
        <v>20</v>
      </c>
      <c r="O427" t="s">
        <v>16</v>
      </c>
      <c r="P427" t="s">
        <v>303</v>
      </c>
      <c r="Q427">
        <v>10</v>
      </c>
      <c r="R427">
        <v>10</v>
      </c>
      <c r="S427">
        <v>12</v>
      </c>
      <c r="T427" t="s">
        <v>276</v>
      </c>
      <c r="U427">
        <v>6.3430923605390391E-2</v>
      </c>
    </row>
    <row r="428" spans="1:21" x14ac:dyDescent="0.25">
      <c r="A428">
        <v>11</v>
      </c>
      <c r="B428">
        <v>500</v>
      </c>
      <c r="C428">
        <v>3</v>
      </c>
      <c r="D428">
        <v>10</v>
      </c>
      <c r="E428">
        <v>11</v>
      </c>
      <c r="F428" t="s">
        <v>30</v>
      </c>
      <c r="G428" t="s">
        <v>31</v>
      </c>
      <c r="H428" t="s">
        <v>32</v>
      </c>
      <c r="I428">
        <v>33.5</v>
      </c>
      <c r="J428">
        <v>10.663381187156988</v>
      </c>
      <c r="K428">
        <v>4</v>
      </c>
      <c r="L428">
        <v>9</v>
      </c>
      <c r="N428" t="s">
        <v>20</v>
      </c>
      <c r="O428" t="s">
        <v>16</v>
      </c>
      <c r="P428" t="s">
        <v>303</v>
      </c>
      <c r="Q428">
        <v>10</v>
      </c>
      <c r="R428">
        <v>10</v>
      </c>
      <c r="S428">
        <v>12</v>
      </c>
      <c r="T428" t="s">
        <v>276</v>
      </c>
      <c r="U428">
        <v>5.0671209523614237E-2</v>
      </c>
    </row>
    <row r="429" spans="1:21" x14ac:dyDescent="0.25">
      <c r="A429">
        <v>1</v>
      </c>
      <c r="B429">
        <v>100</v>
      </c>
      <c r="C429">
        <v>2</v>
      </c>
      <c r="D429">
        <v>11</v>
      </c>
      <c r="E429">
        <v>11</v>
      </c>
      <c r="F429" t="s">
        <v>30</v>
      </c>
      <c r="G429" t="s">
        <v>31</v>
      </c>
      <c r="H429" t="s">
        <v>32</v>
      </c>
      <c r="I429">
        <v>17</v>
      </c>
      <c r="J429">
        <v>5.4112680651244416</v>
      </c>
      <c r="K429">
        <v>4</v>
      </c>
      <c r="L429">
        <v>7</v>
      </c>
      <c r="N429" t="s">
        <v>20</v>
      </c>
      <c r="O429" t="s">
        <v>16</v>
      </c>
      <c r="P429" t="s">
        <v>303</v>
      </c>
      <c r="Q429">
        <v>7.5</v>
      </c>
      <c r="R429">
        <v>5</v>
      </c>
    </row>
    <row r="430" spans="1:21" x14ac:dyDescent="0.25">
      <c r="A430">
        <v>4</v>
      </c>
      <c r="B430">
        <v>100</v>
      </c>
      <c r="C430">
        <v>2</v>
      </c>
      <c r="D430">
        <v>10</v>
      </c>
      <c r="E430">
        <v>11</v>
      </c>
      <c r="F430" t="s">
        <v>30</v>
      </c>
      <c r="G430" t="s">
        <v>31</v>
      </c>
      <c r="H430" t="s">
        <v>32</v>
      </c>
      <c r="I430">
        <v>27</v>
      </c>
      <c r="J430">
        <v>8.5943669269623477</v>
      </c>
      <c r="K430">
        <v>9</v>
      </c>
      <c r="L430">
        <v>13</v>
      </c>
      <c r="N430" t="s">
        <v>20</v>
      </c>
      <c r="O430" t="s">
        <v>16</v>
      </c>
      <c r="P430" t="s">
        <v>303</v>
      </c>
      <c r="Q430">
        <v>12.5</v>
      </c>
      <c r="R430">
        <v>10</v>
      </c>
    </row>
    <row r="431" spans="1:21" x14ac:dyDescent="0.25">
      <c r="A431">
        <v>8</v>
      </c>
      <c r="B431">
        <v>100</v>
      </c>
      <c r="C431">
        <v>1</v>
      </c>
      <c r="D431">
        <v>11</v>
      </c>
      <c r="E431">
        <v>11</v>
      </c>
      <c r="F431" t="s">
        <v>30</v>
      </c>
      <c r="G431" t="s">
        <v>31</v>
      </c>
      <c r="H431" t="s">
        <v>32</v>
      </c>
      <c r="I431">
        <v>17.5</v>
      </c>
      <c r="J431">
        <v>5.5704230082163368</v>
      </c>
      <c r="K431">
        <v>3</v>
      </c>
      <c r="L431">
        <v>8</v>
      </c>
      <c r="N431" t="s">
        <v>20</v>
      </c>
      <c r="O431" t="s">
        <v>16</v>
      </c>
      <c r="P431" t="s">
        <v>303</v>
      </c>
      <c r="Q431">
        <v>7.5</v>
      </c>
      <c r="R431">
        <v>5</v>
      </c>
    </row>
    <row r="432" spans="1:21" x14ac:dyDescent="0.25">
      <c r="A432">
        <v>11</v>
      </c>
      <c r="B432">
        <v>100</v>
      </c>
      <c r="C432">
        <v>1</v>
      </c>
      <c r="D432">
        <v>11</v>
      </c>
      <c r="E432">
        <v>11</v>
      </c>
      <c r="F432" t="s">
        <v>30</v>
      </c>
      <c r="G432" t="s">
        <v>31</v>
      </c>
      <c r="H432" t="s">
        <v>32</v>
      </c>
      <c r="I432">
        <v>23</v>
      </c>
      <c r="J432">
        <v>7.3211273822271856</v>
      </c>
      <c r="K432">
        <v>6</v>
      </c>
      <c r="L432">
        <v>10</v>
      </c>
      <c r="N432" t="s">
        <v>20</v>
      </c>
      <c r="O432" t="s">
        <v>16</v>
      </c>
      <c r="P432" t="s">
        <v>303</v>
      </c>
      <c r="Q432">
        <v>10</v>
      </c>
      <c r="R432">
        <v>5</v>
      </c>
    </row>
    <row r="433" spans="1:21" x14ac:dyDescent="0.25">
      <c r="A433">
        <v>2</v>
      </c>
      <c r="B433">
        <v>500</v>
      </c>
      <c r="C433">
        <v>1</v>
      </c>
      <c r="D433">
        <v>12</v>
      </c>
      <c r="E433">
        <v>12</v>
      </c>
      <c r="F433" t="s">
        <v>30</v>
      </c>
      <c r="G433" t="s">
        <v>31</v>
      </c>
      <c r="H433" t="s">
        <v>32</v>
      </c>
      <c r="I433">
        <v>56</v>
      </c>
      <c r="J433">
        <v>17.82535362629228</v>
      </c>
      <c r="K433">
        <v>6.5</v>
      </c>
      <c r="L433">
        <v>13</v>
      </c>
      <c r="N433" t="s">
        <v>20</v>
      </c>
      <c r="O433" t="s">
        <v>16</v>
      </c>
      <c r="P433" t="s">
        <v>303</v>
      </c>
      <c r="Q433">
        <v>12.5</v>
      </c>
      <c r="R433">
        <v>20</v>
      </c>
      <c r="S433">
        <v>12</v>
      </c>
      <c r="T433" t="s">
        <v>276</v>
      </c>
      <c r="U433">
        <v>0.19301546626322191</v>
      </c>
    </row>
    <row r="434" spans="1:21" x14ac:dyDescent="0.25">
      <c r="A434">
        <v>5</v>
      </c>
      <c r="B434">
        <v>100</v>
      </c>
      <c r="C434">
        <v>1</v>
      </c>
      <c r="D434">
        <v>11</v>
      </c>
      <c r="E434">
        <v>12</v>
      </c>
      <c r="F434" t="s">
        <v>30</v>
      </c>
      <c r="G434" t="s">
        <v>31</v>
      </c>
      <c r="H434" t="s">
        <v>32</v>
      </c>
      <c r="I434">
        <v>22.5</v>
      </c>
      <c r="J434">
        <v>7.1619724391352904</v>
      </c>
      <c r="K434">
        <v>3.5</v>
      </c>
      <c r="L434">
        <v>7</v>
      </c>
      <c r="N434" t="s">
        <v>20</v>
      </c>
      <c r="O434" t="s">
        <v>16</v>
      </c>
      <c r="P434" t="s">
        <v>303</v>
      </c>
      <c r="Q434">
        <v>7.5</v>
      </c>
      <c r="R434">
        <v>5</v>
      </c>
    </row>
    <row r="435" spans="1:21" x14ac:dyDescent="0.25">
      <c r="A435">
        <v>11</v>
      </c>
      <c r="B435">
        <v>100</v>
      </c>
      <c r="C435">
        <v>1</v>
      </c>
      <c r="D435">
        <v>12</v>
      </c>
      <c r="E435">
        <v>12</v>
      </c>
      <c r="F435" t="s">
        <v>30</v>
      </c>
      <c r="G435" t="s">
        <v>31</v>
      </c>
      <c r="H435" t="s">
        <v>32</v>
      </c>
      <c r="I435">
        <v>18</v>
      </c>
      <c r="J435">
        <v>5.7295779513082321</v>
      </c>
      <c r="K435">
        <v>7</v>
      </c>
      <c r="L435">
        <v>9</v>
      </c>
      <c r="N435" t="s">
        <v>20</v>
      </c>
      <c r="O435" t="s">
        <v>16</v>
      </c>
      <c r="P435" t="s">
        <v>303</v>
      </c>
      <c r="Q435">
        <v>10</v>
      </c>
      <c r="R435">
        <v>5</v>
      </c>
    </row>
    <row r="436" spans="1:21" x14ac:dyDescent="0.25">
      <c r="A436">
        <v>6</v>
      </c>
      <c r="B436">
        <v>500</v>
      </c>
      <c r="C436">
        <v>4</v>
      </c>
      <c r="D436">
        <v>12</v>
      </c>
      <c r="E436">
        <v>13</v>
      </c>
      <c r="F436" t="s">
        <v>30</v>
      </c>
      <c r="G436" t="s">
        <v>31</v>
      </c>
      <c r="H436" t="s">
        <v>32</v>
      </c>
      <c r="I436">
        <v>33</v>
      </c>
      <c r="J436">
        <v>10.504226244065093</v>
      </c>
      <c r="K436">
        <v>6</v>
      </c>
      <c r="L436">
        <v>10</v>
      </c>
      <c r="N436" t="s">
        <v>20</v>
      </c>
      <c r="O436" t="s">
        <v>16</v>
      </c>
      <c r="P436" t="s">
        <v>303</v>
      </c>
      <c r="Q436">
        <v>10</v>
      </c>
      <c r="R436">
        <v>10</v>
      </c>
      <c r="S436">
        <v>12</v>
      </c>
      <c r="T436" t="s">
        <v>276</v>
      </c>
      <c r="U436">
        <v>5.4591135202470997E-2</v>
      </c>
    </row>
    <row r="437" spans="1:21" x14ac:dyDescent="0.25">
      <c r="A437">
        <v>7</v>
      </c>
      <c r="B437">
        <v>500</v>
      </c>
      <c r="C437">
        <v>2</v>
      </c>
      <c r="D437">
        <v>10</v>
      </c>
      <c r="E437">
        <v>13</v>
      </c>
      <c r="F437" t="s">
        <v>30</v>
      </c>
      <c r="G437" t="s">
        <v>31</v>
      </c>
      <c r="H437" t="s">
        <v>32</v>
      </c>
      <c r="I437">
        <v>34</v>
      </c>
      <c r="J437">
        <v>10.822536130248883</v>
      </c>
      <c r="K437">
        <v>9</v>
      </c>
      <c r="L437">
        <v>11</v>
      </c>
      <c r="N437" t="s">
        <v>20</v>
      </c>
      <c r="O437" t="s">
        <v>16</v>
      </c>
      <c r="P437" t="s">
        <v>303</v>
      </c>
      <c r="Q437">
        <v>10</v>
      </c>
      <c r="R437">
        <v>10</v>
      </c>
      <c r="S437">
        <v>12</v>
      </c>
      <c r="T437" t="s">
        <v>276</v>
      </c>
      <c r="U437">
        <v>6.3430923605390391E-2</v>
      </c>
    </row>
    <row r="438" spans="1:21" x14ac:dyDescent="0.25">
      <c r="A438">
        <v>8</v>
      </c>
      <c r="B438">
        <v>500</v>
      </c>
      <c r="C438">
        <v>1</v>
      </c>
      <c r="D438">
        <v>12</v>
      </c>
      <c r="E438">
        <v>13</v>
      </c>
      <c r="F438" t="s">
        <v>30</v>
      </c>
      <c r="G438" t="s">
        <v>31</v>
      </c>
      <c r="H438" t="s">
        <v>32</v>
      </c>
      <c r="I438">
        <v>33</v>
      </c>
      <c r="J438">
        <v>10.504226244065093</v>
      </c>
      <c r="K438">
        <v>6</v>
      </c>
      <c r="L438">
        <v>8</v>
      </c>
      <c r="N438" t="s">
        <v>20</v>
      </c>
      <c r="O438" t="s">
        <v>16</v>
      </c>
      <c r="P438" t="s">
        <v>303</v>
      </c>
      <c r="Q438">
        <v>7.5</v>
      </c>
      <c r="R438">
        <v>10</v>
      </c>
      <c r="S438">
        <v>12</v>
      </c>
      <c r="T438" t="s">
        <v>276</v>
      </c>
      <c r="U438">
        <v>4.3880391105574526E-2</v>
      </c>
    </row>
    <row r="439" spans="1:21" x14ac:dyDescent="0.25">
      <c r="A439">
        <v>2</v>
      </c>
      <c r="B439">
        <v>500</v>
      </c>
      <c r="C439">
        <v>1</v>
      </c>
      <c r="D439">
        <v>14</v>
      </c>
      <c r="E439">
        <v>14</v>
      </c>
      <c r="F439" t="s">
        <v>30</v>
      </c>
      <c r="G439" t="s">
        <v>31</v>
      </c>
      <c r="H439" t="s">
        <v>32</v>
      </c>
      <c r="I439">
        <v>33</v>
      </c>
      <c r="J439">
        <v>10.504226244065093</v>
      </c>
      <c r="K439">
        <v>10</v>
      </c>
      <c r="L439">
        <v>14</v>
      </c>
      <c r="N439" t="s">
        <v>20</v>
      </c>
      <c r="O439" t="s">
        <v>16</v>
      </c>
      <c r="P439" t="s">
        <v>303</v>
      </c>
      <c r="Q439">
        <v>15</v>
      </c>
      <c r="R439">
        <v>10</v>
      </c>
      <c r="S439">
        <v>12</v>
      </c>
      <c r="T439" t="s">
        <v>276</v>
      </c>
      <c r="U439">
        <v>7.5883331327001868E-2</v>
      </c>
    </row>
    <row r="440" spans="1:21" x14ac:dyDescent="0.25">
      <c r="A440">
        <v>6</v>
      </c>
      <c r="B440">
        <v>500</v>
      </c>
      <c r="C440">
        <v>4</v>
      </c>
      <c r="D440">
        <v>13</v>
      </c>
      <c r="E440">
        <v>14</v>
      </c>
      <c r="F440" t="s">
        <v>30</v>
      </c>
      <c r="G440" t="s">
        <v>31</v>
      </c>
      <c r="H440" t="s">
        <v>32</v>
      </c>
      <c r="I440">
        <v>35</v>
      </c>
      <c r="J440">
        <v>11.140846016432674</v>
      </c>
      <c r="K440">
        <v>4</v>
      </c>
      <c r="L440">
        <v>9</v>
      </c>
      <c r="N440" t="s">
        <v>20</v>
      </c>
      <c r="O440" t="s">
        <v>16</v>
      </c>
      <c r="P440" t="s">
        <v>303</v>
      </c>
      <c r="Q440">
        <v>10</v>
      </c>
      <c r="R440">
        <v>10</v>
      </c>
      <c r="S440">
        <v>12</v>
      </c>
      <c r="T440" t="s">
        <v>276</v>
      </c>
      <c r="U440">
        <v>5.5074720890145645E-2</v>
      </c>
    </row>
    <row r="441" spans="1:21" x14ac:dyDescent="0.25">
      <c r="A441">
        <v>10</v>
      </c>
      <c r="B441">
        <v>500</v>
      </c>
      <c r="C441">
        <v>4</v>
      </c>
      <c r="D441">
        <v>14</v>
      </c>
      <c r="E441">
        <v>14</v>
      </c>
      <c r="F441" t="s">
        <v>30</v>
      </c>
      <c r="G441" t="s">
        <v>31</v>
      </c>
      <c r="H441" t="s">
        <v>32</v>
      </c>
      <c r="I441">
        <v>33</v>
      </c>
      <c r="J441">
        <v>10.504226244065093</v>
      </c>
      <c r="K441">
        <v>6</v>
      </c>
      <c r="L441">
        <v>9</v>
      </c>
      <c r="N441" t="s">
        <v>20</v>
      </c>
      <c r="O441" t="s">
        <v>16</v>
      </c>
      <c r="P441" t="s">
        <v>303</v>
      </c>
      <c r="Q441">
        <v>10</v>
      </c>
      <c r="R441">
        <v>10</v>
      </c>
      <c r="S441">
        <v>12</v>
      </c>
      <c r="T441" t="s">
        <v>276</v>
      </c>
      <c r="U441">
        <v>4.9242095723669325E-2</v>
      </c>
    </row>
    <row r="442" spans="1:21" x14ac:dyDescent="0.25">
      <c r="A442">
        <v>10</v>
      </c>
      <c r="B442">
        <v>100</v>
      </c>
      <c r="C442">
        <v>1</v>
      </c>
      <c r="D442">
        <v>14</v>
      </c>
      <c r="E442">
        <v>14</v>
      </c>
      <c r="F442" t="s">
        <v>30</v>
      </c>
      <c r="G442" t="s">
        <v>31</v>
      </c>
      <c r="H442" t="s">
        <v>32</v>
      </c>
      <c r="I442">
        <v>24.5</v>
      </c>
      <c r="J442">
        <v>7.7985922115028714</v>
      </c>
      <c r="K442">
        <v>4</v>
      </c>
      <c r="L442">
        <v>10</v>
      </c>
      <c r="N442" t="s">
        <v>20</v>
      </c>
      <c r="O442" t="s">
        <v>16</v>
      </c>
      <c r="P442" t="s">
        <v>303</v>
      </c>
      <c r="Q442">
        <v>10</v>
      </c>
      <c r="R442">
        <v>10</v>
      </c>
    </row>
    <row r="443" spans="1:21" x14ac:dyDescent="0.25">
      <c r="A443">
        <v>2</v>
      </c>
      <c r="B443">
        <v>500</v>
      </c>
      <c r="C443">
        <v>1</v>
      </c>
      <c r="D443">
        <v>15</v>
      </c>
      <c r="E443">
        <v>15</v>
      </c>
      <c r="F443" t="s">
        <v>30</v>
      </c>
      <c r="G443" t="s">
        <v>31</v>
      </c>
      <c r="H443" t="s">
        <v>32</v>
      </c>
      <c r="I443">
        <v>40</v>
      </c>
      <c r="J443">
        <v>12.732395447351628</v>
      </c>
      <c r="K443">
        <v>7</v>
      </c>
      <c r="L443">
        <v>12</v>
      </c>
      <c r="N443" t="s">
        <v>20</v>
      </c>
      <c r="O443" t="s">
        <v>16</v>
      </c>
      <c r="P443" t="s">
        <v>303</v>
      </c>
      <c r="Q443">
        <v>12.5</v>
      </c>
      <c r="R443">
        <v>15</v>
      </c>
      <c r="S443">
        <v>12</v>
      </c>
      <c r="T443" t="s">
        <v>276</v>
      </c>
      <c r="U443">
        <v>9.4094654617910181E-2</v>
      </c>
    </row>
    <row r="444" spans="1:21" x14ac:dyDescent="0.25">
      <c r="A444">
        <v>6</v>
      </c>
      <c r="B444">
        <v>500</v>
      </c>
      <c r="C444">
        <v>4</v>
      </c>
      <c r="D444">
        <v>14</v>
      </c>
      <c r="E444">
        <v>15</v>
      </c>
      <c r="F444" t="s">
        <v>30</v>
      </c>
      <c r="G444" t="s">
        <v>31</v>
      </c>
      <c r="H444" t="s">
        <v>32</v>
      </c>
      <c r="I444">
        <v>34</v>
      </c>
      <c r="J444">
        <v>10.822536130248883</v>
      </c>
      <c r="K444">
        <v>4.5</v>
      </c>
      <c r="L444">
        <v>8</v>
      </c>
      <c r="N444" t="s">
        <v>20</v>
      </c>
      <c r="O444" t="s">
        <v>16</v>
      </c>
      <c r="P444" t="s">
        <v>303</v>
      </c>
      <c r="Q444">
        <v>7.5</v>
      </c>
      <c r="R444">
        <v>10</v>
      </c>
      <c r="S444">
        <v>12</v>
      </c>
      <c r="T444" t="s">
        <v>276</v>
      </c>
      <c r="U444">
        <v>4.6444671844469917E-2</v>
      </c>
    </row>
    <row r="445" spans="1:21" x14ac:dyDescent="0.25">
      <c r="A445">
        <v>10</v>
      </c>
      <c r="B445">
        <v>500</v>
      </c>
      <c r="C445">
        <v>4</v>
      </c>
      <c r="D445">
        <v>15</v>
      </c>
      <c r="E445">
        <v>15</v>
      </c>
      <c r="F445" t="s">
        <v>30</v>
      </c>
      <c r="G445" t="s">
        <v>31</v>
      </c>
      <c r="H445" t="s">
        <v>32</v>
      </c>
      <c r="I445">
        <v>37.5</v>
      </c>
      <c r="J445">
        <v>11.93662073189215</v>
      </c>
      <c r="K445">
        <v>4</v>
      </c>
      <c r="L445">
        <v>9</v>
      </c>
      <c r="N445" t="s">
        <v>20</v>
      </c>
      <c r="O445" t="s">
        <v>16</v>
      </c>
      <c r="P445" t="s">
        <v>303</v>
      </c>
      <c r="Q445">
        <v>10</v>
      </c>
      <c r="R445">
        <v>10</v>
      </c>
      <c r="S445">
        <v>12</v>
      </c>
      <c r="T445" t="s">
        <v>276</v>
      </c>
      <c r="U445">
        <v>6.2799512726288143E-2</v>
      </c>
    </row>
    <row r="446" spans="1:21" x14ac:dyDescent="0.25">
      <c r="A446">
        <v>3</v>
      </c>
      <c r="B446">
        <v>100</v>
      </c>
      <c r="C446">
        <v>4</v>
      </c>
      <c r="D446">
        <v>15</v>
      </c>
      <c r="E446">
        <v>15</v>
      </c>
      <c r="F446" t="s">
        <v>30</v>
      </c>
      <c r="G446" t="s">
        <v>31</v>
      </c>
      <c r="H446" t="s">
        <v>32</v>
      </c>
      <c r="I446">
        <v>25.5</v>
      </c>
      <c r="J446">
        <v>8.1169020976866619</v>
      </c>
      <c r="K446">
        <v>5.5</v>
      </c>
      <c r="L446">
        <v>7</v>
      </c>
      <c r="N446" t="s">
        <v>20</v>
      </c>
      <c r="O446" t="s">
        <v>16</v>
      </c>
      <c r="P446" t="s">
        <v>303</v>
      </c>
      <c r="Q446">
        <v>7.5</v>
      </c>
      <c r="R446">
        <v>10</v>
      </c>
    </row>
    <row r="447" spans="1:21" x14ac:dyDescent="0.25">
      <c r="A447">
        <v>8</v>
      </c>
      <c r="B447">
        <v>100</v>
      </c>
      <c r="C447">
        <v>2</v>
      </c>
      <c r="D447">
        <v>15</v>
      </c>
      <c r="E447">
        <v>15</v>
      </c>
      <c r="F447" t="s">
        <v>30</v>
      </c>
      <c r="G447" t="s">
        <v>31</v>
      </c>
      <c r="H447" t="s">
        <v>32</v>
      </c>
      <c r="I447">
        <v>24</v>
      </c>
      <c r="J447">
        <v>7.6394372684109761</v>
      </c>
      <c r="K447">
        <v>6</v>
      </c>
      <c r="L447">
        <v>9</v>
      </c>
      <c r="N447" t="s">
        <v>20</v>
      </c>
      <c r="O447" t="s">
        <v>16</v>
      </c>
      <c r="P447" t="s">
        <v>303</v>
      </c>
      <c r="Q447">
        <v>10</v>
      </c>
      <c r="R447">
        <v>10</v>
      </c>
    </row>
    <row r="448" spans="1:21" x14ac:dyDescent="0.25">
      <c r="A448">
        <v>9</v>
      </c>
      <c r="B448">
        <v>100</v>
      </c>
      <c r="C448">
        <v>2</v>
      </c>
      <c r="D448">
        <v>15</v>
      </c>
      <c r="E448">
        <v>15</v>
      </c>
      <c r="F448" t="s">
        <v>30</v>
      </c>
      <c r="G448" t="s">
        <v>31</v>
      </c>
      <c r="H448" t="s">
        <v>32</v>
      </c>
      <c r="I448">
        <v>23</v>
      </c>
      <c r="J448">
        <v>7.3211273822271856</v>
      </c>
      <c r="K448">
        <v>7</v>
      </c>
      <c r="L448">
        <v>11</v>
      </c>
      <c r="N448" t="s">
        <v>20</v>
      </c>
      <c r="O448" t="s">
        <v>16</v>
      </c>
      <c r="P448" t="s">
        <v>303</v>
      </c>
      <c r="Q448">
        <v>10</v>
      </c>
      <c r="R448">
        <v>5</v>
      </c>
    </row>
    <row r="449" spans="1:21" x14ac:dyDescent="0.25">
      <c r="A449">
        <v>3</v>
      </c>
      <c r="B449">
        <v>500</v>
      </c>
      <c r="C449">
        <v>1</v>
      </c>
      <c r="D449">
        <v>16</v>
      </c>
      <c r="E449">
        <v>16</v>
      </c>
      <c r="F449" t="s">
        <v>30</v>
      </c>
      <c r="G449" t="s">
        <v>31</v>
      </c>
      <c r="H449" t="s">
        <v>32</v>
      </c>
      <c r="I449">
        <v>31.5</v>
      </c>
      <c r="J449">
        <v>10.026761414789407</v>
      </c>
      <c r="K449">
        <v>6</v>
      </c>
      <c r="L449">
        <v>12</v>
      </c>
      <c r="N449" t="s">
        <v>20</v>
      </c>
      <c r="O449" t="s">
        <v>16</v>
      </c>
      <c r="P449" t="s">
        <v>303</v>
      </c>
      <c r="Q449">
        <v>12.5</v>
      </c>
      <c r="R449">
        <v>10</v>
      </c>
      <c r="S449">
        <v>12</v>
      </c>
      <c r="T449" t="s">
        <v>276</v>
      </c>
      <c r="U449">
        <v>5.9729011815020175E-2</v>
      </c>
    </row>
    <row r="450" spans="1:21" x14ac:dyDescent="0.25">
      <c r="A450">
        <v>6</v>
      </c>
      <c r="B450">
        <v>500</v>
      </c>
      <c r="C450">
        <v>4</v>
      </c>
      <c r="D450">
        <v>15</v>
      </c>
      <c r="E450">
        <v>16</v>
      </c>
      <c r="F450" t="s">
        <v>30</v>
      </c>
      <c r="G450" t="s">
        <v>31</v>
      </c>
      <c r="H450" t="s">
        <v>32</v>
      </c>
      <c r="I450">
        <v>31.5</v>
      </c>
      <c r="J450">
        <v>10.026761414789407</v>
      </c>
      <c r="K450">
        <v>5</v>
      </c>
      <c r="L450">
        <v>10</v>
      </c>
      <c r="N450" t="s">
        <v>20</v>
      </c>
      <c r="O450" t="s">
        <v>16</v>
      </c>
      <c r="P450" t="s">
        <v>303</v>
      </c>
      <c r="Q450">
        <v>10</v>
      </c>
      <c r="R450">
        <v>10</v>
      </c>
      <c r="S450">
        <v>12</v>
      </c>
      <c r="T450" t="s">
        <v>276</v>
      </c>
      <c r="U450">
        <v>4.9967302019340111E-2</v>
      </c>
    </row>
    <row r="451" spans="1:21" x14ac:dyDescent="0.25">
      <c r="A451">
        <v>10</v>
      </c>
      <c r="B451">
        <v>100</v>
      </c>
      <c r="C451">
        <v>2</v>
      </c>
      <c r="D451">
        <v>16</v>
      </c>
      <c r="E451">
        <v>16</v>
      </c>
      <c r="F451" t="s">
        <v>30</v>
      </c>
      <c r="G451" t="s">
        <v>31</v>
      </c>
      <c r="H451" t="s">
        <v>32</v>
      </c>
      <c r="I451">
        <v>18</v>
      </c>
      <c r="J451">
        <v>5.7295779513082321</v>
      </c>
      <c r="K451">
        <v>6</v>
      </c>
      <c r="L451">
        <v>6.5</v>
      </c>
      <c r="N451" t="s">
        <v>20</v>
      </c>
      <c r="O451" t="s">
        <v>16</v>
      </c>
      <c r="P451" t="s">
        <v>303</v>
      </c>
      <c r="Q451">
        <v>7.5</v>
      </c>
      <c r="R451">
        <v>5</v>
      </c>
    </row>
    <row r="452" spans="1:21" x14ac:dyDescent="0.25">
      <c r="A452">
        <v>11</v>
      </c>
      <c r="B452">
        <v>100</v>
      </c>
      <c r="C452">
        <v>2</v>
      </c>
      <c r="D452">
        <v>16</v>
      </c>
      <c r="E452">
        <v>16</v>
      </c>
      <c r="F452" t="s">
        <v>30</v>
      </c>
      <c r="G452" t="s">
        <v>31</v>
      </c>
      <c r="H452" t="s">
        <v>32</v>
      </c>
      <c r="I452">
        <v>20</v>
      </c>
      <c r="J452">
        <v>6.366197723675814</v>
      </c>
      <c r="K452">
        <v>6.5</v>
      </c>
      <c r="L452">
        <v>8</v>
      </c>
      <c r="N452" t="s">
        <v>20</v>
      </c>
      <c r="O452" t="s">
        <v>16</v>
      </c>
      <c r="P452" t="s">
        <v>303</v>
      </c>
      <c r="Q452">
        <v>7.5</v>
      </c>
      <c r="R452">
        <v>5</v>
      </c>
    </row>
    <row r="453" spans="1:21" x14ac:dyDescent="0.25">
      <c r="A453">
        <v>9</v>
      </c>
      <c r="B453">
        <v>500</v>
      </c>
      <c r="C453">
        <v>4</v>
      </c>
      <c r="D453">
        <v>17</v>
      </c>
      <c r="E453">
        <v>17</v>
      </c>
      <c r="F453" t="s">
        <v>30</v>
      </c>
      <c r="G453" t="s">
        <v>31</v>
      </c>
      <c r="H453" t="s">
        <v>32</v>
      </c>
      <c r="I453">
        <v>31.5</v>
      </c>
      <c r="J453">
        <v>10.026761414789407</v>
      </c>
      <c r="K453">
        <v>5.5</v>
      </c>
      <c r="L453">
        <v>9</v>
      </c>
      <c r="N453" t="s">
        <v>20</v>
      </c>
      <c r="O453" t="s">
        <v>16</v>
      </c>
      <c r="P453" t="s">
        <v>303</v>
      </c>
      <c r="Q453">
        <v>10</v>
      </c>
      <c r="R453">
        <v>10</v>
      </c>
      <c r="S453">
        <v>12</v>
      </c>
      <c r="T453" t="s">
        <v>276</v>
      </c>
      <c r="U453">
        <v>4.50713226600657E-2</v>
      </c>
    </row>
    <row r="454" spans="1:21" x14ac:dyDescent="0.25">
      <c r="A454">
        <v>9</v>
      </c>
      <c r="B454">
        <v>100</v>
      </c>
      <c r="C454">
        <v>2</v>
      </c>
      <c r="D454">
        <v>17</v>
      </c>
      <c r="E454">
        <v>17</v>
      </c>
      <c r="F454" t="s">
        <v>30</v>
      </c>
      <c r="G454" t="s">
        <v>31</v>
      </c>
      <c r="H454" t="s">
        <v>32</v>
      </c>
      <c r="I454">
        <v>26</v>
      </c>
      <c r="J454">
        <v>8.2760570407785572</v>
      </c>
      <c r="K454">
        <v>4.5</v>
      </c>
      <c r="L454">
        <v>9</v>
      </c>
      <c r="N454" t="s">
        <v>20</v>
      </c>
      <c r="O454" t="s">
        <v>16</v>
      </c>
      <c r="P454" t="s">
        <v>303</v>
      </c>
      <c r="Q454">
        <v>10</v>
      </c>
      <c r="R454">
        <v>10</v>
      </c>
    </row>
    <row r="455" spans="1:21" x14ac:dyDescent="0.25">
      <c r="A455">
        <v>11</v>
      </c>
      <c r="B455">
        <v>100</v>
      </c>
      <c r="C455">
        <v>2</v>
      </c>
      <c r="D455">
        <v>18</v>
      </c>
      <c r="E455">
        <v>18</v>
      </c>
      <c r="F455" t="s">
        <v>30</v>
      </c>
      <c r="G455" t="s">
        <v>31</v>
      </c>
      <c r="H455" t="s">
        <v>32</v>
      </c>
      <c r="I455">
        <v>19</v>
      </c>
      <c r="J455">
        <v>6.0478878374920226</v>
      </c>
      <c r="K455">
        <v>7</v>
      </c>
      <c r="L455">
        <v>10</v>
      </c>
      <c r="N455" t="s">
        <v>20</v>
      </c>
      <c r="O455" t="s">
        <v>16</v>
      </c>
      <c r="P455" t="s">
        <v>303</v>
      </c>
      <c r="Q455">
        <v>10</v>
      </c>
      <c r="R455">
        <v>5</v>
      </c>
    </row>
    <row r="456" spans="1:21" x14ac:dyDescent="0.25">
      <c r="A456">
        <v>6</v>
      </c>
      <c r="B456">
        <v>100</v>
      </c>
      <c r="C456">
        <v>3</v>
      </c>
      <c r="D456">
        <v>16</v>
      </c>
      <c r="E456">
        <v>19</v>
      </c>
      <c r="F456" t="s">
        <v>30</v>
      </c>
      <c r="G456" t="s">
        <v>31</v>
      </c>
      <c r="H456" t="s">
        <v>32</v>
      </c>
      <c r="I456">
        <v>21</v>
      </c>
      <c r="J456">
        <v>6.6845076098596046</v>
      </c>
      <c r="K456">
        <v>6</v>
      </c>
      <c r="L456">
        <v>9</v>
      </c>
      <c r="N456" t="s">
        <v>20</v>
      </c>
      <c r="O456" t="s">
        <v>16</v>
      </c>
      <c r="P456" t="s">
        <v>303</v>
      </c>
      <c r="Q456">
        <v>10</v>
      </c>
      <c r="R456">
        <v>5</v>
      </c>
    </row>
    <row r="457" spans="1:21" x14ac:dyDescent="0.25">
      <c r="A457">
        <v>10</v>
      </c>
      <c r="B457">
        <v>100</v>
      </c>
      <c r="C457">
        <v>2</v>
      </c>
      <c r="D457">
        <v>19</v>
      </c>
      <c r="E457">
        <v>19</v>
      </c>
      <c r="F457" t="s">
        <v>30</v>
      </c>
      <c r="G457" t="s">
        <v>31</v>
      </c>
      <c r="H457" t="s">
        <v>32</v>
      </c>
      <c r="I457">
        <v>19</v>
      </c>
      <c r="J457">
        <v>6.0478878374920226</v>
      </c>
      <c r="K457">
        <v>5</v>
      </c>
      <c r="L457">
        <v>7</v>
      </c>
      <c r="N457" t="s">
        <v>20</v>
      </c>
      <c r="O457" t="s">
        <v>16</v>
      </c>
      <c r="P457" t="s">
        <v>303</v>
      </c>
      <c r="Q457">
        <v>7.5</v>
      </c>
      <c r="R457">
        <v>5</v>
      </c>
    </row>
    <row r="458" spans="1:21" x14ac:dyDescent="0.25">
      <c r="A458">
        <v>11</v>
      </c>
      <c r="B458">
        <v>100</v>
      </c>
      <c r="C458">
        <v>3</v>
      </c>
      <c r="D458">
        <v>20</v>
      </c>
      <c r="E458">
        <v>20</v>
      </c>
      <c r="F458" t="s">
        <v>30</v>
      </c>
      <c r="G458" t="s">
        <v>31</v>
      </c>
      <c r="H458" t="s">
        <v>32</v>
      </c>
      <c r="I458">
        <v>17.5</v>
      </c>
      <c r="J458">
        <v>5.5704230082163368</v>
      </c>
      <c r="K458">
        <v>4.5</v>
      </c>
      <c r="L458">
        <v>8</v>
      </c>
      <c r="N458" t="s">
        <v>20</v>
      </c>
      <c r="O458" t="s">
        <v>16</v>
      </c>
      <c r="P458" t="s">
        <v>303</v>
      </c>
      <c r="Q458">
        <v>7.5</v>
      </c>
      <c r="R458">
        <v>5</v>
      </c>
    </row>
    <row r="459" spans="1:21" x14ac:dyDescent="0.25">
      <c r="A459">
        <v>8</v>
      </c>
      <c r="B459">
        <v>500</v>
      </c>
      <c r="C459">
        <v>2</v>
      </c>
      <c r="D459">
        <v>19</v>
      </c>
      <c r="E459">
        <v>21</v>
      </c>
      <c r="F459" t="s">
        <v>30</v>
      </c>
      <c r="G459" t="s">
        <v>31</v>
      </c>
      <c r="H459" t="s">
        <v>32</v>
      </c>
      <c r="I459">
        <v>38.5</v>
      </c>
      <c r="J459">
        <v>12.254930618075941</v>
      </c>
      <c r="K459">
        <v>8</v>
      </c>
      <c r="L459">
        <v>14</v>
      </c>
      <c r="N459" t="s">
        <v>20</v>
      </c>
      <c r="O459" t="s">
        <v>16</v>
      </c>
      <c r="P459" t="s">
        <v>303</v>
      </c>
      <c r="Q459">
        <v>15</v>
      </c>
      <c r="R459">
        <v>10</v>
      </c>
      <c r="S459">
        <v>12</v>
      </c>
      <c r="T459" t="s">
        <v>276</v>
      </c>
      <c r="U459">
        <v>0.10174434488340918</v>
      </c>
    </row>
    <row r="460" spans="1:21" x14ac:dyDescent="0.25">
      <c r="A460">
        <v>8</v>
      </c>
      <c r="B460">
        <v>100</v>
      </c>
      <c r="C460">
        <v>3</v>
      </c>
      <c r="D460">
        <v>21</v>
      </c>
      <c r="E460">
        <v>21</v>
      </c>
      <c r="F460" t="s">
        <v>30</v>
      </c>
      <c r="G460" t="s">
        <v>31</v>
      </c>
      <c r="H460" t="s">
        <v>32</v>
      </c>
      <c r="I460">
        <v>27</v>
      </c>
      <c r="J460">
        <v>8.5943669269623477</v>
      </c>
      <c r="K460">
        <v>7</v>
      </c>
      <c r="L460">
        <v>11</v>
      </c>
      <c r="N460" t="s">
        <v>20</v>
      </c>
      <c r="O460" t="s">
        <v>16</v>
      </c>
      <c r="P460" t="s">
        <v>303</v>
      </c>
      <c r="Q460">
        <v>10</v>
      </c>
      <c r="R460">
        <v>10</v>
      </c>
    </row>
    <row r="461" spans="1:21" x14ac:dyDescent="0.25">
      <c r="A461">
        <v>11</v>
      </c>
      <c r="B461">
        <v>100</v>
      </c>
      <c r="C461">
        <v>3</v>
      </c>
      <c r="D461">
        <v>21</v>
      </c>
      <c r="E461">
        <v>21</v>
      </c>
      <c r="F461" t="s">
        <v>30</v>
      </c>
      <c r="G461" t="s">
        <v>31</v>
      </c>
      <c r="H461" t="s">
        <v>32</v>
      </c>
      <c r="I461">
        <v>16.5</v>
      </c>
      <c r="J461">
        <v>5.2521131220325463</v>
      </c>
      <c r="K461">
        <v>6</v>
      </c>
      <c r="L461">
        <v>9</v>
      </c>
      <c r="N461" t="s">
        <v>20</v>
      </c>
      <c r="O461" t="s">
        <v>16</v>
      </c>
      <c r="P461" t="s">
        <v>303</v>
      </c>
      <c r="Q461">
        <v>10</v>
      </c>
      <c r="R461">
        <v>5</v>
      </c>
    </row>
    <row r="462" spans="1:21" x14ac:dyDescent="0.25">
      <c r="A462">
        <v>5</v>
      </c>
      <c r="B462">
        <v>100</v>
      </c>
      <c r="C462">
        <v>3</v>
      </c>
      <c r="D462">
        <v>21</v>
      </c>
      <c r="E462">
        <v>22</v>
      </c>
      <c r="F462" t="s">
        <v>30</v>
      </c>
      <c r="G462" t="s">
        <v>31</v>
      </c>
      <c r="H462" t="s">
        <v>32</v>
      </c>
      <c r="I462">
        <v>17</v>
      </c>
      <c r="J462">
        <v>5.4112680651244416</v>
      </c>
      <c r="K462">
        <v>4</v>
      </c>
      <c r="L462">
        <v>6</v>
      </c>
      <c r="N462" t="s">
        <v>20</v>
      </c>
      <c r="O462" t="s">
        <v>16</v>
      </c>
      <c r="P462" t="s">
        <v>303</v>
      </c>
      <c r="Q462">
        <v>5</v>
      </c>
      <c r="R462">
        <v>5</v>
      </c>
    </row>
    <row r="463" spans="1:21" x14ac:dyDescent="0.25">
      <c r="A463">
        <v>10</v>
      </c>
      <c r="B463">
        <v>100</v>
      </c>
      <c r="C463">
        <v>2</v>
      </c>
      <c r="D463">
        <v>22</v>
      </c>
      <c r="E463">
        <v>22</v>
      </c>
      <c r="F463" t="s">
        <v>30</v>
      </c>
      <c r="G463" t="s">
        <v>31</v>
      </c>
      <c r="H463" t="s">
        <v>32</v>
      </c>
      <c r="I463">
        <v>18</v>
      </c>
      <c r="J463">
        <v>5.7295779513082321</v>
      </c>
      <c r="K463">
        <v>6</v>
      </c>
      <c r="L463">
        <v>9</v>
      </c>
      <c r="N463" t="s">
        <v>20</v>
      </c>
      <c r="O463" t="s">
        <v>16</v>
      </c>
      <c r="P463" t="s">
        <v>303</v>
      </c>
      <c r="Q463">
        <v>10</v>
      </c>
      <c r="R463">
        <v>5</v>
      </c>
    </row>
    <row r="464" spans="1:21" x14ac:dyDescent="0.25">
      <c r="A464">
        <v>2</v>
      </c>
      <c r="B464">
        <v>500</v>
      </c>
      <c r="C464">
        <v>2</v>
      </c>
      <c r="D464">
        <v>22</v>
      </c>
      <c r="E464">
        <v>23</v>
      </c>
      <c r="F464" t="s">
        <v>30</v>
      </c>
      <c r="G464" t="s">
        <v>31</v>
      </c>
      <c r="H464" t="s">
        <v>32</v>
      </c>
      <c r="I464">
        <v>34</v>
      </c>
      <c r="J464">
        <v>10.822536130248883</v>
      </c>
      <c r="K464">
        <v>8</v>
      </c>
      <c r="L464">
        <v>12</v>
      </c>
      <c r="N464" t="s">
        <v>20</v>
      </c>
      <c r="O464" t="s">
        <v>16</v>
      </c>
      <c r="P464" t="s">
        <v>303</v>
      </c>
      <c r="Q464">
        <v>12.5</v>
      </c>
      <c r="R464">
        <v>10</v>
      </c>
      <c r="S464">
        <v>12</v>
      </c>
      <c r="T464" t="s">
        <v>276</v>
      </c>
      <c r="U464">
        <v>6.9069603606235472E-2</v>
      </c>
    </row>
    <row r="465" spans="1:21" x14ac:dyDescent="0.25">
      <c r="A465">
        <v>5</v>
      </c>
      <c r="B465">
        <v>100</v>
      </c>
      <c r="C465">
        <v>4</v>
      </c>
      <c r="D465">
        <v>22</v>
      </c>
      <c r="E465">
        <v>23</v>
      </c>
      <c r="F465" t="s">
        <v>30</v>
      </c>
      <c r="G465" t="s">
        <v>31</v>
      </c>
      <c r="H465" t="s">
        <v>32</v>
      </c>
      <c r="I465">
        <v>30.5</v>
      </c>
      <c r="J465">
        <v>9.7084515286056163</v>
      </c>
      <c r="K465">
        <v>6</v>
      </c>
      <c r="L465">
        <v>11</v>
      </c>
      <c r="N465" t="s">
        <v>20</v>
      </c>
      <c r="O465" t="s">
        <v>16</v>
      </c>
      <c r="P465" t="s">
        <v>303</v>
      </c>
      <c r="Q465">
        <v>10</v>
      </c>
      <c r="R465">
        <v>10</v>
      </c>
    </row>
    <row r="466" spans="1:21" x14ac:dyDescent="0.25">
      <c r="A466">
        <v>6</v>
      </c>
      <c r="B466">
        <v>100</v>
      </c>
      <c r="C466">
        <v>4</v>
      </c>
      <c r="D466">
        <v>21</v>
      </c>
      <c r="E466">
        <v>24</v>
      </c>
      <c r="F466" t="s">
        <v>30</v>
      </c>
      <c r="G466" t="s">
        <v>31</v>
      </c>
      <c r="H466" t="s">
        <v>32</v>
      </c>
      <c r="I466">
        <v>24</v>
      </c>
      <c r="J466">
        <v>7.6394372684109761</v>
      </c>
      <c r="K466">
        <v>5</v>
      </c>
      <c r="L466">
        <v>8</v>
      </c>
      <c r="N466" t="s">
        <v>20</v>
      </c>
      <c r="O466" t="s">
        <v>16</v>
      </c>
      <c r="P466" t="s">
        <v>303</v>
      </c>
      <c r="Q466">
        <v>7.5</v>
      </c>
      <c r="R466">
        <v>10</v>
      </c>
    </row>
    <row r="467" spans="1:21" x14ac:dyDescent="0.25">
      <c r="A467">
        <v>11</v>
      </c>
      <c r="B467">
        <v>100</v>
      </c>
      <c r="C467">
        <v>3</v>
      </c>
      <c r="D467">
        <v>24</v>
      </c>
      <c r="E467">
        <v>24</v>
      </c>
      <c r="F467" t="s">
        <v>30</v>
      </c>
      <c r="G467" t="s">
        <v>31</v>
      </c>
      <c r="H467" t="s">
        <v>32</v>
      </c>
      <c r="I467">
        <v>25</v>
      </c>
      <c r="J467">
        <v>7.9577471545947667</v>
      </c>
      <c r="K467">
        <v>3</v>
      </c>
      <c r="L467">
        <v>7</v>
      </c>
      <c r="N467" t="s">
        <v>20</v>
      </c>
      <c r="O467" t="s">
        <v>16</v>
      </c>
      <c r="P467" t="s">
        <v>303</v>
      </c>
      <c r="Q467">
        <v>7.5</v>
      </c>
      <c r="R467">
        <v>10</v>
      </c>
    </row>
    <row r="468" spans="1:21" x14ac:dyDescent="0.25">
      <c r="A468">
        <v>10</v>
      </c>
      <c r="B468">
        <v>100</v>
      </c>
      <c r="C468">
        <v>2</v>
      </c>
      <c r="D468">
        <v>25</v>
      </c>
      <c r="E468">
        <v>25</v>
      </c>
      <c r="F468" t="s">
        <v>30</v>
      </c>
      <c r="G468" t="s">
        <v>31</v>
      </c>
      <c r="H468" t="s">
        <v>32</v>
      </c>
      <c r="I468">
        <v>30</v>
      </c>
      <c r="J468">
        <v>9.5492965855137211</v>
      </c>
      <c r="K468">
        <v>3.5</v>
      </c>
      <c r="L468">
        <v>8.5</v>
      </c>
      <c r="N468" t="s">
        <v>20</v>
      </c>
      <c r="O468" t="s">
        <v>16</v>
      </c>
      <c r="P468" t="s">
        <v>303</v>
      </c>
      <c r="Q468">
        <v>7.5</v>
      </c>
      <c r="R468">
        <v>10</v>
      </c>
    </row>
    <row r="469" spans="1:21" x14ac:dyDescent="0.25">
      <c r="A469">
        <v>2</v>
      </c>
      <c r="B469">
        <v>500</v>
      </c>
      <c r="C469">
        <v>2</v>
      </c>
      <c r="D469">
        <v>25</v>
      </c>
      <c r="E469">
        <v>26</v>
      </c>
      <c r="F469" t="s">
        <v>30</v>
      </c>
      <c r="G469" t="s">
        <v>31</v>
      </c>
      <c r="H469" t="s">
        <v>32</v>
      </c>
      <c r="I469">
        <v>33</v>
      </c>
      <c r="J469">
        <v>10.504226244065093</v>
      </c>
      <c r="K469">
        <v>4</v>
      </c>
      <c r="L469">
        <v>8</v>
      </c>
      <c r="N469" t="s">
        <v>20</v>
      </c>
      <c r="O469" t="s">
        <v>39</v>
      </c>
      <c r="P469" t="s">
        <v>303</v>
      </c>
      <c r="Q469">
        <v>7.5</v>
      </c>
      <c r="R469">
        <v>10</v>
      </c>
      <c r="S469">
        <v>12</v>
      </c>
      <c r="T469" t="s">
        <v>276</v>
      </c>
      <c r="U469">
        <v>4.3880391105574526E-2</v>
      </c>
    </row>
    <row r="470" spans="1:21" x14ac:dyDescent="0.25">
      <c r="A470">
        <v>7</v>
      </c>
      <c r="B470">
        <v>500</v>
      </c>
      <c r="C470">
        <v>3</v>
      </c>
      <c r="D470">
        <v>23</v>
      </c>
      <c r="E470">
        <v>26</v>
      </c>
      <c r="F470" t="s">
        <v>30</v>
      </c>
      <c r="G470" t="s">
        <v>31</v>
      </c>
      <c r="H470" t="s">
        <v>32</v>
      </c>
      <c r="I470">
        <v>35.5</v>
      </c>
      <c r="J470">
        <v>11.300000959524569</v>
      </c>
      <c r="K470">
        <v>8</v>
      </c>
      <c r="L470">
        <v>12</v>
      </c>
      <c r="N470" t="s">
        <v>20</v>
      </c>
      <c r="O470" t="s">
        <v>16</v>
      </c>
      <c r="P470" t="s">
        <v>303</v>
      </c>
      <c r="Q470">
        <v>12.5</v>
      </c>
      <c r="R470">
        <v>10</v>
      </c>
      <c r="S470">
        <v>12</v>
      </c>
      <c r="T470" t="s">
        <v>276</v>
      </c>
      <c r="U470">
        <v>7.4982013806505501E-2</v>
      </c>
    </row>
    <row r="471" spans="1:21" x14ac:dyDescent="0.25">
      <c r="A471">
        <v>5</v>
      </c>
      <c r="B471">
        <v>100</v>
      </c>
      <c r="C471">
        <v>4</v>
      </c>
      <c r="D471">
        <v>24</v>
      </c>
      <c r="E471">
        <v>26</v>
      </c>
      <c r="F471" t="s">
        <v>30</v>
      </c>
      <c r="G471" t="s">
        <v>31</v>
      </c>
      <c r="H471" t="s">
        <v>32</v>
      </c>
      <c r="I471">
        <v>23</v>
      </c>
      <c r="J471">
        <v>7.3211273822271856</v>
      </c>
      <c r="K471">
        <v>3</v>
      </c>
      <c r="L471">
        <v>9</v>
      </c>
      <c r="N471" t="s">
        <v>20</v>
      </c>
      <c r="O471" t="s">
        <v>16</v>
      </c>
      <c r="P471" t="s">
        <v>303</v>
      </c>
      <c r="Q471">
        <v>10</v>
      </c>
      <c r="R471">
        <v>5</v>
      </c>
    </row>
    <row r="472" spans="1:21" x14ac:dyDescent="0.25">
      <c r="A472">
        <v>10</v>
      </c>
      <c r="B472">
        <v>100</v>
      </c>
      <c r="C472">
        <v>2</v>
      </c>
      <c r="D472">
        <v>26</v>
      </c>
      <c r="E472">
        <v>26</v>
      </c>
      <c r="F472" t="s">
        <v>30</v>
      </c>
      <c r="G472" t="s">
        <v>31</v>
      </c>
      <c r="H472" t="s">
        <v>32</v>
      </c>
      <c r="I472">
        <v>28</v>
      </c>
      <c r="J472">
        <v>8.91267681314614</v>
      </c>
      <c r="K472">
        <v>4.5</v>
      </c>
      <c r="L472">
        <v>8.5</v>
      </c>
      <c r="N472" t="s">
        <v>20</v>
      </c>
      <c r="O472" t="s">
        <v>16</v>
      </c>
      <c r="P472" t="s">
        <v>303</v>
      </c>
      <c r="Q472">
        <v>7.5</v>
      </c>
      <c r="R472">
        <v>10</v>
      </c>
    </row>
    <row r="473" spans="1:21" x14ac:dyDescent="0.25">
      <c r="A473">
        <v>1</v>
      </c>
      <c r="B473">
        <v>500</v>
      </c>
      <c r="C473">
        <v>4</v>
      </c>
      <c r="D473">
        <v>24</v>
      </c>
      <c r="E473">
        <v>27</v>
      </c>
      <c r="F473" t="s">
        <v>30</v>
      </c>
      <c r="G473" t="s">
        <v>31</v>
      </c>
      <c r="H473" t="s">
        <v>32</v>
      </c>
      <c r="I473">
        <v>33</v>
      </c>
      <c r="J473">
        <v>10.504226244065093</v>
      </c>
      <c r="K473">
        <v>6</v>
      </c>
      <c r="L473">
        <v>10</v>
      </c>
      <c r="N473" t="s">
        <v>20</v>
      </c>
      <c r="O473" t="s">
        <v>16</v>
      </c>
      <c r="P473" t="s">
        <v>303</v>
      </c>
      <c r="Q473">
        <v>10</v>
      </c>
      <c r="R473">
        <v>10</v>
      </c>
      <c r="S473">
        <v>12</v>
      </c>
      <c r="T473" t="s">
        <v>276</v>
      </c>
      <c r="U473">
        <v>5.4591135202470997E-2</v>
      </c>
    </row>
    <row r="474" spans="1:21" x14ac:dyDescent="0.25">
      <c r="A474">
        <v>2</v>
      </c>
      <c r="B474">
        <v>500</v>
      </c>
      <c r="C474">
        <v>2</v>
      </c>
      <c r="D474">
        <v>26</v>
      </c>
      <c r="E474">
        <v>27</v>
      </c>
      <c r="F474" t="s">
        <v>30</v>
      </c>
      <c r="G474" t="s">
        <v>31</v>
      </c>
      <c r="H474" t="s">
        <v>32</v>
      </c>
      <c r="I474">
        <v>46</v>
      </c>
      <c r="J474">
        <v>14.642254764454371</v>
      </c>
      <c r="K474">
        <v>6</v>
      </c>
      <c r="L474">
        <v>12</v>
      </c>
      <c r="N474" t="s">
        <v>20</v>
      </c>
      <c r="O474" t="s">
        <v>16</v>
      </c>
      <c r="P474" t="s">
        <v>303</v>
      </c>
      <c r="Q474">
        <v>12.5</v>
      </c>
      <c r="R474">
        <v>15</v>
      </c>
      <c r="S474">
        <v>12</v>
      </c>
      <c r="T474" t="s">
        <v>276</v>
      </c>
      <c r="U474">
        <v>0.12275535302141567</v>
      </c>
    </row>
    <row r="475" spans="1:21" x14ac:dyDescent="0.25">
      <c r="A475">
        <v>7</v>
      </c>
      <c r="B475">
        <v>500</v>
      </c>
      <c r="C475">
        <v>3</v>
      </c>
      <c r="D475">
        <v>24</v>
      </c>
      <c r="E475">
        <v>27</v>
      </c>
      <c r="F475" t="s">
        <v>30</v>
      </c>
      <c r="G475" t="s">
        <v>31</v>
      </c>
      <c r="H475" t="s">
        <v>32</v>
      </c>
      <c r="I475">
        <v>40</v>
      </c>
      <c r="J475">
        <v>12.732395447351628</v>
      </c>
      <c r="K475">
        <v>6</v>
      </c>
      <c r="L475">
        <v>11</v>
      </c>
      <c r="N475" t="s">
        <v>20</v>
      </c>
      <c r="O475" t="s">
        <v>16</v>
      </c>
      <c r="P475" t="s">
        <v>303</v>
      </c>
      <c r="Q475">
        <v>10</v>
      </c>
      <c r="R475">
        <v>15</v>
      </c>
      <c r="S475">
        <v>12</v>
      </c>
      <c r="T475" t="s">
        <v>276</v>
      </c>
      <c r="U475">
        <v>8.6412988306268909E-2</v>
      </c>
    </row>
    <row r="476" spans="1:21" x14ac:dyDescent="0.25">
      <c r="A476">
        <v>9</v>
      </c>
      <c r="B476">
        <v>100</v>
      </c>
      <c r="C476">
        <v>2</v>
      </c>
      <c r="D476">
        <v>27</v>
      </c>
      <c r="E476">
        <v>27</v>
      </c>
      <c r="F476" t="s">
        <v>30</v>
      </c>
      <c r="G476" t="s">
        <v>31</v>
      </c>
      <c r="H476" t="s">
        <v>32</v>
      </c>
      <c r="I476">
        <v>19</v>
      </c>
      <c r="J476">
        <v>6.0478878374920226</v>
      </c>
      <c r="K476">
        <v>6</v>
      </c>
      <c r="L476">
        <v>8</v>
      </c>
      <c r="N476" t="s">
        <v>20</v>
      </c>
      <c r="O476" t="s">
        <v>16</v>
      </c>
      <c r="P476" t="s">
        <v>303</v>
      </c>
      <c r="Q476">
        <v>7.5</v>
      </c>
      <c r="R476">
        <v>5</v>
      </c>
    </row>
    <row r="477" spans="1:21" x14ac:dyDescent="0.25">
      <c r="A477">
        <v>11</v>
      </c>
      <c r="B477">
        <v>100</v>
      </c>
      <c r="C477">
        <v>3</v>
      </c>
      <c r="D477">
        <v>27</v>
      </c>
      <c r="E477">
        <v>27</v>
      </c>
      <c r="F477" t="s">
        <v>30</v>
      </c>
      <c r="G477" t="s">
        <v>31</v>
      </c>
      <c r="H477" t="s">
        <v>32</v>
      </c>
      <c r="I477">
        <v>24</v>
      </c>
      <c r="J477">
        <v>7.6394372684109761</v>
      </c>
      <c r="K477">
        <v>7</v>
      </c>
      <c r="L477">
        <v>8.5</v>
      </c>
      <c r="N477" t="s">
        <v>20</v>
      </c>
      <c r="O477" t="s">
        <v>16</v>
      </c>
      <c r="P477" t="s">
        <v>303</v>
      </c>
      <c r="Q477">
        <v>7.5</v>
      </c>
      <c r="R477">
        <v>10</v>
      </c>
    </row>
    <row r="478" spans="1:21" x14ac:dyDescent="0.25">
      <c r="A478">
        <v>6</v>
      </c>
      <c r="B478">
        <v>100</v>
      </c>
      <c r="C478">
        <v>4</v>
      </c>
      <c r="D478">
        <v>25</v>
      </c>
      <c r="E478">
        <v>28</v>
      </c>
      <c r="F478" t="s">
        <v>30</v>
      </c>
      <c r="G478" t="s">
        <v>31</v>
      </c>
      <c r="H478" t="s">
        <v>32</v>
      </c>
      <c r="I478">
        <v>22</v>
      </c>
      <c r="J478">
        <v>7.0028174960433951</v>
      </c>
      <c r="K478">
        <v>6</v>
      </c>
      <c r="L478">
        <v>9</v>
      </c>
      <c r="N478" t="s">
        <v>20</v>
      </c>
      <c r="O478" t="s">
        <v>16</v>
      </c>
      <c r="P478" t="s">
        <v>303</v>
      </c>
      <c r="Q478">
        <v>10</v>
      </c>
      <c r="R478">
        <v>5</v>
      </c>
    </row>
    <row r="479" spans="1:21" x14ac:dyDescent="0.25">
      <c r="A479">
        <v>9</v>
      </c>
      <c r="B479">
        <v>100</v>
      </c>
      <c r="C479">
        <v>2</v>
      </c>
      <c r="D479">
        <v>28</v>
      </c>
      <c r="E479">
        <v>28</v>
      </c>
      <c r="F479" t="s">
        <v>30</v>
      </c>
      <c r="G479" t="s">
        <v>31</v>
      </c>
      <c r="H479" t="s">
        <v>32</v>
      </c>
      <c r="I479">
        <v>21.5</v>
      </c>
      <c r="J479">
        <v>6.8436625529514998</v>
      </c>
      <c r="K479">
        <v>5.5</v>
      </c>
      <c r="L479">
        <v>9</v>
      </c>
      <c r="N479" t="s">
        <v>20</v>
      </c>
      <c r="O479" t="s">
        <v>16</v>
      </c>
      <c r="P479" t="s">
        <v>303</v>
      </c>
      <c r="Q479">
        <v>10</v>
      </c>
      <c r="R479">
        <v>5</v>
      </c>
    </row>
    <row r="480" spans="1:21" x14ac:dyDescent="0.25">
      <c r="A480">
        <v>5</v>
      </c>
      <c r="B480">
        <v>100</v>
      </c>
      <c r="C480">
        <v>4</v>
      </c>
      <c r="D480">
        <v>27</v>
      </c>
      <c r="E480">
        <v>29</v>
      </c>
      <c r="F480" t="s">
        <v>30</v>
      </c>
      <c r="G480" t="s">
        <v>31</v>
      </c>
      <c r="H480" t="s">
        <v>32</v>
      </c>
      <c r="I480">
        <v>18</v>
      </c>
      <c r="J480">
        <v>5.7295779513082321</v>
      </c>
      <c r="K480">
        <v>4</v>
      </c>
      <c r="L480">
        <v>6</v>
      </c>
      <c r="N480" t="s">
        <v>20</v>
      </c>
      <c r="O480" t="s">
        <v>16</v>
      </c>
      <c r="P480" t="s">
        <v>303</v>
      </c>
      <c r="Q480">
        <v>5</v>
      </c>
      <c r="R480">
        <v>5</v>
      </c>
    </row>
    <row r="481" spans="1:21" x14ac:dyDescent="0.25">
      <c r="A481">
        <v>9</v>
      </c>
      <c r="B481">
        <v>100</v>
      </c>
      <c r="C481">
        <v>3</v>
      </c>
      <c r="D481">
        <v>29</v>
      </c>
      <c r="E481">
        <v>29</v>
      </c>
      <c r="F481" t="s">
        <v>30</v>
      </c>
      <c r="G481" t="s">
        <v>31</v>
      </c>
      <c r="H481" t="s">
        <v>32</v>
      </c>
      <c r="I481">
        <v>17</v>
      </c>
      <c r="J481">
        <v>5.4112680651244416</v>
      </c>
      <c r="K481">
        <v>6</v>
      </c>
      <c r="L481">
        <v>8.5</v>
      </c>
      <c r="N481" t="s">
        <v>20</v>
      </c>
      <c r="O481" t="s">
        <v>16</v>
      </c>
      <c r="P481" t="s">
        <v>303</v>
      </c>
      <c r="Q481">
        <v>7.5</v>
      </c>
      <c r="R481">
        <v>5</v>
      </c>
    </row>
    <row r="482" spans="1:21" x14ac:dyDescent="0.25">
      <c r="A482">
        <v>2</v>
      </c>
      <c r="B482">
        <v>500</v>
      </c>
      <c r="C482">
        <v>2</v>
      </c>
      <c r="D482">
        <v>29</v>
      </c>
      <c r="E482">
        <v>30</v>
      </c>
      <c r="F482" t="s">
        <v>30</v>
      </c>
      <c r="G482" t="s">
        <v>31</v>
      </c>
      <c r="H482" t="s">
        <v>32</v>
      </c>
      <c r="I482">
        <v>48.5</v>
      </c>
      <c r="J482">
        <v>15.438029479913848</v>
      </c>
      <c r="K482">
        <v>8</v>
      </c>
      <c r="L482">
        <v>13</v>
      </c>
      <c r="N482" t="s">
        <v>20</v>
      </c>
      <c r="O482" t="s">
        <v>16</v>
      </c>
      <c r="P482" t="s">
        <v>303</v>
      </c>
      <c r="Q482">
        <v>12.5</v>
      </c>
      <c r="R482">
        <v>15</v>
      </c>
      <c r="S482">
        <v>12</v>
      </c>
      <c r="T482" t="s">
        <v>276</v>
      </c>
      <c r="U482">
        <v>0.14682170489643562</v>
      </c>
    </row>
    <row r="483" spans="1:21" x14ac:dyDescent="0.25">
      <c r="A483">
        <v>1</v>
      </c>
      <c r="B483">
        <v>500</v>
      </c>
      <c r="C483">
        <v>4</v>
      </c>
      <c r="D483">
        <v>28</v>
      </c>
      <c r="E483">
        <v>31</v>
      </c>
      <c r="F483" t="s">
        <v>30</v>
      </c>
      <c r="G483" t="s">
        <v>31</v>
      </c>
      <c r="H483" t="s">
        <v>32</v>
      </c>
      <c r="I483">
        <v>34</v>
      </c>
      <c r="J483">
        <v>10.822536130248883</v>
      </c>
      <c r="K483">
        <v>6</v>
      </c>
      <c r="L483">
        <v>9</v>
      </c>
      <c r="N483" t="s">
        <v>20</v>
      </c>
      <c r="O483" t="s">
        <v>16</v>
      </c>
      <c r="P483" t="s">
        <v>303</v>
      </c>
      <c r="Q483">
        <v>10</v>
      </c>
      <c r="R483">
        <v>10</v>
      </c>
      <c r="S483">
        <v>12</v>
      </c>
      <c r="T483" t="s">
        <v>276</v>
      </c>
      <c r="U483">
        <v>5.2119703566845706E-2</v>
      </c>
    </row>
    <row r="484" spans="1:21" x14ac:dyDescent="0.25">
      <c r="A484">
        <v>9</v>
      </c>
      <c r="B484">
        <v>100</v>
      </c>
      <c r="C484">
        <v>3</v>
      </c>
      <c r="D484">
        <v>31</v>
      </c>
      <c r="E484">
        <v>31</v>
      </c>
      <c r="F484" t="s">
        <v>30</v>
      </c>
      <c r="G484" t="s">
        <v>31</v>
      </c>
      <c r="H484" t="s">
        <v>32</v>
      </c>
      <c r="I484">
        <v>16.5</v>
      </c>
      <c r="J484">
        <v>5.2521131220325463</v>
      </c>
      <c r="K484">
        <v>4</v>
      </c>
      <c r="L484">
        <v>8</v>
      </c>
      <c r="N484" t="s">
        <v>20</v>
      </c>
      <c r="O484" t="s">
        <v>16</v>
      </c>
      <c r="P484" t="s">
        <v>303</v>
      </c>
      <c r="Q484">
        <v>7.5</v>
      </c>
      <c r="R484">
        <v>5</v>
      </c>
    </row>
    <row r="485" spans="1:21" x14ac:dyDescent="0.25">
      <c r="A485">
        <v>7</v>
      </c>
      <c r="B485">
        <v>500</v>
      </c>
      <c r="C485">
        <v>3</v>
      </c>
      <c r="D485">
        <v>30</v>
      </c>
      <c r="E485">
        <v>33</v>
      </c>
      <c r="F485" t="s">
        <v>30</v>
      </c>
      <c r="G485" t="s">
        <v>31</v>
      </c>
      <c r="H485" t="s">
        <v>32</v>
      </c>
      <c r="I485">
        <v>45.5</v>
      </c>
      <c r="J485">
        <v>14.483099821362476</v>
      </c>
      <c r="K485">
        <v>7</v>
      </c>
      <c r="L485">
        <v>14</v>
      </c>
      <c r="N485" t="s">
        <v>20</v>
      </c>
      <c r="O485" t="s">
        <v>16</v>
      </c>
      <c r="P485" t="s">
        <v>303</v>
      </c>
      <c r="Q485">
        <v>15</v>
      </c>
      <c r="R485">
        <v>15</v>
      </c>
      <c r="S485">
        <v>12</v>
      </c>
      <c r="T485" t="s">
        <v>276</v>
      </c>
      <c r="U485">
        <v>0.13980907076420018</v>
      </c>
    </row>
    <row r="486" spans="1:21" x14ac:dyDescent="0.25">
      <c r="A486">
        <v>11</v>
      </c>
      <c r="B486">
        <v>100</v>
      </c>
      <c r="C486">
        <v>3</v>
      </c>
      <c r="D486">
        <v>33</v>
      </c>
      <c r="E486">
        <v>33</v>
      </c>
      <c r="F486" t="s">
        <v>30</v>
      </c>
      <c r="G486" t="s">
        <v>31</v>
      </c>
      <c r="H486" t="s">
        <v>32</v>
      </c>
      <c r="I486">
        <v>20.5</v>
      </c>
      <c r="J486">
        <v>6.5253526667677093</v>
      </c>
      <c r="K486">
        <v>7</v>
      </c>
      <c r="L486">
        <v>8.5</v>
      </c>
      <c r="N486" t="s">
        <v>20</v>
      </c>
      <c r="O486" t="s">
        <v>16</v>
      </c>
      <c r="P486" t="s">
        <v>303</v>
      </c>
      <c r="Q486">
        <v>7.5</v>
      </c>
      <c r="R486">
        <v>5</v>
      </c>
    </row>
    <row r="487" spans="1:21" x14ac:dyDescent="0.25">
      <c r="A487">
        <v>12</v>
      </c>
      <c r="B487">
        <v>100</v>
      </c>
      <c r="C487">
        <v>3</v>
      </c>
      <c r="D487">
        <v>21</v>
      </c>
      <c r="E487">
        <v>33</v>
      </c>
      <c r="F487" t="s">
        <v>30</v>
      </c>
      <c r="G487" t="s">
        <v>31</v>
      </c>
      <c r="H487" t="s">
        <v>32</v>
      </c>
      <c r="I487">
        <v>22</v>
      </c>
      <c r="J487">
        <v>7.0028174960433951</v>
      </c>
      <c r="K487">
        <v>8</v>
      </c>
      <c r="L487">
        <v>9</v>
      </c>
      <c r="N487" t="s">
        <v>20</v>
      </c>
      <c r="O487" t="s">
        <v>16</v>
      </c>
      <c r="P487" t="s">
        <v>303</v>
      </c>
      <c r="Q487">
        <v>10</v>
      </c>
      <c r="R487">
        <v>5</v>
      </c>
    </row>
    <row r="488" spans="1:21" x14ac:dyDescent="0.25">
      <c r="A488">
        <v>7</v>
      </c>
      <c r="B488">
        <v>500</v>
      </c>
      <c r="C488">
        <v>3</v>
      </c>
      <c r="D488">
        <v>32</v>
      </c>
      <c r="E488">
        <v>35</v>
      </c>
      <c r="F488" t="s">
        <v>30</v>
      </c>
      <c r="G488" t="s">
        <v>31</v>
      </c>
      <c r="H488" t="s">
        <v>32</v>
      </c>
      <c r="I488">
        <v>33</v>
      </c>
      <c r="J488">
        <v>10.504226244065093</v>
      </c>
      <c r="K488">
        <v>9</v>
      </c>
      <c r="L488">
        <v>12</v>
      </c>
      <c r="N488" t="s">
        <v>20</v>
      </c>
      <c r="O488" t="s">
        <v>16</v>
      </c>
      <c r="P488" t="s">
        <v>303</v>
      </c>
      <c r="Q488">
        <v>12.5</v>
      </c>
      <c r="R488">
        <v>10</v>
      </c>
      <c r="S488">
        <v>12</v>
      </c>
      <c r="T488" t="s">
        <v>276</v>
      </c>
      <c r="U488">
        <v>6.5256166087208245E-2</v>
      </c>
    </row>
    <row r="489" spans="1:21" x14ac:dyDescent="0.25">
      <c r="A489">
        <v>5</v>
      </c>
      <c r="B489">
        <v>500</v>
      </c>
      <c r="C489">
        <v>4</v>
      </c>
      <c r="D489">
        <v>35</v>
      </c>
      <c r="E489">
        <v>37</v>
      </c>
      <c r="F489" t="s">
        <v>30</v>
      </c>
      <c r="G489" t="s">
        <v>31</v>
      </c>
      <c r="H489" t="s">
        <v>32</v>
      </c>
      <c r="I489">
        <v>34</v>
      </c>
      <c r="J489">
        <v>10.822536130248883</v>
      </c>
      <c r="K489">
        <v>7</v>
      </c>
      <c r="L489">
        <v>10</v>
      </c>
      <c r="N489" t="s">
        <v>20</v>
      </c>
      <c r="O489" t="s">
        <v>16</v>
      </c>
      <c r="P489" t="s">
        <v>303</v>
      </c>
      <c r="Q489">
        <v>10</v>
      </c>
      <c r="R489">
        <v>10</v>
      </c>
      <c r="S489">
        <v>12</v>
      </c>
      <c r="T489" t="s">
        <v>276</v>
      </c>
      <c r="U489">
        <v>5.7781330024967617E-2</v>
      </c>
    </row>
    <row r="490" spans="1:21" x14ac:dyDescent="0.25">
      <c r="A490">
        <v>9</v>
      </c>
      <c r="B490">
        <v>100</v>
      </c>
      <c r="C490">
        <v>3</v>
      </c>
      <c r="D490">
        <v>37</v>
      </c>
      <c r="E490">
        <v>37</v>
      </c>
      <c r="F490" t="s">
        <v>30</v>
      </c>
      <c r="G490" t="s">
        <v>31</v>
      </c>
      <c r="H490" t="s">
        <v>32</v>
      </c>
      <c r="I490">
        <v>17.5</v>
      </c>
      <c r="J490">
        <v>5.5704230082163368</v>
      </c>
      <c r="K490">
        <v>8</v>
      </c>
      <c r="L490">
        <v>10</v>
      </c>
      <c r="N490" t="s">
        <v>20</v>
      </c>
      <c r="O490" t="s">
        <v>16</v>
      </c>
      <c r="P490" t="s">
        <v>303</v>
      </c>
      <c r="Q490">
        <v>10</v>
      </c>
      <c r="R490">
        <v>5</v>
      </c>
    </row>
    <row r="491" spans="1:21" x14ac:dyDescent="0.25">
      <c r="A491">
        <v>10</v>
      </c>
      <c r="B491">
        <v>100</v>
      </c>
      <c r="C491">
        <v>4</v>
      </c>
      <c r="D491">
        <v>38</v>
      </c>
      <c r="E491">
        <v>38</v>
      </c>
      <c r="F491" t="s">
        <v>30</v>
      </c>
      <c r="G491" t="s">
        <v>31</v>
      </c>
      <c r="H491" t="s">
        <v>32</v>
      </c>
      <c r="I491">
        <v>26</v>
      </c>
      <c r="J491">
        <v>8.2760570407785572</v>
      </c>
      <c r="K491">
        <v>5.5</v>
      </c>
      <c r="L491">
        <v>10</v>
      </c>
      <c r="N491" t="s">
        <v>20</v>
      </c>
      <c r="O491" t="s">
        <v>16</v>
      </c>
      <c r="P491" t="s">
        <v>303</v>
      </c>
      <c r="Q491">
        <v>10</v>
      </c>
      <c r="R491">
        <v>10</v>
      </c>
    </row>
    <row r="492" spans="1:21" x14ac:dyDescent="0.25">
      <c r="A492">
        <v>12</v>
      </c>
      <c r="B492">
        <v>100</v>
      </c>
      <c r="C492">
        <v>4</v>
      </c>
      <c r="D492">
        <v>28</v>
      </c>
      <c r="E492">
        <v>40</v>
      </c>
      <c r="F492" t="s">
        <v>30</v>
      </c>
      <c r="G492" t="s">
        <v>31</v>
      </c>
      <c r="H492" t="s">
        <v>32</v>
      </c>
      <c r="I492">
        <v>20.5</v>
      </c>
      <c r="J492">
        <v>6.5253526667677093</v>
      </c>
      <c r="K492">
        <v>2</v>
      </c>
      <c r="L492">
        <v>9</v>
      </c>
      <c r="N492" t="s">
        <v>20</v>
      </c>
      <c r="O492" t="s">
        <v>16</v>
      </c>
      <c r="P492" t="s">
        <v>303</v>
      </c>
      <c r="Q492">
        <v>10</v>
      </c>
      <c r="R492">
        <v>5</v>
      </c>
    </row>
    <row r="493" spans="1:21" x14ac:dyDescent="0.25">
      <c r="A493">
        <v>2</v>
      </c>
      <c r="B493">
        <v>500</v>
      </c>
      <c r="C493">
        <v>3</v>
      </c>
      <c r="D493">
        <v>39</v>
      </c>
      <c r="E493">
        <v>41</v>
      </c>
      <c r="F493" t="s">
        <v>30</v>
      </c>
      <c r="G493" t="s">
        <v>31</v>
      </c>
      <c r="H493" t="s">
        <v>32</v>
      </c>
      <c r="I493">
        <v>36.5</v>
      </c>
      <c r="J493">
        <v>11.618310845708359</v>
      </c>
      <c r="K493">
        <v>4</v>
      </c>
      <c r="L493">
        <v>9</v>
      </c>
      <c r="N493" t="s">
        <v>20</v>
      </c>
      <c r="O493" t="s">
        <v>16</v>
      </c>
      <c r="P493" t="s">
        <v>303</v>
      </c>
      <c r="Q493">
        <v>10</v>
      </c>
      <c r="R493">
        <v>10</v>
      </c>
      <c r="S493">
        <v>12</v>
      </c>
      <c r="T493" t="s">
        <v>276</v>
      </c>
      <c r="U493">
        <v>5.9651913351807223E-2</v>
      </c>
    </row>
    <row r="494" spans="1:21" x14ac:dyDescent="0.25">
      <c r="A494">
        <v>2</v>
      </c>
      <c r="B494">
        <v>500</v>
      </c>
      <c r="C494">
        <v>3</v>
      </c>
      <c r="D494">
        <v>40</v>
      </c>
      <c r="E494">
        <v>42</v>
      </c>
      <c r="F494" t="s">
        <v>30</v>
      </c>
      <c r="G494" t="s">
        <v>31</v>
      </c>
      <c r="H494" t="s">
        <v>32</v>
      </c>
      <c r="I494">
        <v>45</v>
      </c>
      <c r="J494">
        <v>14.323944878270581</v>
      </c>
      <c r="K494">
        <v>5</v>
      </c>
      <c r="L494">
        <v>10</v>
      </c>
      <c r="N494" t="s">
        <v>20</v>
      </c>
      <c r="O494" t="s">
        <v>16</v>
      </c>
      <c r="P494" t="s">
        <v>303</v>
      </c>
      <c r="Q494">
        <v>10</v>
      </c>
      <c r="R494">
        <v>15</v>
      </c>
      <c r="S494">
        <v>12</v>
      </c>
      <c r="T494" t="s">
        <v>276</v>
      </c>
      <c r="U494">
        <v>9.8487560842440897E-2</v>
      </c>
    </row>
    <row r="495" spans="1:21" x14ac:dyDescent="0.25">
      <c r="A495">
        <v>8</v>
      </c>
      <c r="B495">
        <v>500</v>
      </c>
      <c r="C495">
        <v>3</v>
      </c>
      <c r="D495">
        <v>37</v>
      </c>
      <c r="E495">
        <v>42</v>
      </c>
      <c r="F495" t="s">
        <v>30</v>
      </c>
      <c r="G495" t="s">
        <v>31</v>
      </c>
      <c r="H495" t="s">
        <v>32</v>
      </c>
      <c r="I495">
        <v>40</v>
      </c>
      <c r="J495">
        <v>12.732395447351628</v>
      </c>
      <c r="K495">
        <v>9</v>
      </c>
      <c r="L495">
        <v>12</v>
      </c>
      <c r="N495" t="s">
        <v>20</v>
      </c>
      <c r="O495" t="s">
        <v>16</v>
      </c>
      <c r="P495" t="s">
        <v>303</v>
      </c>
      <c r="Q495">
        <v>12.5</v>
      </c>
      <c r="R495">
        <v>15</v>
      </c>
      <c r="S495">
        <v>12</v>
      </c>
      <c r="T495" t="s">
        <v>276</v>
      </c>
      <c r="U495">
        <v>9.4094654617910181E-2</v>
      </c>
    </row>
    <row r="496" spans="1:21" x14ac:dyDescent="0.25">
      <c r="A496">
        <v>7</v>
      </c>
      <c r="B496">
        <v>500</v>
      </c>
      <c r="C496">
        <v>4</v>
      </c>
      <c r="D496">
        <v>42</v>
      </c>
      <c r="E496">
        <v>45</v>
      </c>
      <c r="F496" t="s">
        <v>30</v>
      </c>
      <c r="G496" t="s">
        <v>31</v>
      </c>
      <c r="H496" t="s">
        <v>32</v>
      </c>
      <c r="I496">
        <v>53</v>
      </c>
      <c r="J496">
        <v>16.870423967740905</v>
      </c>
      <c r="K496">
        <v>5.5</v>
      </c>
      <c r="L496">
        <v>12</v>
      </c>
      <c r="N496" t="s">
        <v>20</v>
      </c>
      <c r="O496" t="s">
        <v>16</v>
      </c>
      <c r="P496" t="s">
        <v>303</v>
      </c>
      <c r="Q496">
        <v>12.5</v>
      </c>
      <c r="R496">
        <v>15</v>
      </c>
      <c r="S496">
        <v>12</v>
      </c>
      <c r="T496" t="s">
        <v>276</v>
      </c>
      <c r="U496">
        <v>0.1607223683694381</v>
      </c>
    </row>
    <row r="497" spans="1:21" x14ac:dyDescent="0.25">
      <c r="A497">
        <v>9</v>
      </c>
      <c r="B497">
        <v>100</v>
      </c>
      <c r="C497">
        <v>4</v>
      </c>
      <c r="D497">
        <v>45</v>
      </c>
      <c r="E497">
        <v>45</v>
      </c>
      <c r="F497" t="s">
        <v>30</v>
      </c>
      <c r="G497" t="s">
        <v>31</v>
      </c>
      <c r="H497" t="s">
        <v>32</v>
      </c>
      <c r="I497">
        <v>18</v>
      </c>
      <c r="J497">
        <v>5.7295779513082321</v>
      </c>
      <c r="K497">
        <v>4.5</v>
      </c>
      <c r="L497">
        <v>6</v>
      </c>
      <c r="N497" t="s">
        <v>20</v>
      </c>
      <c r="O497" t="s">
        <v>16</v>
      </c>
      <c r="P497" t="s">
        <v>303</v>
      </c>
      <c r="Q497">
        <v>5</v>
      </c>
      <c r="R497">
        <v>5</v>
      </c>
    </row>
    <row r="498" spans="1:21" x14ac:dyDescent="0.25">
      <c r="A498">
        <v>9</v>
      </c>
      <c r="B498">
        <v>100</v>
      </c>
      <c r="C498">
        <v>4</v>
      </c>
      <c r="D498">
        <v>47</v>
      </c>
      <c r="E498">
        <v>47</v>
      </c>
      <c r="F498" t="s">
        <v>30</v>
      </c>
      <c r="G498" t="s">
        <v>31</v>
      </c>
      <c r="H498" t="s">
        <v>32</v>
      </c>
      <c r="I498">
        <v>17.5</v>
      </c>
      <c r="J498">
        <v>5.5704230082163368</v>
      </c>
      <c r="K498">
        <v>2.5</v>
      </c>
      <c r="L498">
        <v>7</v>
      </c>
      <c r="N498" t="s">
        <v>20</v>
      </c>
      <c r="O498" t="s">
        <v>16</v>
      </c>
      <c r="P498" t="s">
        <v>303</v>
      </c>
      <c r="Q498">
        <v>7.5</v>
      </c>
      <c r="R498">
        <v>5</v>
      </c>
    </row>
    <row r="499" spans="1:21" x14ac:dyDescent="0.25">
      <c r="A499">
        <v>4</v>
      </c>
      <c r="B499">
        <v>500</v>
      </c>
      <c r="C499">
        <v>4</v>
      </c>
      <c r="D499">
        <v>46</v>
      </c>
      <c r="E499">
        <v>48</v>
      </c>
      <c r="F499" t="s">
        <v>30</v>
      </c>
      <c r="G499" t="s">
        <v>31</v>
      </c>
      <c r="H499" t="s">
        <v>32</v>
      </c>
      <c r="I499">
        <v>42.5</v>
      </c>
      <c r="J499">
        <v>13.528170162811104</v>
      </c>
      <c r="K499">
        <v>6</v>
      </c>
      <c r="L499">
        <v>11</v>
      </c>
      <c r="N499" t="s">
        <v>20</v>
      </c>
      <c r="O499" t="s">
        <v>16</v>
      </c>
      <c r="P499" t="s">
        <v>303</v>
      </c>
      <c r="Q499">
        <v>10</v>
      </c>
      <c r="R499">
        <v>15</v>
      </c>
      <c r="S499">
        <v>12</v>
      </c>
      <c r="T499" t="s">
        <v>276</v>
      </c>
      <c r="U499">
        <v>9.6977033610609026E-2</v>
      </c>
    </row>
    <row r="500" spans="1:21" x14ac:dyDescent="0.25">
      <c r="A500">
        <v>2</v>
      </c>
      <c r="B500">
        <v>500</v>
      </c>
      <c r="C500">
        <v>3</v>
      </c>
      <c r="D500">
        <v>48</v>
      </c>
      <c r="E500">
        <v>52</v>
      </c>
      <c r="F500" t="s">
        <v>30</v>
      </c>
      <c r="G500" t="s">
        <v>31</v>
      </c>
      <c r="H500" t="s">
        <v>32</v>
      </c>
      <c r="I500">
        <v>32</v>
      </c>
      <c r="J500">
        <v>10.185916357881302</v>
      </c>
      <c r="K500">
        <v>6</v>
      </c>
      <c r="L500">
        <v>9</v>
      </c>
      <c r="N500" t="s">
        <v>20</v>
      </c>
      <c r="O500" t="s">
        <v>16</v>
      </c>
      <c r="P500" t="s">
        <v>303</v>
      </c>
      <c r="Q500">
        <v>10</v>
      </c>
      <c r="R500">
        <v>10</v>
      </c>
      <c r="S500">
        <v>12</v>
      </c>
      <c r="T500" t="s">
        <v>276</v>
      </c>
      <c r="U500">
        <v>4.6442123120946172E-2</v>
      </c>
    </row>
    <row r="501" spans="1:21" x14ac:dyDescent="0.25">
      <c r="A501">
        <v>8</v>
      </c>
      <c r="B501">
        <v>500</v>
      </c>
      <c r="C501">
        <v>4</v>
      </c>
      <c r="D501">
        <v>49</v>
      </c>
      <c r="E501">
        <v>54</v>
      </c>
      <c r="F501" t="s">
        <v>30</v>
      </c>
      <c r="G501" t="s">
        <v>31</v>
      </c>
      <c r="H501" t="s">
        <v>32</v>
      </c>
      <c r="I501">
        <v>33</v>
      </c>
      <c r="J501">
        <v>10.504226244065093</v>
      </c>
      <c r="K501">
        <v>8</v>
      </c>
      <c r="L501">
        <v>12</v>
      </c>
      <c r="N501" t="s">
        <v>20</v>
      </c>
      <c r="O501" t="s">
        <v>16</v>
      </c>
      <c r="P501" t="s">
        <v>303</v>
      </c>
      <c r="Q501">
        <v>12.5</v>
      </c>
      <c r="R501">
        <v>10</v>
      </c>
      <c r="S501">
        <v>12</v>
      </c>
      <c r="T501" t="s">
        <v>276</v>
      </c>
      <c r="U501">
        <v>6.5256166087208245E-2</v>
      </c>
    </row>
    <row r="502" spans="1:21" x14ac:dyDescent="0.25">
      <c r="A502">
        <v>4</v>
      </c>
      <c r="B502">
        <v>500</v>
      </c>
      <c r="C502">
        <v>4</v>
      </c>
      <c r="D502">
        <v>54</v>
      </c>
      <c r="E502">
        <v>56</v>
      </c>
      <c r="F502" t="s">
        <v>30</v>
      </c>
      <c r="G502" t="s">
        <v>31</v>
      </c>
      <c r="H502" t="s">
        <v>32</v>
      </c>
      <c r="I502">
        <v>49</v>
      </c>
      <c r="J502">
        <v>15.597184423005743</v>
      </c>
      <c r="K502">
        <v>4</v>
      </c>
      <c r="L502">
        <v>13</v>
      </c>
      <c r="N502" t="s">
        <v>20</v>
      </c>
      <c r="O502" t="s">
        <v>16</v>
      </c>
      <c r="P502" t="s">
        <v>303</v>
      </c>
      <c r="Q502">
        <v>12.5</v>
      </c>
      <c r="R502">
        <v>15</v>
      </c>
      <c r="S502">
        <v>12</v>
      </c>
      <c r="T502" t="s">
        <v>276</v>
      </c>
      <c r="U502">
        <v>0.14971471547100634</v>
      </c>
    </row>
    <row r="503" spans="1:21" x14ac:dyDescent="0.25">
      <c r="A503">
        <v>2</v>
      </c>
      <c r="B503">
        <v>500</v>
      </c>
      <c r="C503">
        <v>4</v>
      </c>
      <c r="D503">
        <v>52</v>
      </c>
      <c r="E503">
        <v>57</v>
      </c>
      <c r="F503" t="s">
        <v>30</v>
      </c>
      <c r="G503" t="s">
        <v>31</v>
      </c>
      <c r="H503" t="s">
        <v>32</v>
      </c>
      <c r="I503">
        <v>36</v>
      </c>
      <c r="J503">
        <v>11.459155902616464</v>
      </c>
      <c r="K503">
        <v>4</v>
      </c>
      <c r="L503">
        <v>10</v>
      </c>
      <c r="N503" t="s">
        <v>20</v>
      </c>
      <c r="O503" t="s">
        <v>16</v>
      </c>
      <c r="P503" t="s">
        <v>303</v>
      </c>
      <c r="Q503">
        <v>10</v>
      </c>
      <c r="R503">
        <v>10</v>
      </c>
      <c r="S503">
        <v>12</v>
      </c>
      <c r="T503" t="s">
        <v>276</v>
      </c>
      <c r="U503">
        <v>6.4418932145957952E-2</v>
      </c>
    </row>
    <row r="504" spans="1:21" x14ac:dyDescent="0.25">
      <c r="A504">
        <v>8</v>
      </c>
      <c r="B504">
        <v>500</v>
      </c>
      <c r="C504">
        <v>4</v>
      </c>
      <c r="D504">
        <v>54</v>
      </c>
      <c r="E504">
        <v>59</v>
      </c>
      <c r="F504" t="s">
        <v>30</v>
      </c>
      <c r="G504" t="s">
        <v>31</v>
      </c>
      <c r="H504" t="s">
        <v>32</v>
      </c>
      <c r="I504">
        <v>34.5</v>
      </c>
      <c r="J504">
        <v>10.981691073340778</v>
      </c>
      <c r="K504">
        <v>8</v>
      </c>
      <c r="L504">
        <v>12</v>
      </c>
      <c r="N504" t="s">
        <v>20</v>
      </c>
      <c r="O504" t="s">
        <v>16</v>
      </c>
      <c r="P504" t="s">
        <v>303</v>
      </c>
      <c r="Q504">
        <v>12.5</v>
      </c>
      <c r="R504">
        <v>10</v>
      </c>
      <c r="S504">
        <v>12</v>
      </c>
      <c r="T504" t="s">
        <v>276</v>
      </c>
      <c r="U504">
        <v>7.1014809646230373E-2</v>
      </c>
    </row>
    <row r="505" spans="1:21" x14ac:dyDescent="0.25">
      <c r="A505">
        <v>8</v>
      </c>
      <c r="B505">
        <v>500</v>
      </c>
      <c r="C505">
        <v>4</v>
      </c>
      <c r="D505">
        <v>55</v>
      </c>
      <c r="E505">
        <v>60</v>
      </c>
      <c r="F505" t="s">
        <v>30</v>
      </c>
      <c r="G505" t="s">
        <v>31</v>
      </c>
      <c r="H505" t="s">
        <v>32</v>
      </c>
      <c r="I505">
        <v>47.5</v>
      </c>
      <c r="J505">
        <v>15.119719593730057</v>
      </c>
      <c r="K505">
        <v>3</v>
      </c>
      <c r="L505">
        <v>10</v>
      </c>
      <c r="N505" t="s">
        <v>20</v>
      </c>
      <c r="O505" t="s">
        <v>16</v>
      </c>
      <c r="P505" t="s">
        <v>303</v>
      </c>
      <c r="Q505">
        <v>10</v>
      </c>
      <c r="R505">
        <v>15</v>
      </c>
      <c r="S505">
        <v>12</v>
      </c>
      <c r="T505" t="s">
        <v>276</v>
      </c>
      <c r="U505">
        <v>0.10915743783971928</v>
      </c>
    </row>
    <row r="506" spans="1:21" x14ac:dyDescent="0.25">
      <c r="A506">
        <v>2</v>
      </c>
      <c r="B506">
        <v>500</v>
      </c>
      <c r="C506">
        <v>4</v>
      </c>
      <c r="D506">
        <v>55</v>
      </c>
      <c r="E506">
        <v>61</v>
      </c>
      <c r="F506" t="s">
        <v>30</v>
      </c>
      <c r="G506" t="s">
        <v>31</v>
      </c>
      <c r="H506" t="s">
        <v>32</v>
      </c>
      <c r="I506">
        <v>38</v>
      </c>
      <c r="J506">
        <v>12.095775674984045</v>
      </c>
      <c r="K506">
        <v>4</v>
      </c>
      <c r="L506">
        <v>9</v>
      </c>
      <c r="N506" t="s">
        <v>20</v>
      </c>
      <c r="O506" t="s">
        <v>16</v>
      </c>
      <c r="P506" t="s">
        <v>303</v>
      </c>
      <c r="Q506">
        <v>10</v>
      </c>
      <c r="R506">
        <v>10</v>
      </c>
      <c r="S506">
        <v>12</v>
      </c>
      <c r="T506" t="s">
        <v>276</v>
      </c>
      <c r="U506">
        <v>6.4402077256596954E-2</v>
      </c>
    </row>
    <row r="507" spans="1:21" x14ac:dyDescent="0.25">
      <c r="A507">
        <v>8</v>
      </c>
      <c r="B507">
        <v>500</v>
      </c>
      <c r="C507">
        <v>4</v>
      </c>
      <c r="D507">
        <v>58</v>
      </c>
      <c r="E507">
        <v>65</v>
      </c>
      <c r="F507" t="s">
        <v>30</v>
      </c>
      <c r="G507" t="s">
        <v>31</v>
      </c>
      <c r="H507" t="s">
        <v>32</v>
      </c>
      <c r="I507">
        <v>35.5</v>
      </c>
      <c r="J507">
        <v>11.300000959524569</v>
      </c>
      <c r="K507">
        <v>7</v>
      </c>
      <c r="L507">
        <v>13</v>
      </c>
      <c r="N507" t="s">
        <v>20</v>
      </c>
      <c r="O507" t="s">
        <v>16</v>
      </c>
      <c r="P507" t="s">
        <v>303</v>
      </c>
      <c r="Q507">
        <v>12.5</v>
      </c>
      <c r="R507">
        <v>10</v>
      </c>
      <c r="S507">
        <v>12</v>
      </c>
      <c r="T507" t="s">
        <v>276</v>
      </c>
      <c r="U507">
        <v>8.1092531123149361E-2</v>
      </c>
    </row>
    <row r="508" spans="1:21" x14ac:dyDescent="0.25">
      <c r="A508">
        <v>2</v>
      </c>
      <c r="B508">
        <v>100</v>
      </c>
      <c r="C508">
        <v>1</v>
      </c>
      <c r="D508">
        <v>1</v>
      </c>
      <c r="E508">
        <v>1</v>
      </c>
      <c r="F508" t="s">
        <v>23</v>
      </c>
      <c r="G508" t="s">
        <v>24</v>
      </c>
      <c r="H508" t="s">
        <v>25</v>
      </c>
      <c r="I508">
        <v>21.5</v>
      </c>
      <c r="J508">
        <v>6.8436625529514998</v>
      </c>
      <c r="K508">
        <v>5</v>
      </c>
      <c r="L508">
        <v>8</v>
      </c>
      <c r="N508" t="s">
        <v>20</v>
      </c>
      <c r="O508" t="s">
        <v>16</v>
      </c>
      <c r="P508" t="s">
        <v>303</v>
      </c>
      <c r="Q508">
        <v>7.5</v>
      </c>
      <c r="R508">
        <v>5</v>
      </c>
    </row>
    <row r="509" spans="1:21" x14ac:dyDescent="0.25">
      <c r="A509">
        <v>8</v>
      </c>
      <c r="B509">
        <v>100</v>
      </c>
      <c r="C509">
        <v>1</v>
      </c>
      <c r="D509">
        <v>1</v>
      </c>
      <c r="E509">
        <v>1</v>
      </c>
      <c r="F509" t="s">
        <v>23</v>
      </c>
      <c r="G509" t="s">
        <v>24</v>
      </c>
      <c r="H509" t="s">
        <v>25</v>
      </c>
      <c r="I509">
        <v>30</v>
      </c>
      <c r="J509">
        <v>9.5492965855137211</v>
      </c>
      <c r="K509">
        <v>5.5</v>
      </c>
      <c r="L509">
        <v>10</v>
      </c>
      <c r="N509" t="s">
        <v>20</v>
      </c>
      <c r="O509" t="s">
        <v>16</v>
      </c>
      <c r="P509" t="s">
        <v>303</v>
      </c>
      <c r="Q509">
        <v>10</v>
      </c>
      <c r="R509">
        <v>10</v>
      </c>
    </row>
    <row r="510" spans="1:21" x14ac:dyDescent="0.25">
      <c r="A510">
        <v>1</v>
      </c>
      <c r="B510">
        <v>500</v>
      </c>
      <c r="C510">
        <v>1</v>
      </c>
      <c r="D510">
        <v>2</v>
      </c>
      <c r="E510">
        <v>2</v>
      </c>
      <c r="F510" t="s">
        <v>23</v>
      </c>
      <c r="G510" t="s">
        <v>24</v>
      </c>
      <c r="H510" t="s">
        <v>25</v>
      </c>
      <c r="I510">
        <v>70</v>
      </c>
      <c r="J510">
        <v>22.281692032865347</v>
      </c>
      <c r="K510">
        <v>3.5</v>
      </c>
      <c r="L510">
        <v>12</v>
      </c>
      <c r="N510" t="s">
        <v>20</v>
      </c>
      <c r="O510" t="s">
        <v>16</v>
      </c>
      <c r="P510" t="s">
        <v>303</v>
      </c>
      <c r="Q510">
        <v>12.5</v>
      </c>
      <c r="R510">
        <v>20</v>
      </c>
      <c r="S510">
        <v>15</v>
      </c>
      <c r="T510" t="s">
        <v>277</v>
      </c>
      <c r="U510">
        <v>0.26177424267000488</v>
      </c>
    </row>
    <row r="511" spans="1:21" x14ac:dyDescent="0.25">
      <c r="A511">
        <v>3</v>
      </c>
      <c r="B511">
        <v>500</v>
      </c>
      <c r="C511">
        <v>1</v>
      </c>
      <c r="D511">
        <v>2</v>
      </c>
      <c r="E511">
        <v>2</v>
      </c>
      <c r="F511" t="s">
        <v>23</v>
      </c>
      <c r="G511" t="s">
        <v>24</v>
      </c>
      <c r="H511" t="s">
        <v>25</v>
      </c>
      <c r="I511">
        <v>44</v>
      </c>
      <c r="J511">
        <v>14.00563499208679</v>
      </c>
      <c r="K511">
        <v>6</v>
      </c>
      <c r="L511">
        <v>10</v>
      </c>
      <c r="N511" t="s">
        <v>20</v>
      </c>
      <c r="O511" t="s">
        <v>16</v>
      </c>
      <c r="P511" t="s">
        <v>303</v>
      </c>
      <c r="Q511">
        <v>10</v>
      </c>
      <c r="R511">
        <v>15</v>
      </c>
      <c r="S511">
        <v>15</v>
      </c>
      <c r="T511" t="s">
        <v>277</v>
      </c>
      <c r="U511">
        <v>9.2768825280786782E-2</v>
      </c>
    </row>
    <row r="512" spans="1:21" x14ac:dyDescent="0.25">
      <c r="A512">
        <v>1</v>
      </c>
      <c r="B512">
        <v>500</v>
      </c>
      <c r="C512">
        <v>1</v>
      </c>
      <c r="D512">
        <v>3</v>
      </c>
      <c r="E512">
        <v>3</v>
      </c>
      <c r="F512" t="s">
        <v>23</v>
      </c>
      <c r="G512" t="s">
        <v>24</v>
      </c>
      <c r="H512" t="s">
        <v>25</v>
      </c>
      <c r="I512">
        <v>60</v>
      </c>
      <c r="J512">
        <v>19.098593171027442</v>
      </c>
      <c r="K512">
        <v>6</v>
      </c>
      <c r="L512">
        <v>13</v>
      </c>
      <c r="N512" t="s">
        <v>29</v>
      </c>
      <c r="O512" t="s">
        <v>16</v>
      </c>
      <c r="P512" t="s">
        <v>303</v>
      </c>
      <c r="Q512">
        <v>12.5</v>
      </c>
      <c r="R512">
        <v>20</v>
      </c>
      <c r="S512">
        <v>15</v>
      </c>
      <c r="T512" t="s">
        <v>277</v>
      </c>
      <c r="U512">
        <v>0.21146001641603238</v>
      </c>
    </row>
    <row r="513" spans="1:21" x14ac:dyDescent="0.25">
      <c r="A513">
        <v>1</v>
      </c>
      <c r="B513">
        <v>500</v>
      </c>
      <c r="C513">
        <v>1</v>
      </c>
      <c r="D513" t="s">
        <v>86</v>
      </c>
      <c r="E513">
        <v>4</v>
      </c>
      <c r="F513" t="s">
        <v>23</v>
      </c>
      <c r="G513" t="s">
        <v>24</v>
      </c>
      <c r="H513" t="s">
        <v>25</v>
      </c>
      <c r="I513">
        <v>71</v>
      </c>
      <c r="J513">
        <v>22.600001919049138</v>
      </c>
      <c r="K513">
        <v>7.5</v>
      </c>
      <c r="L513">
        <v>14</v>
      </c>
      <c r="N513" t="s">
        <v>20</v>
      </c>
      <c r="O513" t="s">
        <v>16</v>
      </c>
      <c r="P513" t="e">
        <v>#VALUE!</v>
      </c>
      <c r="Q513">
        <v>15</v>
      </c>
      <c r="R513">
        <v>25</v>
      </c>
      <c r="S513">
        <v>15</v>
      </c>
      <c r="T513" t="s">
        <v>277</v>
      </c>
      <c r="U513">
        <v>0.31031795060100054</v>
      </c>
    </row>
    <row r="514" spans="1:21" x14ac:dyDescent="0.25">
      <c r="A514">
        <v>7</v>
      </c>
      <c r="B514">
        <v>5</v>
      </c>
      <c r="D514">
        <v>22</v>
      </c>
      <c r="E514">
        <v>22</v>
      </c>
      <c r="F514" t="s">
        <v>90</v>
      </c>
      <c r="G514" t="s">
        <v>103</v>
      </c>
      <c r="H514" t="s">
        <v>104</v>
      </c>
      <c r="L514">
        <v>0.7</v>
      </c>
      <c r="M514" t="e">
        <v>#REF!</v>
      </c>
      <c r="O514" t="s">
        <v>16</v>
      </c>
      <c r="P514" t="s">
        <v>303</v>
      </c>
      <c r="Q514">
        <v>2.5</v>
      </c>
      <c r="R514">
        <v>5</v>
      </c>
    </row>
    <row r="515" spans="1:21" x14ac:dyDescent="0.25">
      <c r="A515">
        <v>3</v>
      </c>
      <c r="B515">
        <v>500</v>
      </c>
      <c r="C515">
        <v>1</v>
      </c>
      <c r="D515">
        <v>5</v>
      </c>
      <c r="E515">
        <v>5</v>
      </c>
      <c r="F515" t="s">
        <v>23</v>
      </c>
      <c r="G515" t="s">
        <v>24</v>
      </c>
      <c r="H515" t="s">
        <v>25</v>
      </c>
      <c r="I515">
        <v>35.5</v>
      </c>
      <c r="J515">
        <v>11.300000959524569</v>
      </c>
      <c r="K515">
        <v>6</v>
      </c>
      <c r="L515">
        <v>10</v>
      </c>
      <c r="N515" t="s">
        <v>20</v>
      </c>
      <c r="O515" t="s">
        <v>16</v>
      </c>
      <c r="P515" t="s">
        <v>303</v>
      </c>
      <c r="Q515">
        <v>10</v>
      </c>
      <c r="R515">
        <v>10</v>
      </c>
      <c r="S515">
        <v>15</v>
      </c>
      <c r="T515" t="s">
        <v>277</v>
      </c>
      <c r="U515">
        <v>6.2118436965634988E-2</v>
      </c>
    </row>
    <row r="516" spans="1:21" x14ac:dyDescent="0.25">
      <c r="A516">
        <v>1</v>
      </c>
      <c r="B516">
        <v>500</v>
      </c>
      <c r="C516">
        <v>2</v>
      </c>
      <c r="D516">
        <v>5</v>
      </c>
      <c r="E516">
        <v>6</v>
      </c>
      <c r="F516" t="s">
        <v>23</v>
      </c>
      <c r="G516" t="s">
        <v>24</v>
      </c>
      <c r="H516" t="s">
        <v>25</v>
      </c>
      <c r="I516">
        <v>54</v>
      </c>
      <c r="J516">
        <v>17.188733853924695</v>
      </c>
      <c r="K516">
        <v>6</v>
      </c>
      <c r="L516">
        <v>13</v>
      </c>
      <c r="N516" t="s">
        <v>20</v>
      </c>
      <c r="O516" t="s">
        <v>16</v>
      </c>
      <c r="P516" t="s">
        <v>303</v>
      </c>
      <c r="Q516">
        <v>12.5</v>
      </c>
      <c r="R516">
        <v>15</v>
      </c>
      <c r="S516">
        <v>15</v>
      </c>
      <c r="T516" t="s">
        <v>277</v>
      </c>
      <c r="U516">
        <v>0.17367382582472168</v>
      </c>
    </row>
    <row r="517" spans="1:21" x14ac:dyDescent="0.25">
      <c r="A517">
        <v>7</v>
      </c>
      <c r="B517">
        <v>100</v>
      </c>
      <c r="C517">
        <v>3</v>
      </c>
      <c r="D517">
        <v>6</v>
      </c>
      <c r="E517">
        <v>6</v>
      </c>
      <c r="F517" t="s">
        <v>23</v>
      </c>
      <c r="G517" t="s">
        <v>24</v>
      </c>
      <c r="H517" t="s">
        <v>25</v>
      </c>
      <c r="I517">
        <v>24</v>
      </c>
      <c r="J517">
        <v>7.6394372684109761</v>
      </c>
      <c r="K517">
        <v>8</v>
      </c>
      <c r="L517">
        <v>12</v>
      </c>
      <c r="N517" t="s">
        <v>20</v>
      </c>
      <c r="O517" t="s">
        <v>16</v>
      </c>
      <c r="P517" t="s">
        <v>303</v>
      </c>
      <c r="Q517">
        <v>12.5</v>
      </c>
      <c r="R517">
        <v>10</v>
      </c>
    </row>
    <row r="518" spans="1:21" x14ac:dyDescent="0.25">
      <c r="A518">
        <v>1</v>
      </c>
      <c r="B518">
        <v>500</v>
      </c>
      <c r="C518">
        <v>2</v>
      </c>
      <c r="D518">
        <v>6</v>
      </c>
      <c r="E518">
        <v>7</v>
      </c>
      <c r="F518" t="s">
        <v>23</v>
      </c>
      <c r="G518" t="s">
        <v>24</v>
      </c>
      <c r="H518" t="s">
        <v>25</v>
      </c>
      <c r="I518">
        <v>32</v>
      </c>
      <c r="J518">
        <v>10.185916357881302</v>
      </c>
      <c r="K518">
        <v>4</v>
      </c>
      <c r="L518">
        <v>7.5</v>
      </c>
      <c r="N518" t="s">
        <v>20</v>
      </c>
      <c r="O518" t="s">
        <v>16</v>
      </c>
      <c r="P518" t="s">
        <v>303</v>
      </c>
      <c r="Q518">
        <v>7.5</v>
      </c>
      <c r="R518">
        <v>10</v>
      </c>
      <c r="S518">
        <v>15</v>
      </c>
      <c r="T518" t="s">
        <v>277</v>
      </c>
      <c r="U518">
        <v>3.9137958929067379E-2</v>
      </c>
    </row>
    <row r="519" spans="1:21" x14ac:dyDescent="0.25">
      <c r="A519">
        <v>6</v>
      </c>
      <c r="B519">
        <v>500</v>
      </c>
      <c r="C519">
        <v>2</v>
      </c>
      <c r="D519">
        <v>6</v>
      </c>
      <c r="E519">
        <v>7</v>
      </c>
      <c r="F519" t="s">
        <v>23</v>
      </c>
      <c r="G519" t="s">
        <v>24</v>
      </c>
      <c r="H519" t="s">
        <v>25</v>
      </c>
      <c r="I519">
        <v>32.5</v>
      </c>
      <c r="J519">
        <v>10.345071300973197</v>
      </c>
      <c r="K519">
        <v>8</v>
      </c>
      <c r="L519">
        <v>11</v>
      </c>
      <c r="N519" t="s">
        <v>20</v>
      </c>
      <c r="O519" t="s">
        <v>16</v>
      </c>
      <c r="P519" t="s">
        <v>303</v>
      </c>
      <c r="Q519">
        <v>10</v>
      </c>
      <c r="R519">
        <v>10</v>
      </c>
      <c r="S519">
        <v>15</v>
      </c>
      <c r="T519" t="s">
        <v>277</v>
      </c>
      <c r="U519">
        <v>5.7562430110280276E-2</v>
      </c>
    </row>
    <row r="520" spans="1:21" x14ac:dyDescent="0.25">
      <c r="A520">
        <v>7</v>
      </c>
      <c r="B520">
        <v>5</v>
      </c>
      <c r="D520">
        <v>23</v>
      </c>
      <c r="E520">
        <v>23</v>
      </c>
      <c r="F520" t="s">
        <v>81</v>
      </c>
      <c r="G520" t="s">
        <v>190</v>
      </c>
      <c r="H520" t="s">
        <v>191</v>
      </c>
      <c r="L520">
        <v>0.3</v>
      </c>
      <c r="M520" t="e">
        <v>#REF!</v>
      </c>
      <c r="O520" t="s">
        <v>16</v>
      </c>
      <c r="P520" t="s">
        <v>303</v>
      </c>
      <c r="Q520">
        <v>2.5</v>
      </c>
      <c r="R520">
        <v>5</v>
      </c>
    </row>
    <row r="521" spans="1:21" x14ac:dyDescent="0.25">
      <c r="A521">
        <v>1</v>
      </c>
      <c r="B521">
        <v>500</v>
      </c>
      <c r="C521">
        <v>2</v>
      </c>
      <c r="D521">
        <v>9</v>
      </c>
      <c r="E521">
        <v>10</v>
      </c>
      <c r="F521" t="s">
        <v>23</v>
      </c>
      <c r="G521" t="s">
        <v>24</v>
      </c>
      <c r="H521" t="s">
        <v>25</v>
      </c>
      <c r="I521">
        <v>33</v>
      </c>
      <c r="J521">
        <v>10.504226244065093</v>
      </c>
      <c r="K521">
        <v>5.5</v>
      </c>
      <c r="L521">
        <v>8</v>
      </c>
      <c r="N521" t="s">
        <v>20</v>
      </c>
      <c r="O521" t="s">
        <v>16</v>
      </c>
      <c r="P521" t="s">
        <v>303</v>
      </c>
      <c r="Q521">
        <v>7.5</v>
      </c>
      <c r="R521">
        <v>10</v>
      </c>
      <c r="S521">
        <v>15</v>
      </c>
      <c r="T521" t="s">
        <v>277</v>
      </c>
      <c r="U521">
        <v>4.4023049005083581E-2</v>
      </c>
    </row>
    <row r="522" spans="1:21" x14ac:dyDescent="0.25">
      <c r="A522">
        <v>2</v>
      </c>
      <c r="B522">
        <v>500</v>
      </c>
      <c r="C522">
        <v>1</v>
      </c>
      <c r="D522">
        <v>10</v>
      </c>
      <c r="E522">
        <v>10</v>
      </c>
      <c r="F522" t="s">
        <v>23</v>
      </c>
      <c r="G522" t="s">
        <v>24</v>
      </c>
      <c r="H522" t="s">
        <v>25</v>
      </c>
      <c r="I522">
        <v>40</v>
      </c>
      <c r="J522">
        <v>12.732395447351628</v>
      </c>
      <c r="K522">
        <v>5</v>
      </c>
      <c r="L522">
        <v>12</v>
      </c>
      <c r="N522" t="s">
        <v>20</v>
      </c>
      <c r="O522" t="s">
        <v>16</v>
      </c>
      <c r="P522" t="s">
        <v>303</v>
      </c>
      <c r="Q522">
        <v>12.5</v>
      </c>
      <c r="R522">
        <v>15</v>
      </c>
      <c r="S522">
        <v>15</v>
      </c>
      <c r="T522" t="s">
        <v>277</v>
      </c>
      <c r="U522">
        <v>9.2009243969291984E-2</v>
      </c>
    </row>
    <row r="523" spans="1:21" x14ac:dyDescent="0.25">
      <c r="A523">
        <v>6</v>
      </c>
      <c r="B523">
        <v>500</v>
      </c>
      <c r="C523">
        <v>3</v>
      </c>
      <c r="D523">
        <v>9</v>
      </c>
      <c r="E523">
        <v>10</v>
      </c>
      <c r="F523" t="s">
        <v>23</v>
      </c>
      <c r="G523" t="s">
        <v>24</v>
      </c>
      <c r="H523" t="s">
        <v>25</v>
      </c>
      <c r="I523">
        <v>33.5</v>
      </c>
      <c r="J523">
        <v>10.663381187156988</v>
      </c>
      <c r="K523">
        <v>4.5</v>
      </c>
      <c r="L523">
        <v>9</v>
      </c>
      <c r="N523" t="s">
        <v>20</v>
      </c>
      <c r="O523" t="s">
        <v>16</v>
      </c>
      <c r="P523" t="s">
        <v>303</v>
      </c>
      <c r="Q523">
        <v>10</v>
      </c>
      <c r="R523">
        <v>10</v>
      </c>
      <c r="S523">
        <v>15</v>
      </c>
      <c r="T523" t="s">
        <v>277</v>
      </c>
      <c r="U523">
        <v>5.0528681488540506E-2</v>
      </c>
    </row>
    <row r="524" spans="1:21" x14ac:dyDescent="0.25">
      <c r="A524">
        <v>8</v>
      </c>
      <c r="B524">
        <v>100</v>
      </c>
      <c r="C524">
        <v>1</v>
      </c>
      <c r="D524">
        <v>10</v>
      </c>
      <c r="E524">
        <v>10</v>
      </c>
      <c r="F524" t="s">
        <v>23</v>
      </c>
      <c r="G524" t="s">
        <v>24</v>
      </c>
      <c r="H524" t="s">
        <v>25</v>
      </c>
      <c r="I524">
        <v>20</v>
      </c>
      <c r="J524">
        <v>6.366197723675814</v>
      </c>
      <c r="K524">
        <v>8</v>
      </c>
      <c r="L524">
        <v>11</v>
      </c>
      <c r="N524" t="s">
        <v>20</v>
      </c>
      <c r="O524" t="s">
        <v>16</v>
      </c>
      <c r="P524" t="s">
        <v>303</v>
      </c>
      <c r="Q524">
        <v>10</v>
      </c>
      <c r="R524">
        <v>5</v>
      </c>
    </row>
    <row r="525" spans="1:21" x14ac:dyDescent="0.25">
      <c r="A525">
        <v>2</v>
      </c>
      <c r="B525">
        <v>500</v>
      </c>
      <c r="C525">
        <v>1</v>
      </c>
      <c r="D525">
        <v>11</v>
      </c>
      <c r="E525">
        <v>11</v>
      </c>
      <c r="F525" t="s">
        <v>23</v>
      </c>
      <c r="G525" t="s">
        <v>24</v>
      </c>
      <c r="H525" t="s">
        <v>25</v>
      </c>
      <c r="I525">
        <v>41</v>
      </c>
      <c r="J525">
        <v>13.050705333535419</v>
      </c>
      <c r="K525">
        <v>8</v>
      </c>
      <c r="L525">
        <v>12</v>
      </c>
      <c r="N525" t="s">
        <v>20</v>
      </c>
      <c r="O525" t="s">
        <v>16</v>
      </c>
      <c r="P525" t="s">
        <v>303</v>
      </c>
      <c r="Q525">
        <v>12.5</v>
      </c>
      <c r="R525">
        <v>15</v>
      </c>
      <c r="S525">
        <v>15</v>
      </c>
      <c r="T525" t="s">
        <v>277</v>
      </c>
      <c r="U525">
        <v>9.6353627976860701E-2</v>
      </c>
    </row>
    <row r="526" spans="1:21" x14ac:dyDescent="0.25">
      <c r="A526">
        <v>3</v>
      </c>
      <c r="B526">
        <v>500</v>
      </c>
      <c r="C526">
        <v>1</v>
      </c>
      <c r="D526">
        <v>12</v>
      </c>
      <c r="E526">
        <v>12</v>
      </c>
      <c r="F526" t="s">
        <v>23</v>
      </c>
      <c r="G526" t="s">
        <v>24</v>
      </c>
      <c r="H526" t="s">
        <v>25</v>
      </c>
      <c r="I526">
        <v>42</v>
      </c>
      <c r="J526">
        <v>13.369015219719209</v>
      </c>
      <c r="K526">
        <v>7</v>
      </c>
      <c r="L526">
        <v>11</v>
      </c>
      <c r="N526" t="s">
        <v>20</v>
      </c>
      <c r="O526" t="s">
        <v>16</v>
      </c>
      <c r="P526" t="s">
        <v>303</v>
      </c>
      <c r="Q526">
        <v>10</v>
      </c>
      <c r="R526">
        <v>15</v>
      </c>
      <c r="S526">
        <v>15</v>
      </c>
      <c r="T526" t="s">
        <v>277</v>
      </c>
      <c r="U526">
        <v>9.2942996589490443E-2</v>
      </c>
    </row>
    <row r="527" spans="1:21" x14ac:dyDescent="0.25">
      <c r="A527">
        <v>2</v>
      </c>
      <c r="B527">
        <v>500</v>
      </c>
      <c r="C527">
        <v>1</v>
      </c>
      <c r="D527">
        <v>13</v>
      </c>
      <c r="E527">
        <v>13</v>
      </c>
      <c r="F527" t="s">
        <v>23</v>
      </c>
      <c r="G527" t="s">
        <v>24</v>
      </c>
      <c r="H527" t="s">
        <v>25</v>
      </c>
      <c r="I527">
        <v>42.5</v>
      </c>
      <c r="J527">
        <v>13.528170162811104</v>
      </c>
      <c r="K527">
        <v>4</v>
      </c>
      <c r="L527">
        <v>12</v>
      </c>
      <c r="N527" t="s">
        <v>20</v>
      </c>
      <c r="O527" t="s">
        <v>16</v>
      </c>
      <c r="P527" t="s">
        <v>303</v>
      </c>
      <c r="Q527">
        <v>12.5</v>
      </c>
      <c r="R527">
        <v>15</v>
      </c>
      <c r="S527">
        <v>15</v>
      </c>
      <c r="T527" t="s">
        <v>277</v>
      </c>
      <c r="U527">
        <v>0.10304449460951418</v>
      </c>
    </row>
    <row r="528" spans="1:21" x14ac:dyDescent="0.25">
      <c r="A528">
        <v>3</v>
      </c>
      <c r="B528">
        <v>500</v>
      </c>
      <c r="C528">
        <v>1</v>
      </c>
      <c r="D528">
        <v>14</v>
      </c>
      <c r="E528">
        <v>14</v>
      </c>
      <c r="F528" t="s">
        <v>23</v>
      </c>
      <c r="G528" t="s">
        <v>24</v>
      </c>
      <c r="H528" t="s">
        <v>25</v>
      </c>
      <c r="I528">
        <v>37.54</v>
      </c>
      <c r="J528">
        <v>11.949353127339503</v>
      </c>
      <c r="K528">
        <v>3</v>
      </c>
      <c r="L528">
        <v>9</v>
      </c>
      <c r="N528" t="s">
        <v>20</v>
      </c>
      <c r="O528" t="s">
        <v>16</v>
      </c>
      <c r="P528" t="s">
        <v>303</v>
      </c>
      <c r="Q528">
        <v>10</v>
      </c>
      <c r="R528">
        <v>10</v>
      </c>
      <c r="S528">
        <v>15</v>
      </c>
      <c r="T528" t="s">
        <v>277</v>
      </c>
      <c r="U528">
        <v>6.2507190906733928E-2</v>
      </c>
    </row>
    <row r="529" spans="1:21" x14ac:dyDescent="0.25">
      <c r="A529">
        <v>5</v>
      </c>
      <c r="B529">
        <v>100</v>
      </c>
      <c r="C529">
        <v>2</v>
      </c>
      <c r="D529">
        <v>13</v>
      </c>
      <c r="E529">
        <v>14</v>
      </c>
      <c r="F529" t="s">
        <v>23</v>
      </c>
      <c r="G529" t="s">
        <v>24</v>
      </c>
      <c r="H529" t="s">
        <v>25</v>
      </c>
      <c r="I529">
        <v>21</v>
      </c>
      <c r="J529">
        <v>6.6845076098596046</v>
      </c>
      <c r="K529">
        <v>3</v>
      </c>
      <c r="L529">
        <v>8</v>
      </c>
      <c r="N529" t="s">
        <v>20</v>
      </c>
      <c r="O529" t="s">
        <v>16</v>
      </c>
      <c r="P529" t="s">
        <v>303</v>
      </c>
      <c r="Q529">
        <v>7.5</v>
      </c>
      <c r="R529">
        <v>5</v>
      </c>
    </row>
    <row r="530" spans="1:21" x14ac:dyDescent="0.25">
      <c r="A530">
        <v>1</v>
      </c>
      <c r="B530">
        <v>500</v>
      </c>
      <c r="C530">
        <v>2</v>
      </c>
      <c r="D530">
        <v>12</v>
      </c>
      <c r="E530">
        <v>15</v>
      </c>
      <c r="F530" t="s">
        <v>23</v>
      </c>
      <c r="G530" t="s">
        <v>24</v>
      </c>
      <c r="H530" t="s">
        <v>25</v>
      </c>
      <c r="I530">
        <v>32</v>
      </c>
      <c r="J530">
        <v>10.185916357881302</v>
      </c>
      <c r="K530">
        <v>3</v>
      </c>
      <c r="L530">
        <v>9</v>
      </c>
      <c r="N530" t="s">
        <v>20</v>
      </c>
      <c r="O530" t="s">
        <v>16</v>
      </c>
      <c r="P530" t="s">
        <v>303</v>
      </c>
      <c r="Q530">
        <v>10</v>
      </c>
      <c r="R530">
        <v>10</v>
      </c>
      <c r="S530">
        <v>15</v>
      </c>
      <c r="T530" t="s">
        <v>277</v>
      </c>
      <c r="U530">
        <v>4.6383787585078627E-2</v>
      </c>
    </row>
    <row r="531" spans="1:21" x14ac:dyDescent="0.25">
      <c r="A531">
        <v>8</v>
      </c>
      <c r="B531">
        <v>500</v>
      </c>
      <c r="C531">
        <v>1</v>
      </c>
      <c r="D531">
        <v>14</v>
      </c>
      <c r="E531">
        <v>15</v>
      </c>
      <c r="F531" t="s">
        <v>23</v>
      </c>
      <c r="G531" t="s">
        <v>24</v>
      </c>
      <c r="H531" t="s">
        <v>25</v>
      </c>
      <c r="I531">
        <v>41</v>
      </c>
      <c r="J531">
        <v>13.050705333535419</v>
      </c>
      <c r="K531">
        <v>5</v>
      </c>
      <c r="L531">
        <v>12</v>
      </c>
      <c r="N531" t="s">
        <v>20</v>
      </c>
      <c r="O531" t="s">
        <v>16</v>
      </c>
      <c r="P531" t="s">
        <v>303</v>
      </c>
      <c r="Q531">
        <v>12.5</v>
      </c>
      <c r="R531">
        <v>15</v>
      </c>
      <c r="S531">
        <v>15</v>
      </c>
      <c r="T531" t="s">
        <v>277</v>
      </c>
      <c r="U531">
        <v>9.6353627976860701E-2</v>
      </c>
    </row>
    <row r="532" spans="1:21" x14ac:dyDescent="0.25">
      <c r="A532">
        <v>6</v>
      </c>
      <c r="B532">
        <v>100</v>
      </c>
      <c r="C532">
        <v>3</v>
      </c>
      <c r="D532">
        <v>15</v>
      </c>
      <c r="E532">
        <v>15</v>
      </c>
      <c r="F532" t="s">
        <v>23</v>
      </c>
      <c r="G532" t="s">
        <v>24</v>
      </c>
      <c r="H532" t="s">
        <v>25</v>
      </c>
      <c r="I532">
        <v>26</v>
      </c>
      <c r="J532">
        <v>8.2760570407785572</v>
      </c>
      <c r="K532">
        <v>5</v>
      </c>
      <c r="L532">
        <v>10</v>
      </c>
      <c r="N532" t="s">
        <v>29</v>
      </c>
      <c r="O532" t="s">
        <v>16</v>
      </c>
      <c r="P532" t="s">
        <v>303</v>
      </c>
      <c r="Q532">
        <v>10</v>
      </c>
      <c r="R532">
        <v>10</v>
      </c>
    </row>
    <row r="533" spans="1:21" x14ac:dyDescent="0.25">
      <c r="A533">
        <v>4</v>
      </c>
      <c r="B533">
        <v>500</v>
      </c>
      <c r="C533">
        <v>2</v>
      </c>
      <c r="D533">
        <v>16</v>
      </c>
      <c r="E533">
        <v>16</v>
      </c>
      <c r="F533" t="s">
        <v>23</v>
      </c>
      <c r="G533" t="s">
        <v>24</v>
      </c>
      <c r="H533" t="s">
        <v>25</v>
      </c>
      <c r="I533">
        <v>38.5</v>
      </c>
      <c r="J533">
        <v>12.254930618075941</v>
      </c>
      <c r="K533">
        <v>7</v>
      </c>
      <c r="L533">
        <v>12</v>
      </c>
      <c r="N533" t="s">
        <v>20</v>
      </c>
      <c r="O533" t="s">
        <v>16</v>
      </c>
      <c r="P533" t="s">
        <v>303</v>
      </c>
      <c r="Q533">
        <v>12.5</v>
      </c>
      <c r="R533">
        <v>10</v>
      </c>
      <c r="S533">
        <v>15</v>
      </c>
      <c r="T533" t="s">
        <v>277</v>
      </c>
      <c r="U533">
        <v>8.5667715472304437E-2</v>
      </c>
    </row>
    <row r="534" spans="1:21" x14ac:dyDescent="0.25">
      <c r="A534">
        <v>5</v>
      </c>
      <c r="B534">
        <v>500</v>
      </c>
      <c r="C534">
        <v>2</v>
      </c>
      <c r="D534">
        <v>15</v>
      </c>
      <c r="E534">
        <v>16</v>
      </c>
      <c r="F534" t="s">
        <v>23</v>
      </c>
      <c r="G534" t="s">
        <v>24</v>
      </c>
      <c r="H534" t="s">
        <v>25</v>
      </c>
      <c r="I534">
        <v>35</v>
      </c>
      <c r="J534">
        <v>11.140846016432674</v>
      </c>
      <c r="K534">
        <v>4.5</v>
      </c>
      <c r="L534">
        <v>11</v>
      </c>
      <c r="N534" t="s">
        <v>20</v>
      </c>
      <c r="O534" t="s">
        <v>16</v>
      </c>
      <c r="P534" t="s">
        <v>303</v>
      </c>
      <c r="Q534">
        <v>10</v>
      </c>
      <c r="R534">
        <v>10</v>
      </c>
      <c r="S534">
        <v>15</v>
      </c>
      <c r="T534" t="s">
        <v>277</v>
      </c>
      <c r="U534">
        <v>6.6110950476338373E-2</v>
      </c>
    </row>
    <row r="535" spans="1:21" x14ac:dyDescent="0.25">
      <c r="A535">
        <v>1</v>
      </c>
      <c r="B535">
        <v>100</v>
      </c>
      <c r="C535">
        <v>3</v>
      </c>
      <c r="D535">
        <v>16</v>
      </c>
      <c r="E535">
        <v>16</v>
      </c>
      <c r="F535" t="s">
        <v>23</v>
      </c>
      <c r="G535" t="s">
        <v>24</v>
      </c>
      <c r="H535" t="s">
        <v>25</v>
      </c>
      <c r="I535">
        <v>22</v>
      </c>
      <c r="J535">
        <v>7.0028174960433951</v>
      </c>
      <c r="K535">
        <v>6</v>
      </c>
      <c r="L535">
        <v>11</v>
      </c>
      <c r="N535" t="s">
        <v>20</v>
      </c>
      <c r="O535" t="s">
        <v>16</v>
      </c>
      <c r="P535" t="s">
        <v>303</v>
      </c>
      <c r="Q535">
        <v>10</v>
      </c>
      <c r="R535">
        <v>5</v>
      </c>
    </row>
    <row r="536" spans="1:21" x14ac:dyDescent="0.25">
      <c r="A536">
        <v>6</v>
      </c>
      <c r="B536">
        <v>100</v>
      </c>
      <c r="C536">
        <v>3</v>
      </c>
      <c r="D536" t="s">
        <v>180</v>
      </c>
      <c r="E536">
        <v>16</v>
      </c>
      <c r="F536" t="s">
        <v>23</v>
      </c>
      <c r="G536" t="s">
        <v>24</v>
      </c>
      <c r="H536" t="s">
        <v>25</v>
      </c>
      <c r="I536">
        <v>24.5</v>
      </c>
      <c r="J536">
        <v>7.7985922115028714</v>
      </c>
      <c r="K536">
        <v>7</v>
      </c>
      <c r="L536">
        <v>10</v>
      </c>
      <c r="N536" t="s">
        <v>20</v>
      </c>
      <c r="O536" t="s">
        <v>16</v>
      </c>
      <c r="P536" t="e">
        <v>#VALUE!</v>
      </c>
      <c r="Q536">
        <v>10</v>
      </c>
      <c r="R536">
        <v>10</v>
      </c>
    </row>
    <row r="537" spans="1:21" x14ac:dyDescent="0.25">
      <c r="A537">
        <v>2</v>
      </c>
      <c r="B537">
        <v>500</v>
      </c>
      <c r="C537">
        <v>1</v>
      </c>
      <c r="D537">
        <v>17</v>
      </c>
      <c r="E537">
        <v>17</v>
      </c>
      <c r="F537" t="s">
        <v>23</v>
      </c>
      <c r="G537" t="s">
        <v>24</v>
      </c>
      <c r="H537" t="s">
        <v>25</v>
      </c>
      <c r="I537">
        <v>37</v>
      </c>
      <c r="J537">
        <v>11.777465788800255</v>
      </c>
      <c r="K537">
        <v>5</v>
      </c>
      <c r="L537">
        <v>10</v>
      </c>
      <c r="N537" t="s">
        <v>20</v>
      </c>
      <c r="O537" t="s">
        <v>16</v>
      </c>
      <c r="P537" t="s">
        <v>303</v>
      </c>
      <c r="Q537">
        <v>10</v>
      </c>
      <c r="R537">
        <v>10</v>
      </c>
      <c r="S537">
        <v>15</v>
      </c>
      <c r="T537" t="s">
        <v>277</v>
      </c>
      <c r="U537">
        <v>6.7112311855052717E-2</v>
      </c>
    </row>
    <row r="538" spans="1:21" x14ac:dyDescent="0.25">
      <c r="A538">
        <v>5</v>
      </c>
      <c r="B538">
        <v>500</v>
      </c>
      <c r="C538">
        <v>2</v>
      </c>
      <c r="D538">
        <v>16</v>
      </c>
      <c r="E538">
        <v>17</v>
      </c>
      <c r="F538" t="s">
        <v>23</v>
      </c>
      <c r="G538" t="s">
        <v>24</v>
      </c>
      <c r="H538" t="s">
        <v>25</v>
      </c>
      <c r="I538">
        <v>34</v>
      </c>
      <c r="J538">
        <v>10.822536130248883</v>
      </c>
      <c r="K538">
        <v>5.5</v>
      </c>
      <c r="L538">
        <v>11</v>
      </c>
      <c r="N538" t="s">
        <v>20</v>
      </c>
      <c r="O538" t="s">
        <v>16</v>
      </c>
      <c r="P538" t="s">
        <v>303</v>
      </c>
      <c r="Q538">
        <v>10</v>
      </c>
      <c r="R538">
        <v>10</v>
      </c>
      <c r="S538">
        <v>15</v>
      </c>
      <c r="T538" t="s">
        <v>277</v>
      </c>
      <c r="U538">
        <v>6.2625572914895164E-2</v>
      </c>
    </row>
    <row r="539" spans="1:21" x14ac:dyDescent="0.25">
      <c r="A539">
        <v>1</v>
      </c>
      <c r="B539">
        <v>100</v>
      </c>
      <c r="C539">
        <v>3</v>
      </c>
      <c r="D539">
        <v>17</v>
      </c>
      <c r="E539">
        <v>17</v>
      </c>
      <c r="F539" t="s">
        <v>23</v>
      </c>
      <c r="G539" t="s">
        <v>24</v>
      </c>
      <c r="H539" t="s">
        <v>25</v>
      </c>
      <c r="I539">
        <v>25</v>
      </c>
      <c r="J539">
        <v>7.9577471545947667</v>
      </c>
      <c r="K539">
        <v>6</v>
      </c>
      <c r="L539">
        <v>9</v>
      </c>
      <c r="N539" t="s">
        <v>20</v>
      </c>
      <c r="O539" t="s">
        <v>16</v>
      </c>
      <c r="P539" t="s">
        <v>303</v>
      </c>
      <c r="Q539">
        <v>10</v>
      </c>
      <c r="R539">
        <v>10</v>
      </c>
    </row>
    <row r="540" spans="1:21" x14ac:dyDescent="0.25">
      <c r="A540">
        <v>6</v>
      </c>
      <c r="B540">
        <v>100</v>
      </c>
      <c r="C540">
        <v>3</v>
      </c>
      <c r="D540" t="s">
        <v>181</v>
      </c>
      <c r="E540">
        <v>17</v>
      </c>
      <c r="F540" t="s">
        <v>23</v>
      </c>
      <c r="G540" t="s">
        <v>24</v>
      </c>
      <c r="H540" t="s">
        <v>25</v>
      </c>
      <c r="I540">
        <v>22</v>
      </c>
      <c r="J540">
        <v>7.0028174960433951</v>
      </c>
      <c r="K540">
        <v>4</v>
      </c>
      <c r="L540">
        <v>9</v>
      </c>
      <c r="N540" t="s">
        <v>20</v>
      </c>
      <c r="O540" t="s">
        <v>16</v>
      </c>
      <c r="P540" t="e">
        <v>#VALUE!</v>
      </c>
      <c r="Q540">
        <v>10</v>
      </c>
      <c r="R540">
        <v>5</v>
      </c>
    </row>
    <row r="541" spans="1:21" x14ac:dyDescent="0.25">
      <c r="A541">
        <v>2</v>
      </c>
      <c r="B541">
        <v>500</v>
      </c>
      <c r="C541">
        <v>1</v>
      </c>
      <c r="D541">
        <v>18</v>
      </c>
      <c r="E541">
        <v>18</v>
      </c>
      <c r="F541" t="s">
        <v>23</v>
      </c>
      <c r="G541" t="s">
        <v>24</v>
      </c>
      <c r="H541" t="s">
        <v>25</v>
      </c>
      <c r="I541">
        <v>36</v>
      </c>
      <c r="J541">
        <v>11.459155902616464</v>
      </c>
      <c r="K541">
        <v>8</v>
      </c>
      <c r="L541">
        <v>12</v>
      </c>
      <c r="N541" t="s">
        <v>20</v>
      </c>
      <c r="O541" t="s">
        <v>16</v>
      </c>
      <c r="P541" t="s">
        <v>303</v>
      </c>
      <c r="Q541">
        <v>12.5</v>
      </c>
      <c r="R541">
        <v>10</v>
      </c>
      <c r="S541">
        <v>15</v>
      </c>
      <c r="T541" t="s">
        <v>277</v>
      </c>
      <c r="U541">
        <v>7.5567938006532748E-2</v>
      </c>
    </row>
    <row r="542" spans="1:21" x14ac:dyDescent="0.25">
      <c r="A542">
        <v>3</v>
      </c>
      <c r="B542">
        <v>500</v>
      </c>
      <c r="C542">
        <v>2</v>
      </c>
      <c r="D542">
        <v>18</v>
      </c>
      <c r="E542">
        <v>18</v>
      </c>
      <c r="F542" t="s">
        <v>23</v>
      </c>
      <c r="G542" t="s">
        <v>24</v>
      </c>
      <c r="H542" t="s">
        <v>25</v>
      </c>
      <c r="I542">
        <v>51</v>
      </c>
      <c r="J542">
        <v>16.233804195373324</v>
      </c>
      <c r="K542">
        <v>7.5</v>
      </c>
      <c r="L542">
        <v>11</v>
      </c>
      <c r="N542" t="s">
        <v>20</v>
      </c>
      <c r="O542" t="s">
        <v>16</v>
      </c>
      <c r="P542" t="s">
        <v>303</v>
      </c>
      <c r="Q542">
        <v>10</v>
      </c>
      <c r="R542">
        <v>15</v>
      </c>
      <c r="S542">
        <v>15</v>
      </c>
      <c r="T542" t="s">
        <v>277</v>
      </c>
      <c r="U542">
        <v>0.13358660401688185</v>
      </c>
    </row>
    <row r="543" spans="1:21" x14ac:dyDescent="0.25">
      <c r="A543">
        <v>5</v>
      </c>
      <c r="B543">
        <v>500</v>
      </c>
      <c r="C543">
        <v>2</v>
      </c>
      <c r="D543">
        <v>17</v>
      </c>
      <c r="E543">
        <v>18</v>
      </c>
      <c r="F543" t="s">
        <v>23</v>
      </c>
      <c r="G543" t="s">
        <v>24</v>
      </c>
      <c r="H543" t="s">
        <v>25</v>
      </c>
      <c r="I543">
        <v>44</v>
      </c>
      <c r="J543">
        <v>14.00563499208679</v>
      </c>
      <c r="K543">
        <v>7</v>
      </c>
      <c r="L543">
        <v>10</v>
      </c>
      <c r="N543" t="s">
        <v>20</v>
      </c>
      <c r="O543" t="s">
        <v>16</v>
      </c>
      <c r="P543" t="s">
        <v>303</v>
      </c>
      <c r="Q543">
        <v>10</v>
      </c>
      <c r="R543">
        <v>15</v>
      </c>
      <c r="S543">
        <v>15</v>
      </c>
      <c r="T543" t="s">
        <v>277</v>
      </c>
      <c r="U543">
        <v>9.2768825280786782E-2</v>
      </c>
    </row>
    <row r="544" spans="1:21" x14ac:dyDescent="0.25">
      <c r="A544">
        <v>6</v>
      </c>
      <c r="B544">
        <v>100</v>
      </c>
      <c r="C544">
        <v>3</v>
      </c>
      <c r="D544" t="s">
        <v>182</v>
      </c>
      <c r="E544">
        <v>18</v>
      </c>
      <c r="F544" t="s">
        <v>23</v>
      </c>
      <c r="G544" t="s">
        <v>24</v>
      </c>
      <c r="H544" t="s">
        <v>25</v>
      </c>
      <c r="I544">
        <v>19.5</v>
      </c>
      <c r="J544">
        <v>6.2070427805839179</v>
      </c>
      <c r="K544">
        <v>3.5</v>
      </c>
      <c r="L544">
        <v>8</v>
      </c>
      <c r="N544" t="s">
        <v>20</v>
      </c>
      <c r="O544" t="s">
        <v>16</v>
      </c>
      <c r="P544" t="e">
        <v>#VALUE!</v>
      </c>
      <c r="Q544">
        <v>7.5</v>
      </c>
      <c r="R544">
        <v>5</v>
      </c>
    </row>
    <row r="545" spans="1:21" x14ac:dyDescent="0.25">
      <c r="A545">
        <v>1</v>
      </c>
      <c r="B545">
        <v>500</v>
      </c>
      <c r="C545">
        <v>3</v>
      </c>
      <c r="D545">
        <v>16</v>
      </c>
      <c r="E545">
        <v>19</v>
      </c>
      <c r="F545" t="s">
        <v>23</v>
      </c>
      <c r="G545" t="s">
        <v>24</v>
      </c>
      <c r="H545" t="s">
        <v>25</v>
      </c>
      <c r="I545">
        <v>34</v>
      </c>
      <c r="J545">
        <v>10.822536130248883</v>
      </c>
      <c r="K545">
        <v>5</v>
      </c>
      <c r="L545">
        <v>10</v>
      </c>
      <c r="N545" t="s">
        <v>20</v>
      </c>
      <c r="O545" t="s">
        <v>16</v>
      </c>
      <c r="P545" t="s">
        <v>303</v>
      </c>
      <c r="Q545">
        <v>10</v>
      </c>
      <c r="R545">
        <v>10</v>
      </c>
      <c r="S545">
        <v>15</v>
      </c>
      <c r="T545" t="s">
        <v>277</v>
      </c>
      <c r="U545">
        <v>5.7304513444342842E-2</v>
      </c>
    </row>
    <row r="546" spans="1:21" x14ac:dyDescent="0.25">
      <c r="A546">
        <v>5</v>
      </c>
      <c r="B546">
        <v>500</v>
      </c>
      <c r="C546">
        <v>2</v>
      </c>
      <c r="D546">
        <v>18</v>
      </c>
      <c r="E546">
        <v>19</v>
      </c>
      <c r="F546" t="s">
        <v>23</v>
      </c>
      <c r="G546" t="s">
        <v>24</v>
      </c>
      <c r="H546" t="s">
        <v>25</v>
      </c>
      <c r="I546">
        <v>41.5</v>
      </c>
      <c r="J546">
        <v>13.209860276627314</v>
      </c>
      <c r="K546">
        <v>3</v>
      </c>
      <c r="L546">
        <v>10</v>
      </c>
      <c r="N546" t="s">
        <v>29</v>
      </c>
      <c r="O546" t="s">
        <v>16</v>
      </c>
      <c r="P546" t="s">
        <v>303</v>
      </c>
      <c r="Q546">
        <v>10</v>
      </c>
      <c r="R546">
        <v>15</v>
      </c>
      <c r="S546">
        <v>15</v>
      </c>
      <c r="T546" t="s">
        <v>277</v>
      </c>
      <c r="U546">
        <v>8.3164084326966745E-2</v>
      </c>
    </row>
    <row r="547" spans="1:21" x14ac:dyDescent="0.25">
      <c r="A547">
        <v>4</v>
      </c>
      <c r="B547">
        <v>100</v>
      </c>
      <c r="C547">
        <v>3</v>
      </c>
      <c r="D547">
        <v>18</v>
      </c>
      <c r="E547">
        <v>19</v>
      </c>
      <c r="F547" t="s">
        <v>23</v>
      </c>
      <c r="G547" t="s">
        <v>24</v>
      </c>
      <c r="H547" t="s">
        <v>25</v>
      </c>
      <c r="I547">
        <v>19</v>
      </c>
      <c r="J547">
        <v>6.0478878374920226</v>
      </c>
      <c r="K547">
        <v>7</v>
      </c>
      <c r="L547">
        <v>11</v>
      </c>
      <c r="N547" t="s">
        <v>20</v>
      </c>
      <c r="O547" t="s">
        <v>16</v>
      </c>
      <c r="P547" t="s">
        <v>303</v>
      </c>
      <c r="Q547">
        <v>10</v>
      </c>
      <c r="R547">
        <v>5</v>
      </c>
    </row>
    <row r="548" spans="1:21" x14ac:dyDescent="0.25">
      <c r="A548">
        <v>12</v>
      </c>
      <c r="B548">
        <v>100</v>
      </c>
      <c r="C548">
        <v>2</v>
      </c>
      <c r="D548">
        <v>14</v>
      </c>
      <c r="E548">
        <v>19</v>
      </c>
      <c r="F548" t="s">
        <v>23</v>
      </c>
      <c r="G548" t="s">
        <v>24</v>
      </c>
      <c r="H548" t="s">
        <v>25</v>
      </c>
      <c r="I548">
        <v>16</v>
      </c>
      <c r="J548">
        <v>5.0929581789406511</v>
      </c>
      <c r="K548">
        <v>5</v>
      </c>
      <c r="L548">
        <v>8</v>
      </c>
      <c r="N548" t="s">
        <v>20</v>
      </c>
      <c r="O548" t="s">
        <v>16</v>
      </c>
      <c r="P548" t="s">
        <v>303</v>
      </c>
      <c r="Q548">
        <v>7.5</v>
      </c>
      <c r="R548">
        <v>5</v>
      </c>
    </row>
    <row r="549" spans="1:21" x14ac:dyDescent="0.25">
      <c r="A549">
        <v>3</v>
      </c>
      <c r="B549">
        <v>500</v>
      </c>
      <c r="C549">
        <v>2</v>
      </c>
      <c r="D549">
        <v>20</v>
      </c>
      <c r="E549">
        <v>20</v>
      </c>
      <c r="F549" t="s">
        <v>23</v>
      </c>
      <c r="G549" t="s">
        <v>24</v>
      </c>
      <c r="H549" t="s">
        <v>25</v>
      </c>
      <c r="I549">
        <v>44</v>
      </c>
      <c r="J549">
        <v>14.00563499208679</v>
      </c>
      <c r="K549">
        <v>6</v>
      </c>
      <c r="L549">
        <v>12</v>
      </c>
      <c r="N549" t="s">
        <v>20</v>
      </c>
      <c r="O549" t="s">
        <v>16</v>
      </c>
      <c r="P549" t="s">
        <v>303</v>
      </c>
      <c r="Q549">
        <v>12.5</v>
      </c>
      <c r="R549">
        <v>15</v>
      </c>
      <c r="S549">
        <v>15</v>
      </c>
      <c r="T549" t="s">
        <v>277</v>
      </c>
      <c r="U549">
        <v>0.1099436353883419</v>
      </c>
    </row>
    <row r="550" spans="1:21" x14ac:dyDescent="0.25">
      <c r="A550">
        <v>5</v>
      </c>
      <c r="B550">
        <v>500</v>
      </c>
      <c r="C550">
        <v>2</v>
      </c>
      <c r="D550" t="s">
        <v>163</v>
      </c>
      <c r="E550">
        <v>20</v>
      </c>
      <c r="F550" t="s">
        <v>23</v>
      </c>
      <c r="G550" t="s">
        <v>24</v>
      </c>
      <c r="H550" t="s">
        <v>25</v>
      </c>
      <c r="I550">
        <v>34.5</v>
      </c>
      <c r="J550">
        <v>10.981691073340778</v>
      </c>
      <c r="K550">
        <v>6</v>
      </c>
      <c r="L550">
        <v>9</v>
      </c>
      <c r="N550" t="s">
        <v>20</v>
      </c>
      <c r="O550" t="s">
        <v>16</v>
      </c>
      <c r="P550" t="e">
        <v>#VALUE!</v>
      </c>
      <c r="Q550">
        <v>10</v>
      </c>
      <c r="R550">
        <v>10</v>
      </c>
      <c r="S550">
        <v>15</v>
      </c>
      <c r="T550" t="s">
        <v>277</v>
      </c>
      <c r="U550">
        <v>5.3383323907952501E-2</v>
      </c>
    </row>
    <row r="551" spans="1:21" x14ac:dyDescent="0.25">
      <c r="A551">
        <v>8</v>
      </c>
      <c r="B551">
        <v>5</v>
      </c>
      <c r="D551">
        <v>1</v>
      </c>
      <c r="E551">
        <v>1</v>
      </c>
      <c r="F551" t="s">
        <v>108</v>
      </c>
      <c r="G551" t="s">
        <v>132</v>
      </c>
      <c r="H551" t="s">
        <v>133</v>
      </c>
      <c r="L551">
        <v>2.5</v>
      </c>
      <c r="M551" t="e">
        <v>#REF!</v>
      </c>
      <c r="P551" t="s">
        <v>303</v>
      </c>
      <c r="Q551">
        <v>2.5</v>
      </c>
      <c r="R551">
        <v>5</v>
      </c>
    </row>
    <row r="552" spans="1:21" x14ac:dyDescent="0.25">
      <c r="A552">
        <v>2</v>
      </c>
      <c r="B552">
        <v>500</v>
      </c>
      <c r="C552">
        <v>2</v>
      </c>
      <c r="D552">
        <v>21</v>
      </c>
      <c r="E552">
        <v>21</v>
      </c>
      <c r="F552" t="s">
        <v>23</v>
      </c>
      <c r="G552" t="s">
        <v>24</v>
      </c>
      <c r="H552" t="s">
        <v>25</v>
      </c>
      <c r="I552">
        <v>46</v>
      </c>
      <c r="J552">
        <v>14.642254764454371</v>
      </c>
      <c r="K552">
        <v>5</v>
      </c>
      <c r="L552">
        <v>11</v>
      </c>
      <c r="N552" t="s">
        <v>29</v>
      </c>
      <c r="O552" t="s">
        <v>16</v>
      </c>
      <c r="P552" t="s">
        <v>303</v>
      </c>
      <c r="Q552">
        <v>10</v>
      </c>
      <c r="R552">
        <v>15</v>
      </c>
      <c r="S552">
        <v>15</v>
      </c>
      <c r="T552" t="s">
        <v>277</v>
      </c>
      <c r="U552">
        <v>0.11016279412741189</v>
      </c>
    </row>
    <row r="553" spans="1:21" x14ac:dyDescent="0.25">
      <c r="A553">
        <v>5</v>
      </c>
      <c r="B553">
        <v>500</v>
      </c>
      <c r="C553">
        <v>2</v>
      </c>
      <c r="D553">
        <v>19</v>
      </c>
      <c r="E553">
        <v>21</v>
      </c>
      <c r="F553" t="s">
        <v>23</v>
      </c>
      <c r="G553" t="s">
        <v>24</v>
      </c>
      <c r="H553" t="s">
        <v>25</v>
      </c>
      <c r="I553">
        <v>42</v>
      </c>
      <c r="J553">
        <v>13.369015219719209</v>
      </c>
      <c r="K553">
        <v>4.5</v>
      </c>
      <c r="L553">
        <v>11</v>
      </c>
      <c r="N553" t="s">
        <v>20</v>
      </c>
      <c r="O553" t="s">
        <v>16</v>
      </c>
      <c r="P553" t="s">
        <v>303</v>
      </c>
      <c r="Q553">
        <v>10</v>
      </c>
      <c r="R553">
        <v>15</v>
      </c>
      <c r="S553">
        <v>15</v>
      </c>
      <c r="T553" t="s">
        <v>277</v>
      </c>
      <c r="U553">
        <v>9.2942996589490443E-2</v>
      </c>
    </row>
    <row r="554" spans="1:21" x14ac:dyDescent="0.25">
      <c r="A554">
        <v>9</v>
      </c>
      <c r="B554">
        <v>500</v>
      </c>
      <c r="C554">
        <v>4</v>
      </c>
      <c r="D554">
        <v>20</v>
      </c>
      <c r="E554">
        <v>21</v>
      </c>
      <c r="F554" t="s">
        <v>23</v>
      </c>
      <c r="G554" t="s">
        <v>24</v>
      </c>
      <c r="H554" t="s">
        <v>25</v>
      </c>
      <c r="I554">
        <v>37.5</v>
      </c>
      <c r="J554">
        <v>11.93662073189215</v>
      </c>
      <c r="K554">
        <v>6</v>
      </c>
      <c r="L554">
        <v>10</v>
      </c>
      <c r="N554" t="s">
        <v>29</v>
      </c>
      <c r="O554" t="s">
        <v>16</v>
      </c>
      <c r="P554" t="s">
        <v>303</v>
      </c>
      <c r="Q554">
        <v>10</v>
      </c>
      <c r="R554">
        <v>10</v>
      </c>
      <c r="S554">
        <v>15</v>
      </c>
      <c r="T554" t="s">
        <v>277</v>
      </c>
      <c r="U554">
        <v>6.8816755739047483E-2</v>
      </c>
    </row>
    <row r="555" spans="1:21" x14ac:dyDescent="0.25">
      <c r="A555">
        <v>2</v>
      </c>
      <c r="B555">
        <v>500</v>
      </c>
      <c r="C555">
        <v>2</v>
      </c>
      <c r="D555" t="s">
        <v>114</v>
      </c>
      <c r="E555">
        <v>22</v>
      </c>
      <c r="F555" t="s">
        <v>23</v>
      </c>
      <c r="G555" t="s">
        <v>24</v>
      </c>
      <c r="H555" t="s">
        <v>25</v>
      </c>
      <c r="I555">
        <v>40</v>
      </c>
      <c r="J555">
        <v>12.732395447351628</v>
      </c>
      <c r="K555">
        <v>6</v>
      </c>
      <c r="L555">
        <v>11</v>
      </c>
      <c r="N555" t="s">
        <v>20</v>
      </c>
      <c r="O555" t="s">
        <v>16</v>
      </c>
      <c r="P555" t="e">
        <v>#VALUE!</v>
      </c>
      <c r="Q555">
        <v>10</v>
      </c>
      <c r="R555">
        <v>15</v>
      </c>
      <c r="S555">
        <v>15</v>
      </c>
      <c r="T555" t="s">
        <v>277</v>
      </c>
      <c r="U555">
        <v>8.4845010681965774E-2</v>
      </c>
    </row>
    <row r="556" spans="1:21" x14ac:dyDescent="0.25">
      <c r="A556">
        <v>3</v>
      </c>
      <c r="B556">
        <v>500</v>
      </c>
      <c r="C556">
        <v>2</v>
      </c>
      <c r="D556">
        <v>22</v>
      </c>
      <c r="E556">
        <v>22</v>
      </c>
      <c r="F556" t="s">
        <v>23</v>
      </c>
      <c r="G556" t="s">
        <v>24</v>
      </c>
      <c r="H556" t="s">
        <v>25</v>
      </c>
      <c r="I556">
        <v>42</v>
      </c>
      <c r="J556">
        <v>13.369015219719209</v>
      </c>
      <c r="K556">
        <v>6</v>
      </c>
      <c r="L556">
        <v>12</v>
      </c>
      <c r="N556" t="s">
        <v>20</v>
      </c>
      <c r="O556" t="s">
        <v>16</v>
      </c>
      <c r="P556" t="s">
        <v>303</v>
      </c>
      <c r="Q556">
        <v>12.5</v>
      </c>
      <c r="R556">
        <v>15</v>
      </c>
      <c r="S556">
        <v>15</v>
      </c>
      <c r="T556" t="s">
        <v>277</v>
      </c>
      <c r="U556">
        <v>0.10079101622715905</v>
      </c>
    </row>
    <row r="557" spans="1:21" x14ac:dyDescent="0.25">
      <c r="A557">
        <v>1</v>
      </c>
      <c r="B557">
        <v>100</v>
      </c>
      <c r="C557">
        <v>4</v>
      </c>
      <c r="D557">
        <v>22</v>
      </c>
      <c r="E557">
        <v>22</v>
      </c>
      <c r="F557" t="s">
        <v>23</v>
      </c>
      <c r="G557" t="s">
        <v>24</v>
      </c>
      <c r="H557" t="s">
        <v>25</v>
      </c>
      <c r="I557">
        <v>19.5</v>
      </c>
      <c r="J557">
        <v>6.2070427805839179</v>
      </c>
      <c r="K557">
        <v>7</v>
      </c>
      <c r="L557">
        <v>9</v>
      </c>
      <c r="N557" t="s">
        <v>20</v>
      </c>
      <c r="O557" t="s">
        <v>16</v>
      </c>
      <c r="P557" t="s">
        <v>303</v>
      </c>
      <c r="Q557">
        <v>10</v>
      </c>
      <c r="R557">
        <v>5</v>
      </c>
    </row>
    <row r="558" spans="1:21" x14ac:dyDescent="0.25">
      <c r="A558">
        <v>3</v>
      </c>
      <c r="B558">
        <v>500</v>
      </c>
      <c r="C558">
        <v>2</v>
      </c>
      <c r="D558">
        <v>24</v>
      </c>
      <c r="E558">
        <v>24</v>
      </c>
      <c r="F558" t="s">
        <v>23</v>
      </c>
      <c r="G558" t="s">
        <v>24</v>
      </c>
      <c r="H558" t="s">
        <v>25</v>
      </c>
      <c r="I558">
        <v>31.5</v>
      </c>
      <c r="J558">
        <v>10.026761414789407</v>
      </c>
      <c r="K558">
        <v>4</v>
      </c>
      <c r="L558">
        <v>9</v>
      </c>
      <c r="N558" t="s">
        <v>20</v>
      </c>
      <c r="O558" t="s">
        <v>16</v>
      </c>
      <c r="P558" t="s">
        <v>303</v>
      </c>
      <c r="Q558">
        <v>10</v>
      </c>
      <c r="R558">
        <v>10</v>
      </c>
      <c r="S558">
        <v>15</v>
      </c>
      <c r="T558" t="s">
        <v>277</v>
      </c>
      <c r="U558">
        <v>4.5038854825831719E-2</v>
      </c>
    </row>
    <row r="559" spans="1:21" x14ac:dyDescent="0.25">
      <c r="A559">
        <v>3</v>
      </c>
      <c r="B559">
        <v>500</v>
      </c>
      <c r="C559">
        <v>2</v>
      </c>
      <c r="D559">
        <v>26</v>
      </c>
      <c r="E559">
        <v>26</v>
      </c>
      <c r="F559" t="s">
        <v>23</v>
      </c>
      <c r="G559" t="s">
        <v>24</v>
      </c>
      <c r="H559" t="s">
        <v>25</v>
      </c>
      <c r="I559">
        <v>34</v>
      </c>
      <c r="J559">
        <v>10.822536130248883</v>
      </c>
      <c r="K559">
        <v>7</v>
      </c>
      <c r="L559">
        <v>11</v>
      </c>
      <c r="N559" t="s">
        <v>20</v>
      </c>
      <c r="O559" t="s">
        <v>16</v>
      </c>
      <c r="P559" t="s">
        <v>303</v>
      </c>
      <c r="Q559">
        <v>10</v>
      </c>
      <c r="R559">
        <v>10</v>
      </c>
      <c r="S559">
        <v>15</v>
      </c>
      <c r="T559" t="s">
        <v>277</v>
      </c>
      <c r="U559">
        <v>6.2625572914895164E-2</v>
      </c>
    </row>
    <row r="560" spans="1:21" x14ac:dyDescent="0.25">
      <c r="A560">
        <v>4</v>
      </c>
      <c r="B560">
        <v>500</v>
      </c>
      <c r="C560">
        <v>2</v>
      </c>
      <c r="D560">
        <v>25</v>
      </c>
      <c r="E560">
        <v>26</v>
      </c>
      <c r="F560" t="s">
        <v>23</v>
      </c>
      <c r="G560" t="s">
        <v>24</v>
      </c>
      <c r="H560" t="s">
        <v>25</v>
      </c>
      <c r="I560">
        <v>44</v>
      </c>
      <c r="J560">
        <v>14.00563499208679</v>
      </c>
      <c r="K560">
        <v>6</v>
      </c>
      <c r="L560">
        <v>10</v>
      </c>
      <c r="N560" t="s">
        <v>20</v>
      </c>
      <c r="O560" t="s">
        <v>16</v>
      </c>
      <c r="P560" t="s">
        <v>303</v>
      </c>
      <c r="Q560">
        <v>10</v>
      </c>
      <c r="R560">
        <v>15</v>
      </c>
      <c r="S560">
        <v>15</v>
      </c>
      <c r="T560" t="s">
        <v>277</v>
      </c>
      <c r="U560">
        <v>9.2768825280786782E-2</v>
      </c>
    </row>
    <row r="561" spans="1:21" x14ac:dyDescent="0.25">
      <c r="A561">
        <v>4</v>
      </c>
      <c r="B561">
        <v>500</v>
      </c>
      <c r="C561">
        <v>2</v>
      </c>
      <c r="D561">
        <v>26</v>
      </c>
      <c r="E561">
        <v>27</v>
      </c>
      <c r="F561" t="s">
        <v>23</v>
      </c>
      <c r="G561" t="s">
        <v>24</v>
      </c>
      <c r="H561" t="s">
        <v>25</v>
      </c>
      <c r="I561">
        <v>31.5</v>
      </c>
      <c r="J561">
        <v>10.026761414789407</v>
      </c>
      <c r="K561">
        <v>5.5</v>
      </c>
      <c r="L561">
        <v>11</v>
      </c>
      <c r="N561" t="s">
        <v>20</v>
      </c>
      <c r="O561" t="s">
        <v>16</v>
      </c>
      <c r="P561" t="s">
        <v>303</v>
      </c>
      <c r="Q561">
        <v>10</v>
      </c>
      <c r="R561">
        <v>10</v>
      </c>
      <c r="S561">
        <v>15</v>
      </c>
      <c r="T561" t="s">
        <v>277</v>
      </c>
      <c r="U561">
        <v>5.4297459598910108E-2</v>
      </c>
    </row>
    <row r="562" spans="1:21" x14ac:dyDescent="0.25">
      <c r="A562">
        <v>1</v>
      </c>
      <c r="B562">
        <v>100</v>
      </c>
      <c r="C562">
        <v>4</v>
      </c>
      <c r="D562">
        <v>27</v>
      </c>
      <c r="E562">
        <v>27</v>
      </c>
      <c r="F562" t="s">
        <v>23</v>
      </c>
      <c r="G562" t="s">
        <v>24</v>
      </c>
      <c r="H562" t="s">
        <v>25</v>
      </c>
      <c r="I562">
        <v>27</v>
      </c>
      <c r="J562">
        <v>8.5943669269623477</v>
      </c>
      <c r="K562">
        <v>7</v>
      </c>
      <c r="L562">
        <v>10</v>
      </c>
      <c r="N562" t="s">
        <v>20</v>
      </c>
      <c r="O562" t="s">
        <v>16</v>
      </c>
      <c r="P562" t="s">
        <v>303</v>
      </c>
      <c r="Q562">
        <v>10</v>
      </c>
      <c r="R562">
        <v>10</v>
      </c>
    </row>
    <row r="563" spans="1:21" x14ac:dyDescent="0.25">
      <c r="A563">
        <v>1</v>
      </c>
      <c r="B563">
        <v>500</v>
      </c>
      <c r="C563">
        <v>4</v>
      </c>
      <c r="D563">
        <v>25</v>
      </c>
      <c r="E563">
        <v>28</v>
      </c>
      <c r="F563" t="s">
        <v>23</v>
      </c>
      <c r="G563" t="s">
        <v>24</v>
      </c>
      <c r="H563" t="s">
        <v>25</v>
      </c>
      <c r="I563">
        <v>34</v>
      </c>
      <c r="J563">
        <v>10.822536130248883</v>
      </c>
      <c r="K563">
        <v>9</v>
      </c>
      <c r="L563">
        <v>12</v>
      </c>
      <c r="N563" t="s">
        <v>20</v>
      </c>
      <c r="O563" t="s">
        <v>16</v>
      </c>
      <c r="P563" t="s">
        <v>303</v>
      </c>
      <c r="Q563">
        <v>12.5</v>
      </c>
      <c r="R563">
        <v>10</v>
      </c>
      <c r="S563">
        <v>15</v>
      </c>
      <c r="T563" t="s">
        <v>277</v>
      </c>
      <c r="U563">
        <v>6.7913617674492693E-2</v>
      </c>
    </row>
    <row r="564" spans="1:21" x14ac:dyDescent="0.25">
      <c r="A564">
        <v>2</v>
      </c>
      <c r="B564">
        <v>500</v>
      </c>
      <c r="C564">
        <v>2</v>
      </c>
      <c r="D564">
        <v>27</v>
      </c>
      <c r="E564">
        <v>28</v>
      </c>
      <c r="F564" t="s">
        <v>23</v>
      </c>
      <c r="G564" t="s">
        <v>24</v>
      </c>
      <c r="H564" t="s">
        <v>25</v>
      </c>
      <c r="I564">
        <v>38</v>
      </c>
      <c r="J564">
        <v>12.095775674984045</v>
      </c>
      <c r="K564">
        <v>8</v>
      </c>
      <c r="L564">
        <v>10</v>
      </c>
      <c r="N564" t="s">
        <v>20</v>
      </c>
      <c r="O564" t="s">
        <v>16</v>
      </c>
      <c r="P564" t="s">
        <v>303</v>
      </c>
      <c r="Q564">
        <v>10</v>
      </c>
      <c r="R564">
        <v>10</v>
      </c>
      <c r="S564">
        <v>15</v>
      </c>
      <c r="T564" t="s">
        <v>277</v>
      </c>
      <c r="U564">
        <v>7.0541050140047107E-2</v>
      </c>
    </row>
    <row r="565" spans="1:21" x14ac:dyDescent="0.25">
      <c r="A565">
        <v>5</v>
      </c>
      <c r="B565">
        <v>500</v>
      </c>
      <c r="C565">
        <v>3</v>
      </c>
      <c r="D565">
        <v>26</v>
      </c>
      <c r="E565">
        <v>28</v>
      </c>
      <c r="F565" t="s">
        <v>23</v>
      </c>
      <c r="G565" t="s">
        <v>24</v>
      </c>
      <c r="H565" t="s">
        <v>25</v>
      </c>
      <c r="I565">
        <v>44</v>
      </c>
      <c r="J565">
        <v>14.00563499208679</v>
      </c>
      <c r="K565">
        <v>6</v>
      </c>
      <c r="L565">
        <v>9</v>
      </c>
      <c r="N565" t="s">
        <v>20</v>
      </c>
      <c r="O565" t="s">
        <v>16</v>
      </c>
      <c r="P565" t="s">
        <v>303</v>
      </c>
      <c r="Q565">
        <v>10</v>
      </c>
      <c r="R565">
        <v>15</v>
      </c>
      <c r="S565">
        <v>15</v>
      </c>
      <c r="T565" t="s">
        <v>277</v>
      </c>
      <c r="U565">
        <v>8.4095502185124724E-2</v>
      </c>
    </row>
    <row r="566" spans="1:21" x14ac:dyDescent="0.25">
      <c r="A566">
        <v>2</v>
      </c>
      <c r="B566">
        <v>500</v>
      </c>
      <c r="C566">
        <v>2</v>
      </c>
      <c r="D566">
        <v>28</v>
      </c>
      <c r="E566">
        <v>29</v>
      </c>
      <c r="F566" t="s">
        <v>23</v>
      </c>
      <c r="G566" t="s">
        <v>24</v>
      </c>
      <c r="H566" t="s">
        <v>25</v>
      </c>
      <c r="I566">
        <v>46.5</v>
      </c>
      <c r="J566">
        <v>14.801409707546267</v>
      </c>
      <c r="K566">
        <v>5</v>
      </c>
      <c r="L566">
        <v>10</v>
      </c>
      <c r="N566" t="s">
        <v>20</v>
      </c>
      <c r="O566" t="s">
        <v>16</v>
      </c>
      <c r="P566" t="s">
        <v>303</v>
      </c>
      <c r="Q566">
        <v>10</v>
      </c>
      <c r="R566">
        <v>15</v>
      </c>
      <c r="S566">
        <v>15</v>
      </c>
      <c r="T566" t="s">
        <v>277</v>
      </c>
      <c r="U566">
        <v>0.10285951818264641</v>
      </c>
    </row>
    <row r="567" spans="1:21" x14ac:dyDescent="0.25">
      <c r="A567">
        <v>3</v>
      </c>
      <c r="B567">
        <v>500</v>
      </c>
      <c r="C567">
        <v>3</v>
      </c>
      <c r="D567">
        <v>29</v>
      </c>
      <c r="E567">
        <v>29</v>
      </c>
      <c r="F567" t="s">
        <v>23</v>
      </c>
      <c r="G567" t="s">
        <v>24</v>
      </c>
      <c r="H567" t="s">
        <v>25</v>
      </c>
      <c r="I567">
        <v>32.5</v>
      </c>
      <c r="J567">
        <v>10.345071300973197</v>
      </c>
      <c r="K567">
        <v>4</v>
      </c>
      <c r="L567">
        <v>9</v>
      </c>
      <c r="N567" t="s">
        <v>20</v>
      </c>
      <c r="O567" t="s">
        <v>16</v>
      </c>
      <c r="P567" t="s">
        <v>303</v>
      </c>
      <c r="Q567">
        <v>10</v>
      </c>
      <c r="R567">
        <v>10</v>
      </c>
      <c r="S567">
        <v>15</v>
      </c>
      <c r="T567" t="s">
        <v>277</v>
      </c>
      <c r="U567">
        <v>4.7747094473845987E-2</v>
      </c>
    </row>
    <row r="568" spans="1:21" x14ac:dyDescent="0.25">
      <c r="A568">
        <v>9</v>
      </c>
      <c r="B568">
        <v>100</v>
      </c>
      <c r="C568">
        <v>3</v>
      </c>
      <c r="D568">
        <v>32</v>
      </c>
      <c r="E568">
        <v>32</v>
      </c>
      <c r="F568" t="s">
        <v>23</v>
      </c>
      <c r="G568" t="s">
        <v>24</v>
      </c>
      <c r="H568" t="s">
        <v>25</v>
      </c>
      <c r="I568">
        <v>17</v>
      </c>
      <c r="J568">
        <v>5.4112680651244416</v>
      </c>
      <c r="K568">
        <v>7.5</v>
      </c>
      <c r="L568">
        <v>10</v>
      </c>
      <c r="N568" t="s">
        <v>20</v>
      </c>
      <c r="O568" t="s">
        <v>16</v>
      </c>
      <c r="P568" t="s">
        <v>303</v>
      </c>
      <c r="Q568">
        <v>10</v>
      </c>
      <c r="R568">
        <v>5</v>
      </c>
    </row>
    <row r="569" spans="1:21" x14ac:dyDescent="0.25">
      <c r="A569">
        <v>1</v>
      </c>
      <c r="B569">
        <v>500</v>
      </c>
      <c r="C569">
        <v>4</v>
      </c>
      <c r="D569">
        <v>30</v>
      </c>
      <c r="E569">
        <v>33</v>
      </c>
      <c r="F569" t="s">
        <v>23</v>
      </c>
      <c r="G569" t="s">
        <v>24</v>
      </c>
      <c r="H569" t="s">
        <v>25</v>
      </c>
      <c r="I569">
        <v>36</v>
      </c>
      <c r="J569">
        <v>11.459155902616464</v>
      </c>
      <c r="K569">
        <v>4.5</v>
      </c>
      <c r="L569">
        <v>9</v>
      </c>
      <c r="N569" t="s">
        <v>20</v>
      </c>
      <c r="O569" t="s">
        <v>16</v>
      </c>
      <c r="P569" t="s">
        <v>303</v>
      </c>
      <c r="Q569">
        <v>10</v>
      </c>
      <c r="R569">
        <v>10</v>
      </c>
      <c r="S569">
        <v>15</v>
      </c>
      <c r="T569" t="s">
        <v>277</v>
      </c>
      <c r="U569">
        <v>5.7801651485390147E-2</v>
      </c>
    </row>
    <row r="570" spans="1:21" x14ac:dyDescent="0.25">
      <c r="A570">
        <v>4</v>
      </c>
      <c r="B570">
        <v>500</v>
      </c>
      <c r="C570">
        <v>3</v>
      </c>
      <c r="D570">
        <v>36</v>
      </c>
      <c r="E570">
        <v>37</v>
      </c>
      <c r="F570" t="s">
        <v>23</v>
      </c>
      <c r="G570" t="s">
        <v>24</v>
      </c>
      <c r="H570" t="s">
        <v>25</v>
      </c>
      <c r="I570">
        <v>31.5</v>
      </c>
      <c r="J570">
        <v>10.026761414789407</v>
      </c>
      <c r="K570">
        <v>4</v>
      </c>
      <c r="L570">
        <v>9</v>
      </c>
      <c r="N570" t="s">
        <v>20</v>
      </c>
      <c r="O570" t="s">
        <v>16</v>
      </c>
      <c r="P570" t="s">
        <v>303</v>
      </c>
      <c r="Q570">
        <v>10</v>
      </c>
      <c r="R570">
        <v>10</v>
      </c>
      <c r="S570">
        <v>15</v>
      </c>
      <c r="T570" t="s">
        <v>277</v>
      </c>
      <c r="U570">
        <v>4.5038854825831719E-2</v>
      </c>
    </row>
    <row r="571" spans="1:21" x14ac:dyDescent="0.25">
      <c r="A571">
        <v>7</v>
      </c>
      <c r="B571">
        <v>500</v>
      </c>
      <c r="C571">
        <v>3</v>
      </c>
      <c r="D571">
        <v>35</v>
      </c>
      <c r="E571">
        <v>38</v>
      </c>
      <c r="F571" t="s">
        <v>23</v>
      </c>
      <c r="G571" t="s">
        <v>24</v>
      </c>
      <c r="H571" t="s">
        <v>25</v>
      </c>
      <c r="I571">
        <v>33</v>
      </c>
      <c r="J571">
        <v>10.504226244065093</v>
      </c>
      <c r="K571">
        <v>6</v>
      </c>
      <c r="L571">
        <v>11</v>
      </c>
      <c r="N571" t="s">
        <v>20</v>
      </c>
      <c r="O571" t="s">
        <v>16</v>
      </c>
      <c r="P571" t="s">
        <v>303</v>
      </c>
      <c r="Q571">
        <v>10</v>
      </c>
      <c r="R571">
        <v>10</v>
      </c>
      <c r="S571">
        <v>15</v>
      </c>
      <c r="T571" t="s">
        <v>277</v>
      </c>
      <c r="U571">
        <v>5.9228097147087003E-2</v>
      </c>
    </row>
    <row r="572" spans="1:21" x14ac:dyDescent="0.25">
      <c r="A572">
        <v>8</v>
      </c>
      <c r="B572">
        <v>500</v>
      </c>
      <c r="C572">
        <v>3</v>
      </c>
      <c r="D572">
        <v>33</v>
      </c>
      <c r="E572">
        <v>38</v>
      </c>
      <c r="F572" t="s">
        <v>23</v>
      </c>
      <c r="G572" t="s">
        <v>24</v>
      </c>
      <c r="H572" t="s">
        <v>25</v>
      </c>
      <c r="I572">
        <v>33</v>
      </c>
      <c r="J572">
        <v>10.504226244065093</v>
      </c>
      <c r="K572">
        <v>6</v>
      </c>
      <c r="L572">
        <v>12</v>
      </c>
      <c r="N572" t="s">
        <v>20</v>
      </c>
      <c r="O572" t="s">
        <v>16</v>
      </c>
      <c r="P572" t="s">
        <v>303</v>
      </c>
      <c r="Q572">
        <v>12.5</v>
      </c>
      <c r="R572">
        <v>10</v>
      </c>
      <c r="S572">
        <v>15</v>
      </c>
      <c r="T572" t="s">
        <v>277</v>
      </c>
      <c r="U572">
        <v>6.4229262232877282E-2</v>
      </c>
    </row>
    <row r="573" spans="1:21" x14ac:dyDescent="0.25">
      <c r="A573">
        <v>4</v>
      </c>
      <c r="B573">
        <v>500</v>
      </c>
      <c r="C573">
        <v>3</v>
      </c>
      <c r="D573">
        <v>39</v>
      </c>
      <c r="E573">
        <v>40</v>
      </c>
      <c r="F573" t="s">
        <v>23</v>
      </c>
      <c r="G573" t="s">
        <v>24</v>
      </c>
      <c r="H573" t="s">
        <v>25</v>
      </c>
      <c r="I573">
        <v>32</v>
      </c>
      <c r="J573">
        <v>10.185916357881302</v>
      </c>
      <c r="K573">
        <v>4</v>
      </c>
      <c r="L573">
        <v>8</v>
      </c>
      <c r="N573" t="s">
        <v>20</v>
      </c>
      <c r="O573" t="s">
        <v>16</v>
      </c>
      <c r="P573" t="s">
        <v>303</v>
      </c>
      <c r="Q573">
        <v>7.5</v>
      </c>
      <c r="R573">
        <v>10</v>
      </c>
      <c r="S573">
        <v>15</v>
      </c>
      <c r="T573" t="s">
        <v>277</v>
      </c>
      <c r="U573">
        <v>4.1563366682151257E-2</v>
      </c>
    </row>
    <row r="574" spans="1:21" x14ac:dyDescent="0.25">
      <c r="A574">
        <v>4</v>
      </c>
      <c r="B574">
        <v>500</v>
      </c>
      <c r="C574">
        <v>3</v>
      </c>
      <c r="D574">
        <v>40</v>
      </c>
      <c r="E574">
        <v>41</v>
      </c>
      <c r="F574" t="s">
        <v>23</v>
      </c>
      <c r="G574" t="s">
        <v>24</v>
      </c>
      <c r="H574" t="s">
        <v>25</v>
      </c>
      <c r="I574">
        <v>65.5</v>
      </c>
      <c r="J574">
        <v>20.84929754503829</v>
      </c>
      <c r="K574">
        <v>6</v>
      </c>
      <c r="L574">
        <v>13</v>
      </c>
      <c r="N574" t="s">
        <v>29</v>
      </c>
      <c r="O574" t="s">
        <v>16</v>
      </c>
      <c r="P574" t="s">
        <v>303</v>
      </c>
      <c r="Q574">
        <v>12.5</v>
      </c>
      <c r="R574">
        <v>20</v>
      </c>
      <c r="S574">
        <v>15</v>
      </c>
      <c r="T574" t="s">
        <v>277</v>
      </c>
      <c r="U574">
        <v>0.24911289307601189</v>
      </c>
    </row>
    <row r="575" spans="1:21" x14ac:dyDescent="0.25">
      <c r="A575">
        <v>7</v>
      </c>
      <c r="B575">
        <v>500</v>
      </c>
      <c r="C575">
        <v>4</v>
      </c>
      <c r="D575">
        <v>38</v>
      </c>
      <c r="E575">
        <v>41</v>
      </c>
      <c r="F575" t="s">
        <v>23</v>
      </c>
      <c r="G575" t="s">
        <v>24</v>
      </c>
      <c r="H575" t="s">
        <v>25</v>
      </c>
      <c r="I575">
        <v>33</v>
      </c>
      <c r="J575">
        <v>10.504226244065093</v>
      </c>
      <c r="K575">
        <v>8</v>
      </c>
      <c r="L575">
        <v>13</v>
      </c>
      <c r="N575" t="s">
        <v>20</v>
      </c>
      <c r="O575" t="s">
        <v>16</v>
      </c>
      <c r="P575" t="s">
        <v>303</v>
      </c>
      <c r="Q575">
        <v>12.5</v>
      </c>
      <c r="R575">
        <v>10</v>
      </c>
      <c r="S575">
        <v>15</v>
      </c>
      <c r="T575" t="s">
        <v>277</v>
      </c>
      <c r="U575">
        <v>6.9201982346803359E-2</v>
      </c>
    </row>
    <row r="576" spans="1:21" x14ac:dyDescent="0.25">
      <c r="A576">
        <v>3</v>
      </c>
      <c r="B576">
        <v>500</v>
      </c>
      <c r="C576">
        <v>3</v>
      </c>
      <c r="D576">
        <v>40</v>
      </c>
      <c r="E576">
        <v>42</v>
      </c>
      <c r="F576" t="s">
        <v>23</v>
      </c>
      <c r="G576" t="s">
        <v>24</v>
      </c>
      <c r="H576" t="s">
        <v>25</v>
      </c>
      <c r="I576">
        <v>56</v>
      </c>
      <c r="J576">
        <v>17.82535362629228</v>
      </c>
      <c r="K576">
        <v>5.5</v>
      </c>
      <c r="L576">
        <v>11</v>
      </c>
      <c r="N576" t="s">
        <v>20</v>
      </c>
      <c r="O576" t="s">
        <v>16</v>
      </c>
      <c r="P576" t="s">
        <v>303</v>
      </c>
      <c r="Q576">
        <v>10</v>
      </c>
      <c r="R576">
        <v>20</v>
      </c>
      <c r="S576">
        <v>15</v>
      </c>
      <c r="T576" t="s">
        <v>277</v>
      </c>
      <c r="U576">
        <v>0.15909401063779105</v>
      </c>
    </row>
    <row r="577" spans="1:21" x14ac:dyDescent="0.25">
      <c r="A577">
        <v>4</v>
      </c>
      <c r="B577">
        <v>500</v>
      </c>
      <c r="C577">
        <v>3</v>
      </c>
      <c r="D577" t="s">
        <v>164</v>
      </c>
      <c r="E577">
        <v>42</v>
      </c>
      <c r="F577" t="s">
        <v>23</v>
      </c>
      <c r="G577" t="s">
        <v>24</v>
      </c>
      <c r="H577" t="s">
        <v>25</v>
      </c>
      <c r="I577">
        <v>56.5</v>
      </c>
      <c r="J577">
        <v>17.984508569384175</v>
      </c>
      <c r="K577">
        <v>6</v>
      </c>
      <c r="L577">
        <v>12</v>
      </c>
      <c r="N577" t="s">
        <v>20</v>
      </c>
      <c r="O577" t="s">
        <v>16</v>
      </c>
      <c r="P577" t="e">
        <v>#VALUE!</v>
      </c>
      <c r="Q577">
        <v>12.5</v>
      </c>
      <c r="R577">
        <v>20</v>
      </c>
      <c r="S577">
        <v>15</v>
      </c>
      <c r="T577" t="s">
        <v>277</v>
      </c>
      <c r="U577">
        <v>0.1754170665386981</v>
      </c>
    </row>
    <row r="578" spans="1:21" x14ac:dyDescent="0.25">
      <c r="A578">
        <v>3</v>
      </c>
      <c r="B578">
        <v>500</v>
      </c>
      <c r="C578">
        <v>3</v>
      </c>
      <c r="D578">
        <v>42</v>
      </c>
      <c r="E578">
        <v>44</v>
      </c>
      <c r="F578" t="s">
        <v>23</v>
      </c>
      <c r="G578" t="s">
        <v>24</v>
      </c>
      <c r="H578" t="s">
        <v>25</v>
      </c>
      <c r="I578">
        <v>52</v>
      </c>
      <c r="J578">
        <v>16.552114081557114</v>
      </c>
      <c r="K578">
        <v>3.5</v>
      </c>
      <c r="L578">
        <v>12</v>
      </c>
      <c r="N578" t="s">
        <v>20</v>
      </c>
      <c r="O578" t="s">
        <v>16</v>
      </c>
      <c r="P578" t="s">
        <v>303</v>
      </c>
      <c r="Q578">
        <v>12.5</v>
      </c>
      <c r="R578">
        <v>15</v>
      </c>
      <c r="S578">
        <v>15</v>
      </c>
      <c r="T578" t="s">
        <v>277</v>
      </c>
      <c r="U578">
        <v>0.1502189433768448</v>
      </c>
    </row>
    <row r="579" spans="1:21" x14ac:dyDescent="0.25">
      <c r="A579">
        <v>2</v>
      </c>
      <c r="B579">
        <v>500</v>
      </c>
      <c r="C579">
        <v>3</v>
      </c>
      <c r="D579">
        <v>43</v>
      </c>
      <c r="E579">
        <v>45</v>
      </c>
      <c r="F579" t="s">
        <v>23</v>
      </c>
      <c r="G579" t="s">
        <v>24</v>
      </c>
      <c r="H579" t="s">
        <v>25</v>
      </c>
      <c r="I579">
        <v>85</v>
      </c>
      <c r="J579">
        <v>27.056340325622209</v>
      </c>
      <c r="K579">
        <v>8</v>
      </c>
      <c r="L579">
        <v>14</v>
      </c>
      <c r="N579" t="s">
        <v>20</v>
      </c>
      <c r="O579" t="s">
        <v>16</v>
      </c>
      <c r="P579" t="s">
        <v>303</v>
      </c>
      <c r="Q579">
        <v>15</v>
      </c>
      <c r="R579">
        <v>25</v>
      </c>
      <c r="S579">
        <v>15</v>
      </c>
      <c r="T579" t="s">
        <v>277</v>
      </c>
      <c r="U579">
        <v>0.43435331116999504</v>
      </c>
    </row>
    <row r="580" spans="1:21" x14ac:dyDescent="0.25">
      <c r="A580">
        <v>4</v>
      </c>
      <c r="B580">
        <v>500</v>
      </c>
      <c r="C580">
        <v>4</v>
      </c>
      <c r="D580">
        <v>45</v>
      </c>
      <c r="E580">
        <v>47</v>
      </c>
      <c r="F580" t="s">
        <v>23</v>
      </c>
      <c r="G580" t="s">
        <v>24</v>
      </c>
      <c r="H580" t="s">
        <v>25</v>
      </c>
      <c r="I580">
        <v>34.5</v>
      </c>
      <c r="J580">
        <v>10.981691073340778</v>
      </c>
      <c r="K580">
        <v>7.5</v>
      </c>
      <c r="L580">
        <v>11</v>
      </c>
      <c r="N580" t="s">
        <v>20</v>
      </c>
      <c r="O580" t="s">
        <v>16</v>
      </c>
      <c r="P580" t="s">
        <v>303</v>
      </c>
      <c r="Q580">
        <v>10</v>
      </c>
      <c r="R580">
        <v>10</v>
      </c>
      <c r="S580">
        <v>15</v>
      </c>
      <c r="T580" t="s">
        <v>277</v>
      </c>
      <c r="U580">
        <v>6.4357295147858054E-2</v>
      </c>
    </row>
    <row r="581" spans="1:21" x14ac:dyDescent="0.25">
      <c r="A581">
        <v>4</v>
      </c>
      <c r="B581">
        <v>500</v>
      </c>
      <c r="C581">
        <v>4</v>
      </c>
      <c r="D581">
        <v>48</v>
      </c>
      <c r="E581">
        <v>50</v>
      </c>
      <c r="F581" t="s">
        <v>23</v>
      </c>
      <c r="G581" t="s">
        <v>24</v>
      </c>
      <c r="H581" t="s">
        <v>25</v>
      </c>
      <c r="I581">
        <v>36</v>
      </c>
      <c r="J581">
        <v>11.459155902616464</v>
      </c>
      <c r="K581">
        <v>5</v>
      </c>
      <c r="L581">
        <v>11</v>
      </c>
      <c r="N581" t="s">
        <v>20</v>
      </c>
      <c r="O581" t="s">
        <v>16</v>
      </c>
      <c r="P581" t="s">
        <v>303</v>
      </c>
      <c r="Q581">
        <v>10</v>
      </c>
      <c r="R581">
        <v>10</v>
      </c>
      <c r="S581">
        <v>15</v>
      </c>
      <c r="T581" t="s">
        <v>277</v>
      </c>
      <c r="U581">
        <v>6.9683895125996861E-2</v>
      </c>
    </row>
    <row r="582" spans="1:21" x14ac:dyDescent="0.25">
      <c r="A582">
        <v>4</v>
      </c>
      <c r="B582">
        <v>500</v>
      </c>
      <c r="C582">
        <v>4</v>
      </c>
      <c r="D582">
        <v>51</v>
      </c>
      <c r="E582">
        <v>53</v>
      </c>
      <c r="F582" t="s">
        <v>23</v>
      </c>
      <c r="G582" t="s">
        <v>24</v>
      </c>
      <c r="H582" t="s">
        <v>25</v>
      </c>
      <c r="I582">
        <v>33.5</v>
      </c>
      <c r="J582">
        <v>10.663381187156988</v>
      </c>
      <c r="K582">
        <v>6</v>
      </c>
      <c r="L582">
        <v>13</v>
      </c>
      <c r="N582" t="s">
        <v>20</v>
      </c>
      <c r="O582" t="s">
        <v>16</v>
      </c>
      <c r="P582" t="s">
        <v>303</v>
      </c>
      <c r="Q582">
        <v>12.5</v>
      </c>
      <c r="R582">
        <v>10</v>
      </c>
      <c r="S582">
        <v>15</v>
      </c>
      <c r="T582" t="s">
        <v>277</v>
      </c>
      <c r="U582">
        <v>7.1173921083408573E-2</v>
      </c>
    </row>
    <row r="583" spans="1:21" x14ac:dyDescent="0.25">
      <c r="A583">
        <v>2</v>
      </c>
      <c r="B583">
        <v>500</v>
      </c>
      <c r="C583">
        <v>4</v>
      </c>
      <c r="D583">
        <v>50</v>
      </c>
      <c r="E583">
        <v>55</v>
      </c>
      <c r="F583" t="s">
        <v>23</v>
      </c>
      <c r="G583" t="s">
        <v>24</v>
      </c>
      <c r="H583" t="s">
        <v>25</v>
      </c>
      <c r="I583">
        <v>34.5</v>
      </c>
      <c r="J583">
        <v>10.981691073340778</v>
      </c>
      <c r="K583">
        <v>6</v>
      </c>
      <c r="L583">
        <v>12</v>
      </c>
      <c r="N583" t="s">
        <v>20</v>
      </c>
      <c r="O583" t="s">
        <v>16</v>
      </c>
      <c r="P583" t="s">
        <v>303</v>
      </c>
      <c r="Q583">
        <v>12.5</v>
      </c>
      <c r="R583">
        <v>10</v>
      </c>
      <c r="S583">
        <v>15</v>
      </c>
      <c r="T583" t="s">
        <v>277</v>
      </c>
      <c r="U583">
        <v>6.9791564911920512E-2</v>
      </c>
    </row>
    <row r="584" spans="1:21" x14ac:dyDescent="0.25">
      <c r="A584">
        <v>4</v>
      </c>
      <c r="B584">
        <v>500</v>
      </c>
      <c r="C584">
        <v>4</v>
      </c>
      <c r="D584">
        <v>53</v>
      </c>
      <c r="E584">
        <v>55</v>
      </c>
      <c r="F584" t="s">
        <v>23</v>
      </c>
      <c r="G584" t="s">
        <v>24</v>
      </c>
      <c r="H584" t="s">
        <v>25</v>
      </c>
      <c r="I584">
        <v>50.5</v>
      </c>
      <c r="J584">
        <v>16.074649252281429</v>
      </c>
      <c r="K584">
        <v>8</v>
      </c>
      <c r="L584">
        <v>13</v>
      </c>
      <c r="N584" t="s">
        <v>20</v>
      </c>
      <c r="O584" t="s">
        <v>16</v>
      </c>
      <c r="P584" t="s">
        <v>303</v>
      </c>
      <c r="Q584">
        <v>12.5</v>
      </c>
      <c r="R584">
        <v>15</v>
      </c>
      <c r="S584">
        <v>15</v>
      </c>
      <c r="T584" t="s">
        <v>277</v>
      </c>
      <c r="U584">
        <v>0.15323539884347603</v>
      </c>
    </row>
    <row r="585" spans="1:21" x14ac:dyDescent="0.25">
      <c r="A585">
        <v>3</v>
      </c>
      <c r="B585">
        <v>500</v>
      </c>
      <c r="C585">
        <v>4</v>
      </c>
      <c r="D585">
        <v>48</v>
      </c>
      <c r="E585">
        <v>57</v>
      </c>
      <c r="F585" t="s">
        <v>23</v>
      </c>
      <c r="G585" t="s">
        <v>24</v>
      </c>
      <c r="H585" t="s">
        <v>25</v>
      </c>
      <c r="I585">
        <v>46</v>
      </c>
      <c r="J585">
        <v>14.642254764454371</v>
      </c>
      <c r="K585">
        <v>5.5</v>
      </c>
      <c r="L585">
        <v>12</v>
      </c>
      <c r="N585" t="s">
        <v>20</v>
      </c>
      <c r="O585" t="s">
        <v>16</v>
      </c>
      <c r="P585" t="s">
        <v>303</v>
      </c>
      <c r="Q585">
        <v>12.5</v>
      </c>
      <c r="R585">
        <v>15</v>
      </c>
      <c r="S585">
        <v>15</v>
      </c>
      <c r="T585" t="s">
        <v>277</v>
      </c>
      <c r="U585">
        <v>0.11946483735150713</v>
      </c>
    </row>
    <row r="586" spans="1:21" x14ac:dyDescent="0.25">
      <c r="A586">
        <v>2</v>
      </c>
      <c r="B586">
        <v>500</v>
      </c>
      <c r="C586">
        <v>4</v>
      </c>
      <c r="D586">
        <v>53</v>
      </c>
      <c r="E586">
        <v>58</v>
      </c>
      <c r="F586" t="s">
        <v>23</v>
      </c>
      <c r="G586" t="s">
        <v>24</v>
      </c>
      <c r="H586" t="s">
        <v>25</v>
      </c>
      <c r="I586">
        <v>45.5</v>
      </c>
      <c r="J586">
        <v>14.483099821362476</v>
      </c>
      <c r="K586">
        <v>7</v>
      </c>
      <c r="L586">
        <v>13</v>
      </c>
      <c r="N586" t="s">
        <v>20</v>
      </c>
      <c r="O586" t="s">
        <v>16</v>
      </c>
      <c r="P586" t="s">
        <v>303</v>
      </c>
      <c r="Q586">
        <v>12.5</v>
      </c>
      <c r="R586">
        <v>15</v>
      </c>
      <c r="S586">
        <v>15</v>
      </c>
      <c r="T586" t="s">
        <v>277</v>
      </c>
      <c r="U586">
        <v>0.12611228570285718</v>
      </c>
    </row>
    <row r="587" spans="1:21" x14ac:dyDescent="0.25">
      <c r="A587">
        <v>3</v>
      </c>
      <c r="B587">
        <v>500</v>
      </c>
      <c r="C587">
        <v>4</v>
      </c>
      <c r="D587">
        <v>49</v>
      </c>
      <c r="E587">
        <v>58</v>
      </c>
      <c r="F587" t="s">
        <v>23</v>
      </c>
      <c r="G587" t="s">
        <v>24</v>
      </c>
      <c r="H587" t="s">
        <v>25</v>
      </c>
      <c r="I587">
        <v>48.5</v>
      </c>
      <c r="J587">
        <v>15.438029479913848</v>
      </c>
      <c r="K587">
        <v>6</v>
      </c>
      <c r="L587">
        <v>10</v>
      </c>
      <c r="N587" t="s">
        <v>20</v>
      </c>
      <c r="O587" t="s">
        <v>16</v>
      </c>
      <c r="P587" t="s">
        <v>303</v>
      </c>
      <c r="Q587">
        <v>10</v>
      </c>
      <c r="R587">
        <v>15</v>
      </c>
      <c r="S587">
        <v>15</v>
      </c>
      <c r="T587" t="s">
        <v>277</v>
      </c>
      <c r="U587">
        <v>0.11127958327863874</v>
      </c>
    </row>
    <row r="588" spans="1:21" x14ac:dyDescent="0.25">
      <c r="A588">
        <v>2</v>
      </c>
      <c r="B588">
        <v>500</v>
      </c>
      <c r="C588">
        <v>4</v>
      </c>
      <c r="D588">
        <v>54</v>
      </c>
      <c r="E588">
        <v>59</v>
      </c>
      <c r="F588" t="s">
        <v>23</v>
      </c>
      <c r="G588" t="s">
        <v>24</v>
      </c>
      <c r="H588" t="s">
        <v>25</v>
      </c>
      <c r="I588">
        <v>40</v>
      </c>
      <c r="J588">
        <v>12.732395447351628</v>
      </c>
      <c r="K588">
        <v>4</v>
      </c>
      <c r="L588">
        <v>8</v>
      </c>
      <c r="N588" t="s">
        <v>29</v>
      </c>
      <c r="O588" t="s">
        <v>16</v>
      </c>
      <c r="P588" t="s">
        <v>303</v>
      </c>
      <c r="Q588">
        <v>7.5</v>
      </c>
      <c r="R588">
        <v>15</v>
      </c>
      <c r="S588">
        <v>15</v>
      </c>
      <c r="T588" t="s">
        <v>277</v>
      </c>
      <c r="U588">
        <v>6.3063583721306896E-2</v>
      </c>
    </row>
    <row r="589" spans="1:21" x14ac:dyDescent="0.25">
      <c r="A589">
        <v>2</v>
      </c>
      <c r="B589">
        <v>500</v>
      </c>
      <c r="C589">
        <v>4</v>
      </c>
      <c r="D589" t="s">
        <v>119</v>
      </c>
      <c r="E589">
        <v>60</v>
      </c>
      <c r="F589" t="s">
        <v>23</v>
      </c>
      <c r="G589" t="s">
        <v>24</v>
      </c>
      <c r="H589" t="s">
        <v>25</v>
      </c>
      <c r="I589">
        <v>32.5</v>
      </c>
      <c r="J589">
        <v>10.345071300973197</v>
      </c>
      <c r="K589">
        <v>5</v>
      </c>
      <c r="L589">
        <v>8</v>
      </c>
      <c r="N589" t="s">
        <v>20</v>
      </c>
      <c r="O589" t="s">
        <v>16</v>
      </c>
      <c r="P589" t="e">
        <v>#VALUE!</v>
      </c>
      <c r="Q589">
        <v>7.5</v>
      </c>
      <c r="R589">
        <v>10</v>
      </c>
      <c r="S589">
        <v>15</v>
      </c>
      <c r="T589" t="s">
        <v>277</v>
      </c>
      <c r="U589">
        <v>4.2784992320510501E-2</v>
      </c>
    </row>
    <row r="590" spans="1:21" x14ac:dyDescent="0.25">
      <c r="A590">
        <v>8</v>
      </c>
      <c r="B590">
        <v>5</v>
      </c>
      <c r="D590">
        <v>2</v>
      </c>
      <c r="E590">
        <v>2</v>
      </c>
      <c r="F590" t="s">
        <v>13</v>
      </c>
      <c r="G590" t="s">
        <v>14</v>
      </c>
      <c r="H590" t="s">
        <v>15</v>
      </c>
      <c r="L590">
        <v>4</v>
      </c>
      <c r="M590" t="e">
        <v>#REF!</v>
      </c>
      <c r="P590" t="s">
        <v>303</v>
      </c>
      <c r="Q590">
        <v>5</v>
      </c>
      <c r="R590">
        <v>5</v>
      </c>
    </row>
    <row r="591" spans="1:21" x14ac:dyDescent="0.25">
      <c r="A591">
        <v>8</v>
      </c>
      <c r="B591">
        <v>5</v>
      </c>
      <c r="D591">
        <v>3</v>
      </c>
      <c r="E591">
        <v>3</v>
      </c>
      <c r="F591" t="s">
        <v>195</v>
      </c>
      <c r="G591" t="s">
        <v>196</v>
      </c>
      <c r="H591" t="s">
        <v>197</v>
      </c>
      <c r="L591">
        <v>3</v>
      </c>
      <c r="M591" t="e">
        <v>#REF!</v>
      </c>
      <c r="P591" t="s">
        <v>303</v>
      </c>
      <c r="Q591">
        <v>2.5</v>
      </c>
      <c r="R591">
        <v>5</v>
      </c>
    </row>
    <row r="592" spans="1:21" x14ac:dyDescent="0.25">
      <c r="A592">
        <v>9</v>
      </c>
      <c r="B592">
        <v>100</v>
      </c>
      <c r="C592">
        <v>1</v>
      </c>
      <c r="D592">
        <v>10</v>
      </c>
      <c r="E592">
        <v>10</v>
      </c>
      <c r="F592" t="s">
        <v>17</v>
      </c>
      <c r="G592" t="s">
        <v>207</v>
      </c>
      <c r="H592" t="s">
        <v>208</v>
      </c>
      <c r="I592">
        <v>22</v>
      </c>
      <c r="J592">
        <v>7.0028174960433951</v>
      </c>
      <c r="K592">
        <v>7</v>
      </c>
      <c r="L592">
        <v>9</v>
      </c>
      <c r="N592" t="s">
        <v>20</v>
      </c>
      <c r="O592" t="s">
        <v>16</v>
      </c>
      <c r="P592" t="s">
        <v>303</v>
      </c>
      <c r="Q592">
        <v>10</v>
      </c>
      <c r="R592">
        <v>5</v>
      </c>
    </row>
    <row r="593" spans="1:21" x14ac:dyDescent="0.25">
      <c r="A593">
        <v>8</v>
      </c>
      <c r="B593">
        <v>500</v>
      </c>
      <c r="C593">
        <v>3</v>
      </c>
      <c r="D593">
        <v>38</v>
      </c>
      <c r="E593">
        <v>43</v>
      </c>
      <c r="F593" t="s">
        <v>17</v>
      </c>
      <c r="G593" t="s">
        <v>207</v>
      </c>
      <c r="H593" t="s">
        <v>208</v>
      </c>
      <c r="I593">
        <v>32</v>
      </c>
      <c r="J593">
        <v>10.185916357881302</v>
      </c>
      <c r="K593">
        <v>4.5</v>
      </c>
      <c r="L593">
        <v>7</v>
      </c>
      <c r="N593" t="s">
        <v>20</v>
      </c>
      <c r="O593" t="s">
        <v>39</v>
      </c>
      <c r="P593" t="s">
        <v>303</v>
      </c>
      <c r="Q593">
        <v>7.5</v>
      </c>
      <c r="R593">
        <v>10</v>
      </c>
      <c r="S593">
        <v>17</v>
      </c>
      <c r="T593" t="s">
        <v>273</v>
      </c>
      <c r="U593">
        <v>3.6703896467853298E-2</v>
      </c>
    </row>
    <row r="594" spans="1:21" x14ac:dyDescent="0.25">
      <c r="A594">
        <v>8</v>
      </c>
      <c r="B594">
        <v>500</v>
      </c>
      <c r="C594">
        <v>4</v>
      </c>
      <c r="D594">
        <v>46</v>
      </c>
      <c r="E594">
        <v>51</v>
      </c>
      <c r="F594" t="s">
        <v>17</v>
      </c>
      <c r="G594" t="s">
        <v>207</v>
      </c>
      <c r="H594" t="s">
        <v>208</v>
      </c>
      <c r="I594">
        <v>31.5</v>
      </c>
      <c r="J594">
        <v>10.026761414789407</v>
      </c>
      <c r="K594">
        <v>5</v>
      </c>
      <c r="L594">
        <v>9</v>
      </c>
      <c r="N594" t="s">
        <v>20</v>
      </c>
      <c r="O594" t="s">
        <v>16</v>
      </c>
      <c r="P594" t="s">
        <v>303</v>
      </c>
      <c r="Q594">
        <v>10</v>
      </c>
      <c r="R594">
        <v>10</v>
      </c>
      <c r="S594">
        <v>17</v>
      </c>
      <c r="T594" t="s">
        <v>273</v>
      </c>
      <c r="U594">
        <v>4.6212179647431767E-2</v>
      </c>
    </row>
    <row r="595" spans="1:21" x14ac:dyDescent="0.25">
      <c r="A595">
        <v>8</v>
      </c>
      <c r="B595">
        <v>5</v>
      </c>
      <c r="D595">
        <v>4</v>
      </c>
      <c r="E595">
        <v>4</v>
      </c>
      <c r="F595" t="s">
        <v>23</v>
      </c>
      <c r="G595" t="s">
        <v>24</v>
      </c>
      <c r="H595" t="s">
        <v>25</v>
      </c>
      <c r="L595">
        <v>3</v>
      </c>
      <c r="M595" t="e">
        <v>#REF!</v>
      </c>
      <c r="P595" t="s">
        <v>303</v>
      </c>
      <c r="Q595">
        <v>2.5</v>
      </c>
      <c r="R595">
        <v>5</v>
      </c>
    </row>
    <row r="596" spans="1:21" x14ac:dyDescent="0.25">
      <c r="A596">
        <v>8</v>
      </c>
      <c r="B596">
        <v>5</v>
      </c>
      <c r="D596">
        <v>5</v>
      </c>
      <c r="E596">
        <v>5</v>
      </c>
      <c r="F596" t="s">
        <v>21</v>
      </c>
      <c r="G596" t="s">
        <v>22</v>
      </c>
      <c r="H596" t="s">
        <v>283</v>
      </c>
      <c r="L596">
        <v>3</v>
      </c>
      <c r="M596" t="e">
        <v>#REF!</v>
      </c>
      <c r="P596" t="s">
        <v>303</v>
      </c>
      <c r="Q596">
        <v>2.5</v>
      </c>
      <c r="R596">
        <v>5</v>
      </c>
    </row>
    <row r="597" spans="1:21" x14ac:dyDescent="0.25">
      <c r="A597">
        <v>7</v>
      </c>
      <c r="B597">
        <v>100</v>
      </c>
      <c r="C597">
        <v>1</v>
      </c>
      <c r="D597">
        <v>2</v>
      </c>
      <c r="E597">
        <v>2</v>
      </c>
      <c r="F597" t="s">
        <v>30</v>
      </c>
      <c r="G597" t="s">
        <v>286</v>
      </c>
      <c r="H597" t="s">
        <v>113</v>
      </c>
      <c r="I597">
        <v>22</v>
      </c>
      <c r="J597">
        <v>7.0028174960433951</v>
      </c>
      <c r="K597">
        <v>4.5</v>
      </c>
      <c r="L597">
        <v>8</v>
      </c>
      <c r="N597" t="s">
        <v>20</v>
      </c>
      <c r="O597" t="s">
        <v>16</v>
      </c>
      <c r="P597" t="s">
        <v>303</v>
      </c>
      <c r="Q597">
        <v>7.5</v>
      </c>
      <c r="R597">
        <v>5</v>
      </c>
    </row>
    <row r="598" spans="1:21" x14ac:dyDescent="0.25">
      <c r="A598">
        <v>8</v>
      </c>
      <c r="B598">
        <v>5</v>
      </c>
      <c r="D598">
        <v>6</v>
      </c>
      <c r="E598">
        <v>6</v>
      </c>
      <c r="F598" t="s">
        <v>48</v>
      </c>
      <c r="G598" t="s">
        <v>49</v>
      </c>
      <c r="H598" t="s">
        <v>50</v>
      </c>
      <c r="L598">
        <v>5</v>
      </c>
      <c r="M598" t="e">
        <v>#REF!</v>
      </c>
      <c r="P598" t="s">
        <v>303</v>
      </c>
      <c r="Q598">
        <v>5</v>
      </c>
      <c r="R598">
        <v>5</v>
      </c>
    </row>
    <row r="599" spans="1:21" x14ac:dyDescent="0.25">
      <c r="A599">
        <v>8</v>
      </c>
      <c r="B599">
        <v>5</v>
      </c>
      <c r="D599">
        <v>7</v>
      </c>
      <c r="E599">
        <v>7</v>
      </c>
      <c r="F599" t="s">
        <v>30</v>
      </c>
      <c r="G599" t="s">
        <v>286</v>
      </c>
      <c r="H599" t="s">
        <v>113</v>
      </c>
      <c r="L599">
        <v>1.5</v>
      </c>
      <c r="M599" t="e">
        <v>#REF!</v>
      </c>
      <c r="P599" t="s">
        <v>303</v>
      </c>
      <c r="Q599">
        <v>2.5</v>
      </c>
      <c r="R599">
        <v>5</v>
      </c>
    </row>
    <row r="600" spans="1:21" x14ac:dyDescent="0.25">
      <c r="A600">
        <v>2</v>
      </c>
      <c r="B600">
        <v>500</v>
      </c>
      <c r="C600">
        <v>4</v>
      </c>
      <c r="D600">
        <v>51</v>
      </c>
      <c r="E600">
        <v>56</v>
      </c>
      <c r="F600" t="s">
        <v>30</v>
      </c>
      <c r="G600" t="s">
        <v>286</v>
      </c>
      <c r="H600" t="s">
        <v>113</v>
      </c>
      <c r="I600">
        <v>60.5</v>
      </c>
      <c r="J600">
        <v>19.257748114119337</v>
      </c>
      <c r="K600">
        <v>4</v>
      </c>
      <c r="L600">
        <v>14</v>
      </c>
      <c r="N600" t="s">
        <v>20</v>
      </c>
      <c r="O600" t="s">
        <v>16</v>
      </c>
      <c r="P600" t="s">
        <v>303</v>
      </c>
      <c r="Q600">
        <v>15</v>
      </c>
      <c r="R600">
        <v>20</v>
      </c>
      <c r="S600">
        <v>17</v>
      </c>
      <c r="T600" t="s">
        <v>273</v>
      </c>
      <c r="U600">
        <v>0.23827200798926257</v>
      </c>
    </row>
    <row r="601" spans="1:21" x14ac:dyDescent="0.25">
      <c r="A601">
        <v>8</v>
      </c>
      <c r="B601">
        <v>5</v>
      </c>
      <c r="D601">
        <v>8</v>
      </c>
      <c r="E601">
        <v>8</v>
      </c>
      <c r="F601" t="s">
        <v>90</v>
      </c>
      <c r="G601" t="s">
        <v>177</v>
      </c>
      <c r="H601" t="s">
        <v>178</v>
      </c>
      <c r="L601">
        <v>1.6</v>
      </c>
      <c r="M601" t="e">
        <v>#REF!</v>
      </c>
      <c r="P601" t="s">
        <v>303</v>
      </c>
      <c r="Q601">
        <v>2.5</v>
      </c>
      <c r="R601">
        <v>5</v>
      </c>
    </row>
    <row r="602" spans="1:21" x14ac:dyDescent="0.25">
      <c r="A602">
        <v>8</v>
      </c>
      <c r="B602">
        <v>5</v>
      </c>
      <c r="D602">
        <v>9</v>
      </c>
      <c r="E602">
        <v>9</v>
      </c>
      <c r="F602" t="s">
        <v>13</v>
      </c>
      <c r="G602" t="s">
        <v>14</v>
      </c>
      <c r="H602" t="s">
        <v>15</v>
      </c>
      <c r="L602">
        <v>1</v>
      </c>
      <c r="M602" t="e">
        <v>#REF!</v>
      </c>
      <c r="P602" t="s">
        <v>303</v>
      </c>
      <c r="Q602">
        <v>2.5</v>
      </c>
      <c r="R602">
        <v>5</v>
      </c>
    </row>
    <row r="603" spans="1:21" x14ac:dyDescent="0.25">
      <c r="A603">
        <v>8</v>
      </c>
      <c r="B603">
        <v>5</v>
      </c>
      <c r="D603">
        <v>10</v>
      </c>
      <c r="E603">
        <v>10</v>
      </c>
      <c r="F603" t="s">
        <v>13</v>
      </c>
      <c r="G603" t="s">
        <v>14</v>
      </c>
      <c r="H603" t="s">
        <v>15</v>
      </c>
      <c r="L603">
        <v>1</v>
      </c>
      <c r="M603" t="e">
        <v>#REF!</v>
      </c>
      <c r="P603" t="s">
        <v>303</v>
      </c>
      <c r="Q603">
        <v>2.5</v>
      </c>
      <c r="R603">
        <v>5</v>
      </c>
    </row>
    <row r="604" spans="1:21" x14ac:dyDescent="0.25">
      <c r="A604">
        <v>8</v>
      </c>
      <c r="B604">
        <v>5</v>
      </c>
      <c r="D604">
        <v>11</v>
      </c>
      <c r="E604">
        <v>11</v>
      </c>
      <c r="F604" t="s">
        <v>13</v>
      </c>
      <c r="G604" t="s">
        <v>14</v>
      </c>
      <c r="H604" t="s">
        <v>15</v>
      </c>
      <c r="L604">
        <v>0.4</v>
      </c>
      <c r="M604" t="e">
        <v>#REF!</v>
      </c>
      <c r="P604" t="s">
        <v>303</v>
      </c>
      <c r="Q604">
        <v>2.5</v>
      </c>
      <c r="R604">
        <v>5</v>
      </c>
    </row>
    <row r="605" spans="1:21" x14ac:dyDescent="0.25">
      <c r="A605">
        <v>8</v>
      </c>
      <c r="B605">
        <v>5</v>
      </c>
      <c r="D605">
        <v>12</v>
      </c>
      <c r="E605">
        <v>12</v>
      </c>
      <c r="F605" t="s">
        <v>195</v>
      </c>
      <c r="G605" t="s">
        <v>196</v>
      </c>
      <c r="H605" t="s">
        <v>197</v>
      </c>
      <c r="L605">
        <v>0.9</v>
      </c>
      <c r="M605" t="e">
        <v>#REF!</v>
      </c>
      <c r="P605" t="s">
        <v>303</v>
      </c>
      <c r="Q605">
        <v>2.5</v>
      </c>
      <c r="R605">
        <v>5</v>
      </c>
    </row>
    <row r="606" spans="1:21" x14ac:dyDescent="0.25">
      <c r="A606">
        <v>8</v>
      </c>
      <c r="B606">
        <v>5</v>
      </c>
      <c r="D606">
        <v>13</v>
      </c>
      <c r="E606">
        <v>13</v>
      </c>
      <c r="F606" t="s">
        <v>90</v>
      </c>
      <c r="G606" t="s">
        <v>177</v>
      </c>
      <c r="H606" t="s">
        <v>178</v>
      </c>
      <c r="L606">
        <v>1</v>
      </c>
      <c r="M606" t="e">
        <v>#REF!</v>
      </c>
      <c r="P606" t="s">
        <v>303</v>
      </c>
      <c r="Q606">
        <v>2.5</v>
      </c>
      <c r="R606">
        <v>5</v>
      </c>
    </row>
    <row r="607" spans="1:21" x14ac:dyDescent="0.25">
      <c r="A607">
        <v>8</v>
      </c>
      <c r="B607">
        <v>5</v>
      </c>
      <c r="D607">
        <v>14</v>
      </c>
      <c r="E607">
        <v>14</v>
      </c>
      <c r="F607" t="s">
        <v>201</v>
      </c>
      <c r="G607" t="s">
        <v>202</v>
      </c>
      <c r="H607" t="s">
        <v>203</v>
      </c>
      <c r="L607">
        <v>1.2</v>
      </c>
      <c r="M607" t="e">
        <v>#REF!</v>
      </c>
      <c r="P607" t="s">
        <v>303</v>
      </c>
      <c r="Q607">
        <v>2.5</v>
      </c>
      <c r="R607">
        <v>5</v>
      </c>
    </row>
    <row r="608" spans="1:21" x14ac:dyDescent="0.25">
      <c r="A608">
        <v>8</v>
      </c>
      <c r="B608">
        <v>5</v>
      </c>
      <c r="D608">
        <v>15</v>
      </c>
      <c r="E608">
        <v>15</v>
      </c>
      <c r="F608" t="s">
        <v>179</v>
      </c>
      <c r="G608" t="s">
        <v>284</v>
      </c>
      <c r="H608" t="s">
        <v>285</v>
      </c>
      <c r="L608">
        <v>1.7</v>
      </c>
      <c r="M608" t="e">
        <v>#REF!</v>
      </c>
      <c r="P608" t="s">
        <v>303</v>
      </c>
      <c r="Q608">
        <v>2.5</v>
      </c>
      <c r="R608">
        <v>5</v>
      </c>
    </row>
    <row r="609" spans="1:21" x14ac:dyDescent="0.25">
      <c r="A609">
        <v>8</v>
      </c>
      <c r="B609">
        <v>5</v>
      </c>
      <c r="D609">
        <v>16</v>
      </c>
      <c r="E609">
        <v>16</v>
      </c>
      <c r="F609" t="s">
        <v>90</v>
      </c>
      <c r="G609" t="s">
        <v>103</v>
      </c>
      <c r="H609" t="s">
        <v>104</v>
      </c>
      <c r="L609">
        <v>2</v>
      </c>
      <c r="M609" t="e">
        <v>#REF!</v>
      </c>
      <c r="P609" t="s">
        <v>303</v>
      </c>
      <c r="Q609">
        <v>2.5</v>
      </c>
      <c r="R609">
        <v>5</v>
      </c>
    </row>
    <row r="610" spans="1:21" x14ac:dyDescent="0.25">
      <c r="A610">
        <v>9</v>
      </c>
      <c r="B610">
        <v>5</v>
      </c>
      <c r="D610">
        <v>1</v>
      </c>
      <c r="E610">
        <v>1</v>
      </c>
      <c r="F610" t="s">
        <v>218</v>
      </c>
      <c r="G610" t="s">
        <v>219</v>
      </c>
      <c r="H610" t="s">
        <v>220</v>
      </c>
      <c r="L610">
        <v>6</v>
      </c>
      <c r="M610" t="e">
        <v>#REF!</v>
      </c>
      <c r="O610" t="s">
        <v>16</v>
      </c>
      <c r="P610" t="s">
        <v>303</v>
      </c>
      <c r="Q610">
        <v>5</v>
      </c>
      <c r="R610">
        <v>5</v>
      </c>
    </row>
    <row r="611" spans="1:21" x14ac:dyDescent="0.25">
      <c r="A611">
        <v>9</v>
      </c>
      <c r="B611">
        <v>5</v>
      </c>
      <c r="D611">
        <v>2</v>
      </c>
      <c r="E611">
        <v>2</v>
      </c>
      <c r="F611" t="s">
        <v>81</v>
      </c>
      <c r="G611" t="s">
        <v>120</v>
      </c>
      <c r="H611" t="s">
        <v>121</v>
      </c>
      <c r="L611">
        <v>1.5</v>
      </c>
      <c r="M611" t="e">
        <v>#REF!</v>
      </c>
      <c r="O611" t="s">
        <v>16</v>
      </c>
      <c r="P611" t="s">
        <v>303</v>
      </c>
      <c r="Q611">
        <v>2.5</v>
      </c>
      <c r="R611">
        <v>5</v>
      </c>
    </row>
    <row r="612" spans="1:21" x14ac:dyDescent="0.25">
      <c r="A612">
        <v>3</v>
      </c>
      <c r="B612">
        <v>500</v>
      </c>
      <c r="C612">
        <v>1</v>
      </c>
      <c r="D612">
        <v>4</v>
      </c>
      <c r="E612">
        <v>4</v>
      </c>
      <c r="F612" t="s">
        <v>87</v>
      </c>
      <c r="G612" t="s">
        <v>88</v>
      </c>
      <c r="H612" t="s">
        <v>89</v>
      </c>
      <c r="I612">
        <v>38</v>
      </c>
      <c r="J612">
        <v>12.095775674984045</v>
      </c>
      <c r="K612">
        <v>7</v>
      </c>
      <c r="L612">
        <v>9</v>
      </c>
      <c r="N612" t="s">
        <v>20</v>
      </c>
      <c r="O612" t="s">
        <v>16</v>
      </c>
      <c r="P612" t="s">
        <v>303</v>
      </c>
      <c r="Q612">
        <v>10</v>
      </c>
      <c r="R612">
        <v>10</v>
      </c>
      <c r="S612">
        <v>9</v>
      </c>
      <c r="T612" t="s">
        <v>268</v>
      </c>
      <c r="U612">
        <v>6.6969092074145434E-2</v>
      </c>
    </row>
    <row r="613" spans="1:21" x14ac:dyDescent="0.25">
      <c r="A613">
        <v>2</v>
      </c>
      <c r="B613">
        <v>100</v>
      </c>
      <c r="C613">
        <v>1</v>
      </c>
      <c r="D613">
        <v>4</v>
      </c>
      <c r="E613">
        <v>4</v>
      </c>
      <c r="F613" t="s">
        <v>87</v>
      </c>
      <c r="G613" t="s">
        <v>88</v>
      </c>
      <c r="H613" t="s">
        <v>89</v>
      </c>
      <c r="I613">
        <v>16</v>
      </c>
      <c r="J613">
        <v>5.0929581789406511</v>
      </c>
      <c r="K613">
        <v>6</v>
      </c>
      <c r="L613">
        <v>11</v>
      </c>
      <c r="N613" t="s">
        <v>20</v>
      </c>
      <c r="O613" t="s">
        <v>16</v>
      </c>
      <c r="P613" t="s">
        <v>303</v>
      </c>
      <c r="Q613">
        <v>10</v>
      </c>
      <c r="R613">
        <v>5</v>
      </c>
    </row>
    <row r="614" spans="1:21" x14ac:dyDescent="0.25">
      <c r="A614">
        <v>9</v>
      </c>
      <c r="B614">
        <v>5</v>
      </c>
      <c r="D614">
        <v>3</v>
      </c>
      <c r="E614">
        <v>3</v>
      </c>
      <c r="F614" t="s">
        <v>62</v>
      </c>
      <c r="G614" t="s">
        <v>63</v>
      </c>
      <c r="H614" t="s">
        <v>64</v>
      </c>
      <c r="L614">
        <v>3</v>
      </c>
      <c r="M614" t="e">
        <v>#REF!</v>
      </c>
      <c r="O614" t="s">
        <v>16</v>
      </c>
      <c r="P614" t="s">
        <v>303</v>
      </c>
      <c r="Q614">
        <v>2.5</v>
      </c>
      <c r="R614">
        <v>5</v>
      </c>
    </row>
    <row r="615" spans="1:21" x14ac:dyDescent="0.25">
      <c r="A615">
        <v>2</v>
      </c>
      <c r="B615">
        <v>100</v>
      </c>
      <c r="C615">
        <v>2</v>
      </c>
      <c r="D615">
        <v>9</v>
      </c>
      <c r="E615">
        <v>9</v>
      </c>
      <c r="F615" t="s">
        <v>87</v>
      </c>
      <c r="G615" t="s">
        <v>88</v>
      </c>
      <c r="H615" t="s">
        <v>89</v>
      </c>
      <c r="I615">
        <v>17</v>
      </c>
      <c r="J615">
        <v>5.4112680651244416</v>
      </c>
      <c r="K615">
        <v>8</v>
      </c>
      <c r="L615">
        <v>9</v>
      </c>
      <c r="N615" t="s">
        <v>20</v>
      </c>
      <c r="O615" t="s">
        <v>16</v>
      </c>
      <c r="P615" t="s">
        <v>303</v>
      </c>
      <c r="Q615">
        <v>10</v>
      </c>
      <c r="R615">
        <v>5</v>
      </c>
    </row>
    <row r="616" spans="1:21" x14ac:dyDescent="0.25">
      <c r="A616">
        <v>9</v>
      </c>
      <c r="B616">
        <v>5</v>
      </c>
      <c r="D616">
        <v>4</v>
      </c>
      <c r="E616">
        <v>4</v>
      </c>
      <c r="F616" t="s">
        <v>62</v>
      </c>
      <c r="G616" t="s">
        <v>63</v>
      </c>
      <c r="H616" t="s">
        <v>64</v>
      </c>
      <c r="L616">
        <v>1.9</v>
      </c>
      <c r="M616" t="e">
        <v>#REF!</v>
      </c>
      <c r="O616" t="s">
        <v>16</v>
      </c>
      <c r="P616" t="s">
        <v>303</v>
      </c>
      <c r="Q616">
        <v>2.5</v>
      </c>
      <c r="R616">
        <v>5</v>
      </c>
    </row>
    <row r="617" spans="1:21" x14ac:dyDescent="0.25">
      <c r="A617">
        <v>9</v>
      </c>
      <c r="B617">
        <v>5</v>
      </c>
      <c r="D617">
        <v>5</v>
      </c>
      <c r="E617">
        <v>5</v>
      </c>
      <c r="F617" t="s">
        <v>62</v>
      </c>
      <c r="G617" t="s">
        <v>63</v>
      </c>
      <c r="H617" t="s">
        <v>64</v>
      </c>
      <c r="L617">
        <v>1.6</v>
      </c>
      <c r="M617" t="e">
        <v>#REF!</v>
      </c>
      <c r="O617" t="s">
        <v>16</v>
      </c>
      <c r="P617" t="s">
        <v>303</v>
      </c>
      <c r="Q617">
        <v>2.5</v>
      </c>
      <c r="R617">
        <v>5</v>
      </c>
    </row>
    <row r="618" spans="1:21" x14ac:dyDescent="0.25">
      <c r="A618">
        <v>9</v>
      </c>
      <c r="B618">
        <v>5</v>
      </c>
      <c r="D618">
        <v>6</v>
      </c>
      <c r="E618">
        <v>6</v>
      </c>
      <c r="F618" t="s">
        <v>17</v>
      </c>
      <c r="G618" t="s">
        <v>221</v>
      </c>
      <c r="H618" t="s">
        <v>222</v>
      </c>
      <c r="L618">
        <v>2.5</v>
      </c>
      <c r="M618" t="e">
        <v>#REF!</v>
      </c>
      <c r="O618" t="s">
        <v>16</v>
      </c>
      <c r="P618" t="s">
        <v>303</v>
      </c>
      <c r="Q618">
        <v>2.5</v>
      </c>
      <c r="R618">
        <v>5</v>
      </c>
    </row>
    <row r="619" spans="1:21" x14ac:dyDescent="0.25">
      <c r="A619">
        <v>9</v>
      </c>
      <c r="B619">
        <v>5</v>
      </c>
      <c r="D619">
        <v>7</v>
      </c>
      <c r="E619">
        <v>7</v>
      </c>
      <c r="F619" t="s">
        <v>17</v>
      </c>
      <c r="G619" t="s">
        <v>221</v>
      </c>
      <c r="H619" t="s">
        <v>222</v>
      </c>
      <c r="L619">
        <v>0.9</v>
      </c>
      <c r="M619" t="e">
        <v>#REF!</v>
      </c>
      <c r="O619" t="s">
        <v>16</v>
      </c>
      <c r="P619" t="s">
        <v>303</v>
      </c>
      <c r="Q619">
        <v>2.5</v>
      </c>
      <c r="R619">
        <v>5</v>
      </c>
    </row>
    <row r="620" spans="1:21" x14ac:dyDescent="0.25">
      <c r="A620">
        <v>8</v>
      </c>
      <c r="B620">
        <v>100</v>
      </c>
      <c r="C620">
        <v>3</v>
      </c>
      <c r="D620">
        <v>18</v>
      </c>
      <c r="E620">
        <v>18</v>
      </c>
      <c r="F620" t="s">
        <v>87</v>
      </c>
      <c r="G620" t="s">
        <v>88</v>
      </c>
      <c r="H620" t="s">
        <v>89</v>
      </c>
      <c r="I620">
        <v>19</v>
      </c>
      <c r="J620">
        <v>6.0478878374920226</v>
      </c>
      <c r="K620">
        <v>9</v>
      </c>
      <c r="L620">
        <v>10</v>
      </c>
      <c r="N620" t="s">
        <v>20</v>
      </c>
      <c r="O620" t="s">
        <v>16</v>
      </c>
      <c r="P620" t="s">
        <v>303</v>
      </c>
      <c r="Q620">
        <v>10</v>
      </c>
      <c r="R620">
        <v>5</v>
      </c>
    </row>
    <row r="621" spans="1:21" x14ac:dyDescent="0.25">
      <c r="A621">
        <v>8</v>
      </c>
      <c r="B621">
        <v>100</v>
      </c>
      <c r="C621">
        <v>3</v>
      </c>
      <c r="D621">
        <v>19</v>
      </c>
      <c r="E621">
        <v>19</v>
      </c>
      <c r="F621" t="s">
        <v>87</v>
      </c>
      <c r="G621" t="s">
        <v>88</v>
      </c>
      <c r="H621" t="s">
        <v>89</v>
      </c>
      <c r="I621">
        <v>29</v>
      </c>
      <c r="J621">
        <v>9.2309866993299305</v>
      </c>
      <c r="K621">
        <v>9</v>
      </c>
      <c r="L621">
        <v>9</v>
      </c>
      <c r="N621" t="s">
        <v>20</v>
      </c>
      <c r="O621" t="s">
        <v>39</v>
      </c>
      <c r="P621" t="s">
        <v>303</v>
      </c>
      <c r="Q621">
        <v>10</v>
      </c>
      <c r="R621">
        <v>10</v>
      </c>
    </row>
    <row r="622" spans="1:21" x14ac:dyDescent="0.25">
      <c r="A622">
        <v>8</v>
      </c>
      <c r="B622">
        <v>100</v>
      </c>
      <c r="C622">
        <v>3</v>
      </c>
      <c r="D622">
        <v>20</v>
      </c>
      <c r="E622">
        <v>20</v>
      </c>
      <c r="F622" t="s">
        <v>87</v>
      </c>
      <c r="G622" t="s">
        <v>88</v>
      </c>
      <c r="H622" t="s">
        <v>89</v>
      </c>
      <c r="I622">
        <v>20</v>
      </c>
      <c r="J622">
        <v>6.366197723675814</v>
      </c>
      <c r="K622">
        <v>9</v>
      </c>
      <c r="L622">
        <v>11</v>
      </c>
      <c r="N622" t="s">
        <v>20</v>
      </c>
      <c r="O622" t="s">
        <v>16</v>
      </c>
      <c r="P622" t="s">
        <v>303</v>
      </c>
      <c r="Q622">
        <v>10</v>
      </c>
      <c r="R622">
        <v>5</v>
      </c>
    </row>
    <row r="623" spans="1:21" x14ac:dyDescent="0.25">
      <c r="A623">
        <v>4</v>
      </c>
      <c r="B623">
        <v>100</v>
      </c>
      <c r="C623">
        <v>4</v>
      </c>
      <c r="D623">
        <v>24</v>
      </c>
      <c r="E623">
        <v>25</v>
      </c>
      <c r="F623" t="s">
        <v>87</v>
      </c>
      <c r="G623" t="s">
        <v>88</v>
      </c>
      <c r="H623" t="s">
        <v>89</v>
      </c>
      <c r="I623">
        <v>24</v>
      </c>
      <c r="J623">
        <v>7.6394372684109761</v>
      </c>
      <c r="K623">
        <v>6</v>
      </c>
      <c r="L623">
        <v>9</v>
      </c>
      <c r="N623" t="s">
        <v>20</v>
      </c>
      <c r="O623" t="s">
        <v>16</v>
      </c>
      <c r="P623" t="s">
        <v>303</v>
      </c>
      <c r="Q623">
        <v>10</v>
      </c>
      <c r="R623">
        <v>10</v>
      </c>
    </row>
    <row r="624" spans="1:21" x14ac:dyDescent="0.25">
      <c r="A624">
        <v>4</v>
      </c>
      <c r="B624">
        <v>100</v>
      </c>
      <c r="C624">
        <v>4</v>
      </c>
      <c r="D624">
        <v>25</v>
      </c>
      <c r="E624">
        <v>26</v>
      </c>
      <c r="F624" t="s">
        <v>87</v>
      </c>
      <c r="G624" t="s">
        <v>88</v>
      </c>
      <c r="H624" t="s">
        <v>89</v>
      </c>
      <c r="I624">
        <v>16</v>
      </c>
      <c r="J624">
        <v>5.0929581789406511</v>
      </c>
      <c r="K624">
        <v>7</v>
      </c>
      <c r="L624">
        <v>9</v>
      </c>
      <c r="N624" t="s">
        <v>20</v>
      </c>
      <c r="O624" t="s">
        <v>16</v>
      </c>
      <c r="P624" t="s">
        <v>303</v>
      </c>
      <c r="Q624">
        <v>10</v>
      </c>
      <c r="R624">
        <v>5</v>
      </c>
    </row>
    <row r="625" spans="1:18" x14ac:dyDescent="0.25">
      <c r="A625">
        <v>11</v>
      </c>
      <c r="B625">
        <v>100</v>
      </c>
      <c r="C625">
        <v>3</v>
      </c>
      <c r="D625">
        <v>26</v>
      </c>
      <c r="E625">
        <v>26</v>
      </c>
      <c r="F625" t="s">
        <v>87</v>
      </c>
      <c r="G625" t="s">
        <v>88</v>
      </c>
      <c r="H625" t="s">
        <v>89</v>
      </c>
      <c r="I625">
        <v>16</v>
      </c>
      <c r="J625">
        <v>5.0929581789406511</v>
      </c>
      <c r="K625">
        <v>4.5</v>
      </c>
      <c r="L625">
        <v>8</v>
      </c>
      <c r="N625" t="s">
        <v>20</v>
      </c>
      <c r="O625" t="s">
        <v>16</v>
      </c>
      <c r="P625" t="s">
        <v>303</v>
      </c>
      <c r="Q625">
        <v>7.5</v>
      </c>
      <c r="R625">
        <v>5</v>
      </c>
    </row>
    <row r="626" spans="1:18" x14ac:dyDescent="0.25">
      <c r="A626">
        <v>11</v>
      </c>
      <c r="B626">
        <v>100</v>
      </c>
      <c r="C626">
        <v>3</v>
      </c>
      <c r="D626">
        <v>31</v>
      </c>
      <c r="E626">
        <v>31</v>
      </c>
      <c r="F626" t="s">
        <v>87</v>
      </c>
      <c r="G626" t="s">
        <v>88</v>
      </c>
      <c r="H626" t="s">
        <v>89</v>
      </c>
      <c r="I626">
        <v>23</v>
      </c>
      <c r="J626">
        <v>7.3211273822271856</v>
      </c>
      <c r="K626">
        <v>6</v>
      </c>
      <c r="L626">
        <v>10</v>
      </c>
      <c r="N626" t="s">
        <v>20</v>
      </c>
      <c r="O626" t="s">
        <v>16</v>
      </c>
      <c r="P626" t="s">
        <v>303</v>
      </c>
      <c r="Q626">
        <v>10</v>
      </c>
      <c r="R626">
        <v>5</v>
      </c>
    </row>
    <row r="627" spans="1:18" x14ac:dyDescent="0.25">
      <c r="A627">
        <v>11</v>
      </c>
      <c r="B627">
        <v>100</v>
      </c>
      <c r="C627">
        <v>3</v>
      </c>
      <c r="D627">
        <v>32</v>
      </c>
      <c r="E627">
        <v>32</v>
      </c>
      <c r="F627" t="s">
        <v>87</v>
      </c>
      <c r="G627" t="s">
        <v>88</v>
      </c>
      <c r="H627" t="s">
        <v>89</v>
      </c>
      <c r="I627">
        <v>24</v>
      </c>
      <c r="J627">
        <v>7.6394372684109761</v>
      </c>
      <c r="K627">
        <v>4</v>
      </c>
      <c r="L627">
        <v>10</v>
      </c>
      <c r="N627" t="s">
        <v>20</v>
      </c>
      <c r="O627" t="s">
        <v>16</v>
      </c>
      <c r="P627" t="s">
        <v>303</v>
      </c>
      <c r="Q627">
        <v>10</v>
      </c>
      <c r="R627">
        <v>10</v>
      </c>
    </row>
    <row r="628" spans="1:18" x14ac:dyDescent="0.25">
      <c r="A628">
        <v>9</v>
      </c>
      <c r="B628">
        <v>5</v>
      </c>
      <c r="D628">
        <v>8</v>
      </c>
      <c r="E628">
        <v>8</v>
      </c>
      <c r="F628" t="s">
        <v>17</v>
      </c>
      <c r="G628" t="s">
        <v>221</v>
      </c>
      <c r="H628" t="s">
        <v>222</v>
      </c>
      <c r="L628">
        <v>2.2000000000000002</v>
      </c>
      <c r="M628" t="e">
        <v>#REF!</v>
      </c>
      <c r="O628" t="s">
        <v>16</v>
      </c>
      <c r="P628" t="s">
        <v>303</v>
      </c>
      <c r="Q628">
        <v>2.5</v>
      </c>
      <c r="R628">
        <v>5</v>
      </c>
    </row>
    <row r="629" spans="1:18" x14ac:dyDescent="0.25">
      <c r="A629">
        <v>9</v>
      </c>
      <c r="B629">
        <v>5</v>
      </c>
      <c r="D629">
        <v>9</v>
      </c>
      <c r="E629">
        <v>9</v>
      </c>
      <c r="F629" t="s">
        <v>17</v>
      </c>
      <c r="G629" t="s">
        <v>221</v>
      </c>
      <c r="H629" t="s">
        <v>222</v>
      </c>
      <c r="L629">
        <v>2</v>
      </c>
      <c r="M629" t="e">
        <v>#REF!</v>
      </c>
      <c r="O629" t="s">
        <v>16</v>
      </c>
      <c r="P629" t="s">
        <v>303</v>
      </c>
      <c r="Q629">
        <v>2.5</v>
      </c>
      <c r="R629">
        <v>5</v>
      </c>
    </row>
    <row r="630" spans="1:18" x14ac:dyDescent="0.25">
      <c r="A630">
        <v>9</v>
      </c>
      <c r="B630">
        <v>5</v>
      </c>
      <c r="D630">
        <v>10</v>
      </c>
      <c r="E630">
        <v>10</v>
      </c>
      <c r="F630" t="s">
        <v>17</v>
      </c>
      <c r="G630" t="s">
        <v>54</v>
      </c>
      <c r="H630" t="s">
        <v>55</v>
      </c>
      <c r="L630">
        <v>0.8</v>
      </c>
      <c r="M630" t="e">
        <v>#REF!</v>
      </c>
      <c r="O630" t="s">
        <v>16</v>
      </c>
      <c r="P630" t="s">
        <v>303</v>
      </c>
      <c r="Q630">
        <v>2.5</v>
      </c>
      <c r="R630">
        <v>5</v>
      </c>
    </row>
    <row r="631" spans="1:18" x14ac:dyDescent="0.25">
      <c r="A631">
        <v>9</v>
      </c>
      <c r="B631">
        <v>5</v>
      </c>
      <c r="D631">
        <v>11</v>
      </c>
      <c r="E631">
        <v>11</v>
      </c>
      <c r="F631" t="s">
        <v>17</v>
      </c>
      <c r="G631" t="s">
        <v>54</v>
      </c>
      <c r="H631" t="s">
        <v>55</v>
      </c>
      <c r="L631">
        <v>1.2</v>
      </c>
      <c r="M631" t="e">
        <v>#REF!</v>
      </c>
      <c r="O631" t="s">
        <v>16</v>
      </c>
      <c r="P631" t="s">
        <v>303</v>
      </c>
      <c r="Q631">
        <v>2.5</v>
      </c>
      <c r="R631">
        <v>5</v>
      </c>
    </row>
    <row r="632" spans="1:18" x14ac:dyDescent="0.25">
      <c r="A632">
        <v>9</v>
      </c>
      <c r="B632">
        <v>5</v>
      </c>
      <c r="D632">
        <v>12</v>
      </c>
      <c r="E632">
        <v>12</v>
      </c>
      <c r="F632" t="s">
        <v>17</v>
      </c>
      <c r="G632" t="s">
        <v>221</v>
      </c>
      <c r="H632" t="s">
        <v>222</v>
      </c>
      <c r="L632">
        <v>0.5</v>
      </c>
      <c r="M632" t="e">
        <v>#REF!</v>
      </c>
      <c r="O632" t="s">
        <v>16</v>
      </c>
      <c r="P632" t="s">
        <v>303</v>
      </c>
      <c r="Q632">
        <v>2.5</v>
      </c>
      <c r="R632">
        <v>5</v>
      </c>
    </row>
    <row r="633" spans="1:18" x14ac:dyDescent="0.25">
      <c r="A633">
        <v>8</v>
      </c>
      <c r="B633">
        <v>100</v>
      </c>
      <c r="C633">
        <v>2</v>
      </c>
      <c r="D633">
        <v>13</v>
      </c>
      <c r="E633">
        <v>13</v>
      </c>
      <c r="F633" t="s">
        <v>62</v>
      </c>
      <c r="G633" t="s">
        <v>63</v>
      </c>
      <c r="H633" t="s">
        <v>64</v>
      </c>
      <c r="I633">
        <v>26</v>
      </c>
      <c r="J633">
        <v>8.2760570407785572</v>
      </c>
      <c r="K633">
        <v>5</v>
      </c>
      <c r="L633">
        <v>9</v>
      </c>
      <c r="N633" t="s">
        <v>20</v>
      </c>
      <c r="O633" t="s">
        <v>16</v>
      </c>
      <c r="P633" t="s">
        <v>303</v>
      </c>
      <c r="Q633">
        <v>10</v>
      </c>
      <c r="R633">
        <v>10</v>
      </c>
    </row>
    <row r="634" spans="1:18" x14ac:dyDescent="0.25">
      <c r="A634">
        <v>9</v>
      </c>
      <c r="B634">
        <v>5</v>
      </c>
      <c r="D634">
        <v>13</v>
      </c>
      <c r="E634">
        <v>13</v>
      </c>
      <c r="F634" t="s">
        <v>43</v>
      </c>
      <c r="G634" t="s">
        <v>99</v>
      </c>
      <c r="H634" t="s">
        <v>100</v>
      </c>
      <c r="L634">
        <v>4</v>
      </c>
      <c r="M634" t="e">
        <v>#REF!</v>
      </c>
      <c r="O634" t="s">
        <v>16</v>
      </c>
      <c r="P634" t="s">
        <v>303</v>
      </c>
      <c r="Q634">
        <v>5</v>
      </c>
      <c r="R634">
        <v>5</v>
      </c>
    </row>
    <row r="635" spans="1:18" x14ac:dyDescent="0.25">
      <c r="A635">
        <v>9</v>
      </c>
      <c r="B635">
        <v>5</v>
      </c>
      <c r="D635">
        <v>14</v>
      </c>
      <c r="E635">
        <v>14</v>
      </c>
      <c r="F635" t="s">
        <v>48</v>
      </c>
      <c r="G635" t="s">
        <v>49</v>
      </c>
      <c r="H635" t="s">
        <v>50</v>
      </c>
      <c r="L635">
        <v>6</v>
      </c>
      <c r="M635" t="e">
        <v>#REF!</v>
      </c>
      <c r="O635" t="s">
        <v>16</v>
      </c>
      <c r="P635" t="s">
        <v>303</v>
      </c>
      <c r="Q635">
        <v>5</v>
      </c>
      <c r="R635">
        <v>5</v>
      </c>
    </row>
    <row r="636" spans="1:18" x14ac:dyDescent="0.25">
      <c r="A636">
        <v>9</v>
      </c>
      <c r="B636">
        <v>5</v>
      </c>
      <c r="D636">
        <v>15</v>
      </c>
      <c r="E636">
        <v>15</v>
      </c>
      <c r="F636" t="s">
        <v>81</v>
      </c>
      <c r="G636" t="s">
        <v>82</v>
      </c>
      <c r="H636" t="s">
        <v>83</v>
      </c>
      <c r="L636">
        <v>6</v>
      </c>
      <c r="M636" t="e">
        <v>#REF!</v>
      </c>
      <c r="O636" t="s">
        <v>16</v>
      </c>
      <c r="P636" t="s">
        <v>303</v>
      </c>
      <c r="Q636">
        <v>5</v>
      </c>
      <c r="R636">
        <v>5</v>
      </c>
    </row>
    <row r="637" spans="1:18" x14ac:dyDescent="0.25">
      <c r="A637">
        <v>9</v>
      </c>
      <c r="B637">
        <v>5</v>
      </c>
      <c r="D637">
        <v>16</v>
      </c>
      <c r="E637">
        <v>16</v>
      </c>
      <c r="F637" t="s">
        <v>81</v>
      </c>
      <c r="G637" t="s">
        <v>82</v>
      </c>
      <c r="H637" t="s">
        <v>83</v>
      </c>
      <c r="L637">
        <v>3.5</v>
      </c>
      <c r="M637" t="e">
        <v>#REF!</v>
      </c>
      <c r="O637" t="s">
        <v>16</v>
      </c>
      <c r="P637" t="s">
        <v>303</v>
      </c>
      <c r="Q637">
        <v>2.5</v>
      </c>
      <c r="R637">
        <v>5</v>
      </c>
    </row>
    <row r="638" spans="1:18" x14ac:dyDescent="0.25">
      <c r="A638">
        <v>9</v>
      </c>
      <c r="B638">
        <v>5</v>
      </c>
      <c r="D638">
        <v>17</v>
      </c>
      <c r="E638">
        <v>17</v>
      </c>
      <c r="F638" t="s">
        <v>90</v>
      </c>
      <c r="G638" t="s">
        <v>103</v>
      </c>
      <c r="H638" t="s">
        <v>104</v>
      </c>
      <c r="L638">
        <v>4</v>
      </c>
      <c r="M638" t="e">
        <v>#REF!</v>
      </c>
      <c r="O638" t="s">
        <v>16</v>
      </c>
      <c r="P638" t="s">
        <v>303</v>
      </c>
      <c r="Q638">
        <v>5</v>
      </c>
      <c r="R638">
        <v>5</v>
      </c>
    </row>
    <row r="639" spans="1:18" x14ac:dyDescent="0.25">
      <c r="A639">
        <v>9</v>
      </c>
      <c r="B639">
        <v>5</v>
      </c>
      <c r="D639">
        <v>18</v>
      </c>
      <c r="E639">
        <v>18</v>
      </c>
      <c r="F639" t="s">
        <v>90</v>
      </c>
      <c r="G639" t="s">
        <v>282</v>
      </c>
      <c r="H639" t="s">
        <v>124</v>
      </c>
      <c r="L639">
        <v>5</v>
      </c>
      <c r="M639" t="e">
        <v>#REF!</v>
      </c>
      <c r="O639" t="s">
        <v>16</v>
      </c>
      <c r="P639" t="s">
        <v>303</v>
      </c>
      <c r="Q639">
        <v>5</v>
      </c>
      <c r="R639">
        <v>5</v>
      </c>
    </row>
    <row r="640" spans="1:18" x14ac:dyDescent="0.25">
      <c r="A640">
        <v>9</v>
      </c>
      <c r="B640">
        <v>5</v>
      </c>
      <c r="D640">
        <v>19</v>
      </c>
      <c r="E640">
        <v>19</v>
      </c>
      <c r="F640" t="s">
        <v>43</v>
      </c>
      <c r="G640" t="s">
        <v>146</v>
      </c>
      <c r="H640" t="s">
        <v>147</v>
      </c>
      <c r="L640">
        <v>8</v>
      </c>
      <c r="M640" t="e">
        <v>#REF!</v>
      </c>
      <c r="O640" t="s">
        <v>16</v>
      </c>
      <c r="P640" t="s">
        <v>303</v>
      </c>
      <c r="Q640">
        <v>7.5</v>
      </c>
      <c r="R640">
        <v>5</v>
      </c>
    </row>
    <row r="641" spans="1:21" x14ac:dyDescent="0.25">
      <c r="A641">
        <v>9</v>
      </c>
      <c r="B641">
        <v>5</v>
      </c>
      <c r="D641">
        <v>20</v>
      </c>
      <c r="E641">
        <v>20</v>
      </c>
      <c r="F641" t="s">
        <v>17</v>
      </c>
      <c r="G641" t="s">
        <v>221</v>
      </c>
      <c r="H641" t="s">
        <v>222</v>
      </c>
      <c r="L641">
        <v>5</v>
      </c>
      <c r="M641" t="e">
        <v>#REF!</v>
      </c>
      <c r="O641" t="s">
        <v>16</v>
      </c>
      <c r="P641" t="s">
        <v>303</v>
      </c>
      <c r="Q641">
        <v>5</v>
      </c>
      <c r="R641">
        <v>5</v>
      </c>
    </row>
    <row r="642" spans="1:21" x14ac:dyDescent="0.25">
      <c r="A642">
        <v>9</v>
      </c>
      <c r="B642">
        <v>5</v>
      </c>
      <c r="D642">
        <v>21</v>
      </c>
      <c r="E642">
        <v>21</v>
      </c>
      <c r="F642" t="s">
        <v>43</v>
      </c>
      <c r="G642" t="s">
        <v>46</v>
      </c>
      <c r="H642" t="s">
        <v>47</v>
      </c>
      <c r="L642">
        <v>0.4</v>
      </c>
      <c r="M642" t="e">
        <v>#REF!</v>
      </c>
      <c r="O642" t="s">
        <v>16</v>
      </c>
      <c r="P642" t="s">
        <v>303</v>
      </c>
      <c r="Q642">
        <v>2.5</v>
      </c>
      <c r="R642">
        <v>5</v>
      </c>
    </row>
    <row r="643" spans="1:21" x14ac:dyDescent="0.25">
      <c r="A643">
        <v>4</v>
      </c>
      <c r="B643">
        <v>500</v>
      </c>
      <c r="C643">
        <v>2</v>
      </c>
      <c r="D643">
        <v>31</v>
      </c>
      <c r="E643">
        <v>32</v>
      </c>
      <c r="F643" t="s">
        <v>48</v>
      </c>
      <c r="G643" t="s">
        <v>161</v>
      </c>
      <c r="H643" t="s">
        <v>162</v>
      </c>
      <c r="I643">
        <v>32</v>
      </c>
      <c r="J643">
        <v>10.185916357881302</v>
      </c>
      <c r="K643">
        <v>4</v>
      </c>
      <c r="L643">
        <v>10</v>
      </c>
      <c r="N643" t="s">
        <v>20</v>
      </c>
      <c r="O643" t="s">
        <v>16</v>
      </c>
      <c r="P643" t="s">
        <v>303</v>
      </c>
      <c r="Q643">
        <v>10</v>
      </c>
      <c r="R643">
        <v>10</v>
      </c>
      <c r="S643">
        <v>17</v>
      </c>
      <c r="T643" t="s">
        <v>273</v>
      </c>
      <c r="U643">
        <v>5.3005584899578816E-2</v>
      </c>
    </row>
    <row r="644" spans="1:21" x14ac:dyDescent="0.25">
      <c r="A644">
        <v>4</v>
      </c>
      <c r="B644">
        <v>500</v>
      </c>
      <c r="C644">
        <v>3</v>
      </c>
      <c r="D644">
        <v>41</v>
      </c>
      <c r="E644">
        <v>43</v>
      </c>
      <c r="F644" t="s">
        <v>48</v>
      </c>
      <c r="G644" t="s">
        <v>161</v>
      </c>
      <c r="H644" t="s">
        <v>162</v>
      </c>
      <c r="I644">
        <v>32</v>
      </c>
      <c r="J644">
        <v>10.185916357881302</v>
      </c>
      <c r="K644">
        <v>4.5</v>
      </c>
      <c r="L644">
        <v>10</v>
      </c>
      <c r="N644" t="s">
        <v>20</v>
      </c>
      <c r="O644" t="s">
        <v>16</v>
      </c>
      <c r="P644" t="s">
        <v>303</v>
      </c>
      <c r="Q644">
        <v>10</v>
      </c>
      <c r="R644">
        <v>10</v>
      </c>
      <c r="S644">
        <v>17</v>
      </c>
      <c r="T644" t="s">
        <v>273</v>
      </c>
      <c r="U644">
        <v>5.3005584899578816E-2</v>
      </c>
    </row>
    <row r="645" spans="1:21" x14ac:dyDescent="0.25">
      <c r="A645">
        <v>9</v>
      </c>
      <c r="B645">
        <v>5</v>
      </c>
      <c r="D645">
        <v>22</v>
      </c>
      <c r="E645">
        <v>22</v>
      </c>
      <c r="F645" t="s">
        <v>17</v>
      </c>
      <c r="G645" t="s">
        <v>221</v>
      </c>
      <c r="H645" t="s">
        <v>222</v>
      </c>
      <c r="L645">
        <v>4</v>
      </c>
      <c r="M645" t="e">
        <v>#REF!</v>
      </c>
      <c r="O645" t="s">
        <v>16</v>
      </c>
      <c r="P645" t="s">
        <v>303</v>
      </c>
      <c r="Q645">
        <v>5</v>
      </c>
      <c r="R645">
        <v>5</v>
      </c>
    </row>
    <row r="646" spans="1:21" x14ac:dyDescent="0.25">
      <c r="A646">
        <v>9</v>
      </c>
      <c r="B646">
        <v>5</v>
      </c>
      <c r="D646">
        <v>23</v>
      </c>
      <c r="E646">
        <v>23</v>
      </c>
      <c r="F646" t="s">
        <v>17</v>
      </c>
      <c r="G646" t="s">
        <v>221</v>
      </c>
      <c r="H646" t="s">
        <v>222</v>
      </c>
      <c r="L646">
        <v>3</v>
      </c>
      <c r="M646" t="e">
        <v>#REF!</v>
      </c>
      <c r="O646" t="s">
        <v>16</v>
      </c>
      <c r="P646" t="s">
        <v>303</v>
      </c>
      <c r="Q646">
        <v>2.5</v>
      </c>
      <c r="R646">
        <v>5</v>
      </c>
    </row>
    <row r="647" spans="1:21" x14ac:dyDescent="0.25">
      <c r="A647">
        <v>9</v>
      </c>
      <c r="B647">
        <v>5</v>
      </c>
      <c r="D647">
        <v>24</v>
      </c>
      <c r="E647">
        <v>24</v>
      </c>
      <c r="F647" t="s">
        <v>17</v>
      </c>
      <c r="G647" t="s">
        <v>221</v>
      </c>
      <c r="H647" t="s">
        <v>222</v>
      </c>
      <c r="L647">
        <v>4</v>
      </c>
      <c r="M647" t="e">
        <v>#REF!</v>
      </c>
      <c r="O647" t="s">
        <v>16</v>
      </c>
      <c r="P647" t="s">
        <v>303</v>
      </c>
      <c r="Q647">
        <v>5</v>
      </c>
      <c r="R647">
        <v>5</v>
      </c>
    </row>
    <row r="648" spans="1:21" x14ac:dyDescent="0.25">
      <c r="A648">
        <v>9</v>
      </c>
      <c r="B648">
        <v>5</v>
      </c>
      <c r="D648">
        <v>25</v>
      </c>
      <c r="E648">
        <v>25</v>
      </c>
      <c r="F648" t="s">
        <v>48</v>
      </c>
      <c r="G648" t="s">
        <v>49</v>
      </c>
      <c r="H648" t="s">
        <v>50</v>
      </c>
      <c r="L648">
        <v>4</v>
      </c>
      <c r="M648" t="e">
        <v>#REF!</v>
      </c>
      <c r="O648" t="s">
        <v>16</v>
      </c>
      <c r="P648" t="s">
        <v>303</v>
      </c>
      <c r="Q648">
        <v>5</v>
      </c>
      <c r="R648">
        <v>5</v>
      </c>
    </row>
    <row r="649" spans="1:21" x14ac:dyDescent="0.25">
      <c r="A649">
        <v>9</v>
      </c>
      <c r="B649">
        <v>5</v>
      </c>
      <c r="D649">
        <v>26</v>
      </c>
      <c r="E649">
        <v>26</v>
      </c>
      <c r="F649" t="s">
        <v>48</v>
      </c>
      <c r="G649" t="s">
        <v>49</v>
      </c>
      <c r="H649" t="s">
        <v>50</v>
      </c>
      <c r="L649">
        <v>7</v>
      </c>
      <c r="M649" t="e">
        <v>#REF!</v>
      </c>
      <c r="O649" t="s">
        <v>16</v>
      </c>
      <c r="P649" t="s">
        <v>303</v>
      </c>
      <c r="Q649">
        <v>7.5</v>
      </c>
      <c r="R649">
        <v>5</v>
      </c>
    </row>
    <row r="650" spans="1:21" x14ac:dyDescent="0.25">
      <c r="A650">
        <v>9</v>
      </c>
      <c r="B650">
        <v>5</v>
      </c>
      <c r="D650">
        <v>27</v>
      </c>
      <c r="E650">
        <v>27</v>
      </c>
      <c r="F650" t="s">
        <v>17</v>
      </c>
      <c r="G650" t="s">
        <v>54</v>
      </c>
      <c r="H650" t="s">
        <v>55</v>
      </c>
      <c r="L650">
        <v>1.3</v>
      </c>
      <c r="M650" t="e">
        <v>#REF!</v>
      </c>
      <c r="O650" t="s">
        <v>16</v>
      </c>
      <c r="P650" t="s">
        <v>303</v>
      </c>
      <c r="Q650">
        <v>2.5</v>
      </c>
      <c r="R650">
        <v>5</v>
      </c>
    </row>
    <row r="651" spans="1:21" x14ac:dyDescent="0.25">
      <c r="A651">
        <v>9</v>
      </c>
      <c r="B651">
        <v>5</v>
      </c>
      <c r="D651">
        <v>28</v>
      </c>
      <c r="E651">
        <v>28</v>
      </c>
      <c r="F651" t="s">
        <v>17</v>
      </c>
      <c r="G651" t="s">
        <v>54</v>
      </c>
      <c r="H651" t="s">
        <v>55</v>
      </c>
      <c r="L651">
        <v>1</v>
      </c>
      <c r="M651" t="e">
        <v>#REF!</v>
      </c>
      <c r="O651" t="s">
        <v>16</v>
      </c>
      <c r="P651" t="s">
        <v>303</v>
      </c>
      <c r="Q651">
        <v>2.5</v>
      </c>
      <c r="R651">
        <v>5</v>
      </c>
    </row>
    <row r="652" spans="1:21" x14ac:dyDescent="0.25">
      <c r="A652">
        <v>4</v>
      </c>
      <c r="B652">
        <v>100</v>
      </c>
      <c r="C652">
        <v>1</v>
      </c>
      <c r="D652">
        <v>2</v>
      </c>
      <c r="E652">
        <v>2</v>
      </c>
      <c r="F652" t="s">
        <v>48</v>
      </c>
      <c r="G652" t="s">
        <v>49</v>
      </c>
      <c r="H652" t="s">
        <v>50</v>
      </c>
      <c r="I652">
        <v>18.5</v>
      </c>
      <c r="J652">
        <v>5.8887328944001274</v>
      </c>
      <c r="K652">
        <v>6</v>
      </c>
      <c r="L652">
        <v>7</v>
      </c>
      <c r="N652" t="s">
        <v>20</v>
      </c>
      <c r="O652" t="s">
        <v>16</v>
      </c>
      <c r="P652" t="s">
        <v>303</v>
      </c>
      <c r="Q652">
        <v>7.5</v>
      </c>
      <c r="R652">
        <v>5</v>
      </c>
    </row>
    <row r="653" spans="1:21" x14ac:dyDescent="0.25">
      <c r="A653">
        <v>9</v>
      </c>
      <c r="B653">
        <v>5</v>
      </c>
      <c r="D653">
        <v>29</v>
      </c>
      <c r="E653">
        <v>29</v>
      </c>
      <c r="F653" t="s">
        <v>90</v>
      </c>
      <c r="G653" t="s">
        <v>103</v>
      </c>
      <c r="H653" t="s">
        <v>104</v>
      </c>
      <c r="L653">
        <v>7</v>
      </c>
      <c r="M653" t="e">
        <v>#REF!</v>
      </c>
      <c r="O653" t="s">
        <v>16</v>
      </c>
      <c r="P653" t="s">
        <v>303</v>
      </c>
      <c r="Q653">
        <v>7.5</v>
      </c>
      <c r="R653">
        <v>5</v>
      </c>
    </row>
    <row r="654" spans="1:21" x14ac:dyDescent="0.25">
      <c r="A654">
        <v>9</v>
      </c>
      <c r="B654">
        <v>5</v>
      </c>
      <c r="D654">
        <v>30</v>
      </c>
      <c r="E654">
        <v>30</v>
      </c>
      <c r="F654" t="s">
        <v>17</v>
      </c>
      <c r="G654" t="s">
        <v>54</v>
      </c>
      <c r="H654" t="s">
        <v>55</v>
      </c>
      <c r="L654">
        <v>2</v>
      </c>
      <c r="M654" t="e">
        <v>#REF!</v>
      </c>
      <c r="O654" t="s">
        <v>16</v>
      </c>
      <c r="P654" t="s">
        <v>303</v>
      </c>
      <c r="Q654">
        <v>2.5</v>
      </c>
      <c r="R654">
        <v>5</v>
      </c>
    </row>
    <row r="655" spans="1:21" x14ac:dyDescent="0.25">
      <c r="A655">
        <v>3</v>
      </c>
      <c r="B655">
        <v>100</v>
      </c>
      <c r="C655">
        <v>2</v>
      </c>
      <c r="D655">
        <v>6</v>
      </c>
      <c r="E655">
        <v>6</v>
      </c>
      <c r="F655" t="s">
        <v>48</v>
      </c>
      <c r="G655" t="s">
        <v>49</v>
      </c>
      <c r="H655" t="s">
        <v>50</v>
      </c>
      <c r="I655">
        <v>18.5</v>
      </c>
      <c r="J655">
        <v>5.8887328944001274</v>
      </c>
      <c r="K655">
        <v>3.5</v>
      </c>
      <c r="L655">
        <v>8</v>
      </c>
      <c r="N655" t="s">
        <v>20</v>
      </c>
      <c r="O655" t="s">
        <v>16</v>
      </c>
      <c r="P655" t="s">
        <v>303</v>
      </c>
      <c r="Q655">
        <v>7.5</v>
      </c>
      <c r="R655">
        <v>5</v>
      </c>
    </row>
    <row r="656" spans="1:21" x14ac:dyDescent="0.25">
      <c r="A656">
        <v>9</v>
      </c>
      <c r="B656">
        <v>5</v>
      </c>
      <c r="D656">
        <v>31</v>
      </c>
      <c r="E656">
        <v>31</v>
      </c>
      <c r="F656" t="s">
        <v>62</v>
      </c>
      <c r="G656" t="s">
        <v>63</v>
      </c>
      <c r="H656" t="s">
        <v>64</v>
      </c>
      <c r="L656">
        <v>3</v>
      </c>
      <c r="M656" t="e">
        <v>#REF!</v>
      </c>
      <c r="O656" t="s">
        <v>16</v>
      </c>
      <c r="P656" t="s">
        <v>303</v>
      </c>
      <c r="Q656">
        <v>2.5</v>
      </c>
      <c r="R656">
        <v>5</v>
      </c>
    </row>
    <row r="657" spans="1:18" x14ac:dyDescent="0.25">
      <c r="A657">
        <v>1</v>
      </c>
      <c r="B657">
        <v>100</v>
      </c>
      <c r="C657">
        <v>2</v>
      </c>
      <c r="D657">
        <v>7</v>
      </c>
      <c r="E657">
        <v>7</v>
      </c>
      <c r="F657" t="s">
        <v>48</v>
      </c>
      <c r="G657" t="s">
        <v>49</v>
      </c>
      <c r="H657" t="s">
        <v>50</v>
      </c>
      <c r="I657">
        <v>17</v>
      </c>
      <c r="J657">
        <v>5.4112680651244416</v>
      </c>
      <c r="K657">
        <v>2</v>
      </c>
      <c r="L657">
        <v>6</v>
      </c>
      <c r="N657" t="s">
        <v>20</v>
      </c>
      <c r="O657" t="s">
        <v>16</v>
      </c>
      <c r="P657" t="s">
        <v>303</v>
      </c>
      <c r="Q657">
        <v>5</v>
      </c>
      <c r="R657">
        <v>5</v>
      </c>
    </row>
    <row r="658" spans="1:18" x14ac:dyDescent="0.25">
      <c r="A658">
        <v>6</v>
      </c>
      <c r="B658">
        <v>100</v>
      </c>
      <c r="C658">
        <v>1</v>
      </c>
      <c r="D658">
        <v>7</v>
      </c>
      <c r="E658">
        <v>7</v>
      </c>
      <c r="F658" t="s">
        <v>48</v>
      </c>
      <c r="G658" t="s">
        <v>49</v>
      </c>
      <c r="H658" t="s">
        <v>50</v>
      </c>
      <c r="I658">
        <v>16.5</v>
      </c>
      <c r="J658">
        <v>5.2521131220325463</v>
      </c>
      <c r="K658">
        <v>4</v>
      </c>
      <c r="L658">
        <v>9</v>
      </c>
      <c r="N658" t="s">
        <v>20</v>
      </c>
      <c r="O658" t="s">
        <v>16</v>
      </c>
      <c r="P658" t="s">
        <v>303</v>
      </c>
      <c r="Q658">
        <v>10</v>
      </c>
      <c r="R658">
        <v>5</v>
      </c>
    </row>
    <row r="659" spans="1:18" x14ac:dyDescent="0.25">
      <c r="A659">
        <v>3</v>
      </c>
      <c r="B659">
        <v>100</v>
      </c>
      <c r="C659">
        <v>3</v>
      </c>
      <c r="D659">
        <v>11</v>
      </c>
      <c r="E659">
        <v>11</v>
      </c>
      <c r="F659" t="s">
        <v>48</v>
      </c>
      <c r="G659" t="s">
        <v>49</v>
      </c>
      <c r="H659" t="s">
        <v>50</v>
      </c>
      <c r="I659">
        <v>19.5</v>
      </c>
      <c r="J659">
        <v>6.2070427805839179</v>
      </c>
      <c r="K659">
        <v>3.5</v>
      </c>
      <c r="L659">
        <v>8</v>
      </c>
      <c r="N659" t="s">
        <v>20</v>
      </c>
      <c r="O659" t="s">
        <v>16</v>
      </c>
      <c r="P659" t="s">
        <v>303</v>
      </c>
      <c r="Q659">
        <v>7.5</v>
      </c>
      <c r="R659">
        <v>5</v>
      </c>
    </row>
    <row r="660" spans="1:18" x14ac:dyDescent="0.25">
      <c r="A660">
        <v>6</v>
      </c>
      <c r="B660">
        <v>100</v>
      </c>
      <c r="C660">
        <v>2</v>
      </c>
      <c r="D660">
        <v>12</v>
      </c>
      <c r="E660">
        <v>12</v>
      </c>
      <c r="F660" t="s">
        <v>48</v>
      </c>
      <c r="G660" t="s">
        <v>49</v>
      </c>
      <c r="H660" t="s">
        <v>50</v>
      </c>
      <c r="I660">
        <v>26</v>
      </c>
      <c r="J660">
        <v>8.2760570407785572</v>
      </c>
      <c r="K660">
        <v>7</v>
      </c>
      <c r="L660">
        <v>9</v>
      </c>
      <c r="N660" t="s">
        <v>20</v>
      </c>
      <c r="O660" t="s">
        <v>16</v>
      </c>
      <c r="P660" t="s">
        <v>303</v>
      </c>
      <c r="Q660">
        <v>10</v>
      </c>
      <c r="R660">
        <v>10</v>
      </c>
    </row>
    <row r="661" spans="1:18" x14ac:dyDescent="0.25">
      <c r="A661">
        <v>9</v>
      </c>
      <c r="B661">
        <v>100</v>
      </c>
      <c r="C661">
        <v>1</v>
      </c>
      <c r="D661">
        <v>12</v>
      </c>
      <c r="E661">
        <v>12</v>
      </c>
      <c r="F661" t="s">
        <v>48</v>
      </c>
      <c r="G661" t="s">
        <v>49</v>
      </c>
      <c r="H661" t="s">
        <v>50</v>
      </c>
      <c r="I661">
        <v>18</v>
      </c>
      <c r="J661">
        <v>5.7295779513082321</v>
      </c>
      <c r="K661">
        <v>6</v>
      </c>
      <c r="L661">
        <v>9</v>
      </c>
      <c r="N661" t="s">
        <v>20</v>
      </c>
      <c r="O661" t="s">
        <v>16</v>
      </c>
      <c r="P661" t="s">
        <v>303</v>
      </c>
      <c r="Q661">
        <v>10</v>
      </c>
      <c r="R661">
        <v>5</v>
      </c>
    </row>
    <row r="662" spans="1:18" x14ac:dyDescent="0.25">
      <c r="A662">
        <v>10</v>
      </c>
      <c r="B662">
        <v>100</v>
      </c>
      <c r="C662">
        <v>1</v>
      </c>
      <c r="D662">
        <v>12</v>
      </c>
      <c r="E662">
        <v>12</v>
      </c>
      <c r="F662" t="s">
        <v>48</v>
      </c>
      <c r="G662" t="s">
        <v>49</v>
      </c>
      <c r="H662" t="s">
        <v>50</v>
      </c>
      <c r="I662">
        <v>17.5</v>
      </c>
      <c r="J662">
        <v>5.5704230082163368</v>
      </c>
      <c r="K662">
        <v>8</v>
      </c>
      <c r="L662">
        <v>10</v>
      </c>
      <c r="N662" t="s">
        <v>20</v>
      </c>
      <c r="O662" t="s">
        <v>16</v>
      </c>
      <c r="P662" t="s">
        <v>303</v>
      </c>
      <c r="Q662">
        <v>10</v>
      </c>
      <c r="R662">
        <v>5</v>
      </c>
    </row>
    <row r="663" spans="1:18" x14ac:dyDescent="0.25">
      <c r="A663">
        <v>9</v>
      </c>
      <c r="B663">
        <v>5</v>
      </c>
      <c r="D663">
        <v>32</v>
      </c>
      <c r="E663">
        <v>32</v>
      </c>
      <c r="F663" t="s">
        <v>90</v>
      </c>
      <c r="G663" t="s">
        <v>103</v>
      </c>
      <c r="H663" t="s">
        <v>104</v>
      </c>
      <c r="L663">
        <v>5</v>
      </c>
      <c r="M663" t="e">
        <v>#REF!</v>
      </c>
      <c r="O663" t="s">
        <v>16</v>
      </c>
      <c r="P663" t="s">
        <v>303</v>
      </c>
      <c r="Q663">
        <v>5</v>
      </c>
      <c r="R663">
        <v>5</v>
      </c>
    </row>
    <row r="664" spans="1:18" x14ac:dyDescent="0.25">
      <c r="A664">
        <v>6</v>
      </c>
      <c r="B664">
        <v>100</v>
      </c>
      <c r="C664">
        <v>2</v>
      </c>
      <c r="D664">
        <v>14</v>
      </c>
      <c r="E664">
        <v>14</v>
      </c>
      <c r="F664" t="s">
        <v>48</v>
      </c>
      <c r="G664" t="s">
        <v>49</v>
      </c>
      <c r="H664" t="s">
        <v>50</v>
      </c>
      <c r="I664">
        <v>16.5</v>
      </c>
      <c r="J664">
        <v>5.2521131220325463</v>
      </c>
      <c r="K664">
        <v>5</v>
      </c>
      <c r="L664">
        <v>8</v>
      </c>
      <c r="N664" t="s">
        <v>20</v>
      </c>
      <c r="O664" t="s">
        <v>16</v>
      </c>
      <c r="P664" t="s">
        <v>303</v>
      </c>
      <c r="Q664">
        <v>7.5</v>
      </c>
      <c r="R664">
        <v>5</v>
      </c>
    </row>
    <row r="665" spans="1:18" x14ac:dyDescent="0.25">
      <c r="A665">
        <v>9</v>
      </c>
      <c r="B665">
        <v>5</v>
      </c>
      <c r="D665">
        <v>33</v>
      </c>
      <c r="E665">
        <v>33</v>
      </c>
      <c r="F665" t="s">
        <v>81</v>
      </c>
      <c r="G665" t="s">
        <v>120</v>
      </c>
      <c r="H665" t="s">
        <v>121</v>
      </c>
      <c r="L665">
        <v>1.6</v>
      </c>
      <c r="M665" t="e">
        <v>#REF!</v>
      </c>
      <c r="O665" t="s">
        <v>16</v>
      </c>
      <c r="P665" t="s">
        <v>303</v>
      </c>
      <c r="Q665">
        <v>2.5</v>
      </c>
      <c r="R665">
        <v>5</v>
      </c>
    </row>
    <row r="666" spans="1:18" x14ac:dyDescent="0.25">
      <c r="A666">
        <v>10</v>
      </c>
      <c r="B666">
        <v>100</v>
      </c>
      <c r="C666">
        <v>2</v>
      </c>
      <c r="D666">
        <v>17</v>
      </c>
      <c r="E666">
        <v>17</v>
      </c>
      <c r="F666" t="s">
        <v>48</v>
      </c>
      <c r="G666" t="s">
        <v>49</v>
      </c>
      <c r="H666" t="s">
        <v>50</v>
      </c>
      <c r="I666">
        <v>21</v>
      </c>
      <c r="J666">
        <v>6.6845076098596046</v>
      </c>
      <c r="K666">
        <v>6</v>
      </c>
      <c r="L666">
        <v>10</v>
      </c>
      <c r="N666" t="s">
        <v>20</v>
      </c>
      <c r="O666" t="s">
        <v>16</v>
      </c>
      <c r="P666" t="s">
        <v>303</v>
      </c>
      <c r="Q666">
        <v>10</v>
      </c>
      <c r="R666">
        <v>5</v>
      </c>
    </row>
    <row r="667" spans="1:18" x14ac:dyDescent="0.25">
      <c r="A667">
        <v>9</v>
      </c>
      <c r="B667">
        <v>100</v>
      </c>
      <c r="C667">
        <v>2</v>
      </c>
      <c r="D667">
        <v>23</v>
      </c>
      <c r="E667">
        <v>23</v>
      </c>
      <c r="F667" t="s">
        <v>48</v>
      </c>
      <c r="G667" t="s">
        <v>49</v>
      </c>
      <c r="H667" t="s">
        <v>50</v>
      </c>
      <c r="I667">
        <v>17.5</v>
      </c>
      <c r="J667">
        <v>5.5704230082163368</v>
      </c>
      <c r="K667">
        <v>5</v>
      </c>
      <c r="L667">
        <v>9</v>
      </c>
      <c r="N667" t="s">
        <v>20</v>
      </c>
      <c r="O667" t="s">
        <v>16</v>
      </c>
      <c r="P667" t="s">
        <v>303</v>
      </c>
      <c r="Q667">
        <v>10</v>
      </c>
      <c r="R667">
        <v>5</v>
      </c>
    </row>
    <row r="668" spans="1:18" x14ac:dyDescent="0.25">
      <c r="A668">
        <v>9</v>
      </c>
      <c r="B668">
        <v>5</v>
      </c>
      <c r="D668">
        <v>34</v>
      </c>
      <c r="E668">
        <v>34</v>
      </c>
      <c r="F668" t="s">
        <v>81</v>
      </c>
      <c r="G668" t="s">
        <v>120</v>
      </c>
      <c r="H668" t="s">
        <v>121</v>
      </c>
      <c r="L668">
        <v>1</v>
      </c>
      <c r="M668" t="e">
        <v>#REF!</v>
      </c>
      <c r="O668" t="s">
        <v>16</v>
      </c>
      <c r="P668" t="s">
        <v>303</v>
      </c>
      <c r="Q668">
        <v>2.5</v>
      </c>
      <c r="R668">
        <v>5</v>
      </c>
    </row>
    <row r="669" spans="1:18" x14ac:dyDescent="0.25">
      <c r="A669">
        <v>9</v>
      </c>
      <c r="B669">
        <v>5</v>
      </c>
      <c r="D669">
        <v>35</v>
      </c>
      <c r="E669">
        <v>35</v>
      </c>
      <c r="F669" t="s">
        <v>198</v>
      </c>
      <c r="G669" t="s">
        <v>287</v>
      </c>
      <c r="H669" t="s">
        <v>288</v>
      </c>
      <c r="L669">
        <v>1</v>
      </c>
      <c r="M669" t="e">
        <v>#REF!</v>
      </c>
      <c r="O669" t="s">
        <v>16</v>
      </c>
      <c r="P669" t="s">
        <v>303</v>
      </c>
      <c r="Q669">
        <v>2.5</v>
      </c>
      <c r="R669">
        <v>5</v>
      </c>
    </row>
    <row r="670" spans="1:18" x14ac:dyDescent="0.25">
      <c r="A670">
        <v>11</v>
      </c>
      <c r="B670">
        <v>100</v>
      </c>
      <c r="C670">
        <v>3</v>
      </c>
      <c r="D670">
        <v>29</v>
      </c>
      <c r="E670">
        <v>29</v>
      </c>
      <c r="F670" t="s">
        <v>48</v>
      </c>
      <c r="G670" t="s">
        <v>49</v>
      </c>
      <c r="H670" t="s">
        <v>50</v>
      </c>
      <c r="I670">
        <v>17.5</v>
      </c>
      <c r="J670">
        <v>5.5704230082163368</v>
      </c>
      <c r="K670">
        <v>6</v>
      </c>
      <c r="L670">
        <v>9</v>
      </c>
      <c r="N670" t="s">
        <v>20</v>
      </c>
      <c r="O670" t="s">
        <v>16</v>
      </c>
      <c r="P670" t="s">
        <v>303</v>
      </c>
      <c r="Q670">
        <v>10</v>
      </c>
      <c r="R670">
        <v>5</v>
      </c>
    </row>
    <row r="671" spans="1:18" x14ac:dyDescent="0.25">
      <c r="A671">
        <v>9</v>
      </c>
      <c r="B671">
        <v>100</v>
      </c>
      <c r="C671">
        <v>3</v>
      </c>
      <c r="D671">
        <v>36</v>
      </c>
      <c r="E671">
        <v>36</v>
      </c>
      <c r="F671" t="s">
        <v>48</v>
      </c>
      <c r="G671" t="s">
        <v>49</v>
      </c>
      <c r="H671" t="s">
        <v>50</v>
      </c>
      <c r="I671">
        <v>16.5</v>
      </c>
      <c r="J671">
        <v>5.2521131220325463</v>
      </c>
      <c r="K671">
        <v>5</v>
      </c>
      <c r="L671">
        <v>9</v>
      </c>
      <c r="N671" t="s">
        <v>20</v>
      </c>
      <c r="O671" t="s">
        <v>16</v>
      </c>
      <c r="P671" t="s">
        <v>303</v>
      </c>
      <c r="Q671">
        <v>10</v>
      </c>
      <c r="R671">
        <v>5</v>
      </c>
    </row>
    <row r="672" spans="1:18" x14ac:dyDescent="0.25">
      <c r="A672">
        <v>9</v>
      </c>
      <c r="B672">
        <v>100</v>
      </c>
      <c r="C672">
        <v>3</v>
      </c>
      <c r="D672">
        <v>38</v>
      </c>
      <c r="E672">
        <v>38</v>
      </c>
      <c r="F672" t="s">
        <v>48</v>
      </c>
      <c r="G672" t="s">
        <v>49</v>
      </c>
      <c r="H672" t="s">
        <v>50</v>
      </c>
      <c r="I672">
        <v>17</v>
      </c>
      <c r="J672">
        <v>5.4112680651244416</v>
      </c>
      <c r="K672">
        <v>5</v>
      </c>
      <c r="L672">
        <v>10</v>
      </c>
      <c r="N672" t="s">
        <v>20</v>
      </c>
      <c r="O672" t="s">
        <v>16</v>
      </c>
      <c r="P672" t="s">
        <v>303</v>
      </c>
      <c r="Q672">
        <v>10</v>
      </c>
      <c r="R672">
        <v>5</v>
      </c>
    </row>
    <row r="673" spans="1:21" x14ac:dyDescent="0.25">
      <c r="A673">
        <v>10</v>
      </c>
      <c r="B673">
        <v>100</v>
      </c>
      <c r="C673">
        <v>4</v>
      </c>
      <c r="D673">
        <v>40</v>
      </c>
      <c r="E673">
        <v>40</v>
      </c>
      <c r="F673" t="s">
        <v>48</v>
      </c>
      <c r="G673" t="s">
        <v>49</v>
      </c>
      <c r="H673" t="s">
        <v>50</v>
      </c>
      <c r="I673">
        <v>17</v>
      </c>
      <c r="J673">
        <v>5.4112680651244416</v>
      </c>
      <c r="K673">
        <v>6</v>
      </c>
      <c r="L673">
        <v>11</v>
      </c>
      <c r="N673" t="s">
        <v>20</v>
      </c>
      <c r="O673" t="s">
        <v>16</v>
      </c>
      <c r="P673" t="s">
        <v>303</v>
      </c>
      <c r="Q673">
        <v>10</v>
      </c>
      <c r="R673">
        <v>5</v>
      </c>
    </row>
    <row r="674" spans="1:21" x14ac:dyDescent="0.25">
      <c r="A674">
        <v>10</v>
      </c>
      <c r="B674">
        <v>100</v>
      </c>
      <c r="C674">
        <v>4</v>
      </c>
      <c r="D674">
        <v>41</v>
      </c>
      <c r="E674">
        <v>41</v>
      </c>
      <c r="F674" t="s">
        <v>48</v>
      </c>
      <c r="G674" t="s">
        <v>49</v>
      </c>
      <c r="H674" t="s">
        <v>50</v>
      </c>
      <c r="I674">
        <v>17.5</v>
      </c>
      <c r="J674">
        <v>5.5704230082163368</v>
      </c>
      <c r="K674">
        <v>4</v>
      </c>
      <c r="L674">
        <v>10</v>
      </c>
      <c r="N674" t="s">
        <v>20</v>
      </c>
      <c r="O674" t="s">
        <v>16</v>
      </c>
      <c r="P674" t="s">
        <v>303</v>
      </c>
      <c r="Q674">
        <v>10</v>
      </c>
      <c r="R674">
        <v>5</v>
      </c>
    </row>
    <row r="675" spans="1:21" x14ac:dyDescent="0.25">
      <c r="A675">
        <v>10</v>
      </c>
      <c r="B675">
        <v>100</v>
      </c>
      <c r="C675">
        <v>4</v>
      </c>
      <c r="D675">
        <v>42</v>
      </c>
      <c r="E675">
        <v>42</v>
      </c>
      <c r="F675" t="s">
        <v>48</v>
      </c>
      <c r="G675" t="s">
        <v>49</v>
      </c>
      <c r="H675" t="s">
        <v>50</v>
      </c>
      <c r="I675">
        <v>18</v>
      </c>
      <c r="J675">
        <v>5.7295779513082321</v>
      </c>
      <c r="K675">
        <v>8</v>
      </c>
      <c r="L675">
        <v>10</v>
      </c>
      <c r="N675" t="s">
        <v>20</v>
      </c>
      <c r="O675" t="s">
        <v>16</v>
      </c>
      <c r="P675" t="s">
        <v>303</v>
      </c>
      <c r="Q675">
        <v>10</v>
      </c>
      <c r="R675">
        <v>5</v>
      </c>
    </row>
    <row r="676" spans="1:21" x14ac:dyDescent="0.25">
      <c r="A676">
        <v>1</v>
      </c>
      <c r="B676">
        <v>500</v>
      </c>
      <c r="C676">
        <v>1</v>
      </c>
      <c r="D676">
        <v>1</v>
      </c>
      <c r="E676">
        <v>1</v>
      </c>
      <c r="F676" t="s">
        <v>17</v>
      </c>
      <c r="G676" t="s">
        <v>18</v>
      </c>
      <c r="H676" t="s">
        <v>19</v>
      </c>
      <c r="I676">
        <v>44</v>
      </c>
      <c r="J676">
        <v>14.00563499208679</v>
      </c>
      <c r="K676">
        <v>6</v>
      </c>
      <c r="L676">
        <v>12</v>
      </c>
      <c r="N676" t="s">
        <v>20</v>
      </c>
      <c r="O676" t="s">
        <v>16</v>
      </c>
      <c r="P676" t="s">
        <v>303</v>
      </c>
      <c r="Q676">
        <v>12.5</v>
      </c>
      <c r="R676">
        <v>15</v>
      </c>
      <c r="S676">
        <v>5</v>
      </c>
      <c r="T676" t="s">
        <v>271</v>
      </c>
      <c r="U676">
        <v>0.10732866559467072</v>
      </c>
    </row>
    <row r="677" spans="1:21" x14ac:dyDescent="0.25">
      <c r="A677">
        <v>11</v>
      </c>
      <c r="B677">
        <v>500</v>
      </c>
      <c r="C677">
        <v>2</v>
      </c>
      <c r="D677">
        <v>8</v>
      </c>
      <c r="E677">
        <v>9</v>
      </c>
      <c r="F677" t="s">
        <v>17</v>
      </c>
      <c r="G677" t="s">
        <v>18</v>
      </c>
      <c r="H677" t="s">
        <v>19</v>
      </c>
      <c r="I677">
        <v>33.5</v>
      </c>
      <c r="J677">
        <v>10.663381187156988</v>
      </c>
      <c r="K677">
        <v>6</v>
      </c>
      <c r="L677">
        <v>11</v>
      </c>
      <c r="N677" t="s">
        <v>20</v>
      </c>
      <c r="O677" t="s">
        <v>16</v>
      </c>
      <c r="P677" t="s">
        <v>303</v>
      </c>
      <c r="Q677">
        <v>10</v>
      </c>
      <c r="R677">
        <v>10</v>
      </c>
      <c r="S677">
        <v>5</v>
      </c>
      <c r="T677" t="s">
        <v>271</v>
      </c>
      <c r="U677">
        <v>5.9513804408211086E-2</v>
      </c>
    </row>
    <row r="678" spans="1:21" x14ac:dyDescent="0.25">
      <c r="A678">
        <v>1</v>
      </c>
      <c r="B678">
        <v>100</v>
      </c>
      <c r="C678">
        <v>3</v>
      </c>
      <c r="D678">
        <v>15</v>
      </c>
      <c r="E678">
        <v>15</v>
      </c>
      <c r="F678" t="s">
        <v>17</v>
      </c>
      <c r="G678" t="s">
        <v>18</v>
      </c>
      <c r="H678" t="s">
        <v>19</v>
      </c>
      <c r="I678">
        <v>28</v>
      </c>
      <c r="J678">
        <v>8.91267681314614</v>
      </c>
      <c r="K678">
        <v>2.5</v>
      </c>
      <c r="L678">
        <v>4</v>
      </c>
      <c r="N678" t="s">
        <v>20</v>
      </c>
      <c r="O678" t="s">
        <v>16</v>
      </c>
      <c r="P678" t="s">
        <v>303</v>
      </c>
      <c r="Q678">
        <v>5</v>
      </c>
      <c r="R678">
        <v>10</v>
      </c>
    </row>
    <row r="679" spans="1:21" x14ac:dyDescent="0.25">
      <c r="A679">
        <v>10</v>
      </c>
      <c r="B679">
        <v>5</v>
      </c>
      <c r="D679">
        <v>1</v>
      </c>
      <c r="E679">
        <v>1</v>
      </c>
      <c r="F679" t="s">
        <v>13</v>
      </c>
      <c r="G679" t="s">
        <v>14</v>
      </c>
      <c r="H679" t="s">
        <v>15</v>
      </c>
      <c r="L679">
        <v>6</v>
      </c>
      <c r="M679" t="e">
        <v>#REF!</v>
      </c>
      <c r="O679" t="s">
        <v>16</v>
      </c>
      <c r="P679" t="s">
        <v>303</v>
      </c>
      <c r="Q679">
        <v>5</v>
      </c>
      <c r="R679">
        <v>5</v>
      </c>
    </row>
    <row r="680" spans="1:21" x14ac:dyDescent="0.25">
      <c r="A680">
        <v>1</v>
      </c>
      <c r="B680">
        <v>500</v>
      </c>
      <c r="C680">
        <v>3</v>
      </c>
      <c r="D680">
        <v>17</v>
      </c>
      <c r="E680">
        <v>20</v>
      </c>
      <c r="F680" t="s">
        <v>17</v>
      </c>
      <c r="G680" t="s">
        <v>18</v>
      </c>
      <c r="H680" t="s">
        <v>19</v>
      </c>
      <c r="I680">
        <v>38.5</v>
      </c>
      <c r="J680">
        <v>12.254930618075941</v>
      </c>
      <c r="K680">
        <v>7</v>
      </c>
      <c r="L680">
        <v>13</v>
      </c>
      <c r="N680" t="s">
        <v>20</v>
      </c>
      <c r="O680" t="s">
        <v>16</v>
      </c>
      <c r="P680" t="s">
        <v>303</v>
      </c>
      <c r="Q680">
        <v>12.5</v>
      </c>
      <c r="R680">
        <v>10</v>
      </c>
      <c r="S680">
        <v>5</v>
      </c>
      <c r="T680" t="s">
        <v>271</v>
      </c>
      <c r="U680">
        <v>9.0476886170866258E-2</v>
      </c>
    </row>
    <row r="681" spans="1:21" x14ac:dyDescent="0.25">
      <c r="A681">
        <v>1</v>
      </c>
      <c r="B681">
        <v>500</v>
      </c>
      <c r="C681">
        <v>4</v>
      </c>
      <c r="D681">
        <v>20</v>
      </c>
      <c r="E681">
        <v>23</v>
      </c>
      <c r="F681" t="s">
        <v>17</v>
      </c>
      <c r="G681" t="s">
        <v>18</v>
      </c>
      <c r="H681" t="s">
        <v>19</v>
      </c>
      <c r="I681">
        <v>43.5</v>
      </c>
      <c r="J681">
        <v>13.846480048994895</v>
      </c>
      <c r="K681">
        <v>8</v>
      </c>
      <c r="L681">
        <v>12</v>
      </c>
      <c r="N681" t="s">
        <v>20</v>
      </c>
      <c r="O681" t="s">
        <v>16</v>
      </c>
      <c r="P681" t="s">
        <v>303</v>
      </c>
      <c r="Q681">
        <v>12.5</v>
      </c>
      <c r="R681">
        <v>15</v>
      </c>
      <c r="S681">
        <v>5</v>
      </c>
      <c r="T681" t="s">
        <v>271</v>
      </c>
      <c r="U681">
        <v>0.10507625117394749</v>
      </c>
    </row>
    <row r="682" spans="1:21" x14ac:dyDescent="0.25">
      <c r="A682">
        <v>1</v>
      </c>
      <c r="B682">
        <v>100</v>
      </c>
      <c r="C682">
        <v>4</v>
      </c>
      <c r="D682">
        <v>23</v>
      </c>
      <c r="E682">
        <v>23</v>
      </c>
      <c r="F682" t="s">
        <v>17</v>
      </c>
      <c r="G682" t="s">
        <v>18</v>
      </c>
      <c r="H682" t="s">
        <v>19</v>
      </c>
      <c r="I682">
        <v>18</v>
      </c>
      <c r="J682">
        <v>5.7295779513082321</v>
      </c>
      <c r="K682">
        <v>6</v>
      </c>
      <c r="L682">
        <v>9</v>
      </c>
      <c r="N682" t="s">
        <v>20</v>
      </c>
      <c r="O682" t="s">
        <v>16</v>
      </c>
      <c r="P682" t="s">
        <v>303</v>
      </c>
      <c r="Q682">
        <v>10</v>
      </c>
      <c r="R682">
        <v>5</v>
      </c>
    </row>
    <row r="683" spans="1:21" x14ac:dyDescent="0.25">
      <c r="A683">
        <v>1</v>
      </c>
      <c r="B683">
        <v>100</v>
      </c>
      <c r="C683">
        <v>4</v>
      </c>
      <c r="D683">
        <v>24</v>
      </c>
      <c r="E683">
        <v>24</v>
      </c>
      <c r="F683" t="s">
        <v>17</v>
      </c>
      <c r="G683" t="s">
        <v>18</v>
      </c>
      <c r="H683" t="s">
        <v>19</v>
      </c>
      <c r="I683">
        <v>17</v>
      </c>
      <c r="J683">
        <v>5.4112680651244416</v>
      </c>
      <c r="K683">
        <v>6</v>
      </c>
      <c r="L683">
        <v>9</v>
      </c>
      <c r="N683" t="s">
        <v>20</v>
      </c>
      <c r="O683" t="s">
        <v>16</v>
      </c>
      <c r="P683" t="s">
        <v>303</v>
      </c>
      <c r="Q683">
        <v>10</v>
      </c>
      <c r="R683">
        <v>5</v>
      </c>
    </row>
    <row r="684" spans="1:21" x14ac:dyDescent="0.25">
      <c r="A684">
        <v>1</v>
      </c>
      <c r="B684">
        <v>500</v>
      </c>
      <c r="C684">
        <v>4</v>
      </c>
      <c r="D684">
        <v>23</v>
      </c>
      <c r="E684">
        <v>26</v>
      </c>
      <c r="F684" t="s">
        <v>17</v>
      </c>
      <c r="G684" t="s">
        <v>18</v>
      </c>
      <c r="H684" t="s">
        <v>19</v>
      </c>
      <c r="I684">
        <v>53.5</v>
      </c>
      <c r="J684">
        <v>17.0295789108328</v>
      </c>
      <c r="K684">
        <v>5</v>
      </c>
      <c r="L684">
        <v>13</v>
      </c>
      <c r="N684" t="s">
        <v>20</v>
      </c>
      <c r="O684" t="s">
        <v>16</v>
      </c>
      <c r="P684" t="s">
        <v>303</v>
      </c>
      <c r="Q684">
        <v>12.5</v>
      </c>
      <c r="R684">
        <v>15</v>
      </c>
      <c r="S684">
        <v>5</v>
      </c>
      <c r="T684" t="s">
        <v>271</v>
      </c>
      <c r="U684">
        <v>0.16661722391675937</v>
      </c>
    </row>
    <row r="685" spans="1:21" x14ac:dyDescent="0.25">
      <c r="A685">
        <v>1</v>
      </c>
      <c r="B685">
        <v>100</v>
      </c>
      <c r="C685">
        <v>4</v>
      </c>
      <c r="D685">
        <v>28</v>
      </c>
      <c r="E685">
        <v>28</v>
      </c>
      <c r="F685" t="s">
        <v>17</v>
      </c>
      <c r="G685" t="s">
        <v>18</v>
      </c>
      <c r="H685" t="s">
        <v>19</v>
      </c>
      <c r="I685">
        <v>30</v>
      </c>
      <c r="J685">
        <v>9.5492965855137211</v>
      </c>
      <c r="K685">
        <v>9</v>
      </c>
      <c r="L685">
        <v>14</v>
      </c>
      <c r="N685" t="s">
        <v>20</v>
      </c>
      <c r="O685" t="s">
        <v>16</v>
      </c>
      <c r="P685" t="s">
        <v>303</v>
      </c>
      <c r="Q685">
        <v>15</v>
      </c>
      <c r="R685">
        <v>10</v>
      </c>
    </row>
    <row r="686" spans="1:21" x14ac:dyDescent="0.25">
      <c r="A686">
        <v>1</v>
      </c>
      <c r="B686">
        <v>500</v>
      </c>
      <c r="C686">
        <v>4</v>
      </c>
      <c r="D686">
        <v>26</v>
      </c>
      <c r="E686">
        <v>29</v>
      </c>
      <c r="F686" t="s">
        <v>17</v>
      </c>
      <c r="G686" t="s">
        <v>18</v>
      </c>
      <c r="H686" t="s">
        <v>19</v>
      </c>
      <c r="I686">
        <v>50.5</v>
      </c>
      <c r="J686">
        <v>16.074649252281429</v>
      </c>
      <c r="K686">
        <v>9</v>
      </c>
      <c r="L686">
        <v>14</v>
      </c>
      <c r="N686" t="s">
        <v>20</v>
      </c>
      <c r="O686" t="s">
        <v>16</v>
      </c>
      <c r="P686" t="s">
        <v>303</v>
      </c>
      <c r="Q686">
        <v>15</v>
      </c>
      <c r="R686">
        <v>15</v>
      </c>
      <c r="S686">
        <v>5</v>
      </c>
      <c r="T686" t="s">
        <v>271</v>
      </c>
      <c r="U686">
        <v>0.16075817789671062</v>
      </c>
    </row>
    <row r="687" spans="1:21" x14ac:dyDescent="0.25">
      <c r="A687">
        <v>1</v>
      </c>
      <c r="B687">
        <v>500</v>
      </c>
      <c r="C687">
        <v>4</v>
      </c>
      <c r="D687">
        <v>29</v>
      </c>
      <c r="E687">
        <v>32</v>
      </c>
      <c r="F687" t="s">
        <v>17</v>
      </c>
      <c r="G687" t="s">
        <v>18</v>
      </c>
      <c r="H687" t="s">
        <v>19</v>
      </c>
      <c r="I687">
        <v>41</v>
      </c>
      <c r="J687">
        <v>13.050705333535419</v>
      </c>
      <c r="K687">
        <v>6</v>
      </c>
      <c r="L687">
        <v>12</v>
      </c>
      <c r="N687" t="s">
        <v>20</v>
      </c>
      <c r="O687" t="s">
        <v>16</v>
      </c>
      <c r="P687" t="s">
        <v>303</v>
      </c>
      <c r="Q687">
        <v>12.5</v>
      </c>
      <c r="R687">
        <v>15</v>
      </c>
      <c r="S687">
        <v>5</v>
      </c>
      <c r="T687" t="s">
        <v>271</v>
      </c>
      <c r="U687">
        <v>9.4145648311599883E-2</v>
      </c>
    </row>
    <row r="688" spans="1:21" x14ac:dyDescent="0.25">
      <c r="A688">
        <v>11</v>
      </c>
      <c r="B688">
        <v>100</v>
      </c>
      <c r="C688">
        <v>4</v>
      </c>
      <c r="D688">
        <v>40</v>
      </c>
      <c r="E688">
        <v>40</v>
      </c>
      <c r="F688" t="s">
        <v>17</v>
      </c>
      <c r="G688" t="s">
        <v>18</v>
      </c>
      <c r="H688" t="s">
        <v>19</v>
      </c>
      <c r="I688">
        <v>20</v>
      </c>
      <c r="J688">
        <v>6.366197723675814</v>
      </c>
      <c r="K688">
        <v>5.5</v>
      </c>
      <c r="L688">
        <v>8</v>
      </c>
      <c r="N688" t="s">
        <v>20</v>
      </c>
      <c r="O688" t="s">
        <v>16</v>
      </c>
      <c r="P688" t="s">
        <v>303</v>
      </c>
      <c r="Q688">
        <v>7.5</v>
      </c>
      <c r="R688">
        <v>5</v>
      </c>
    </row>
    <row r="689" spans="1:21" x14ac:dyDescent="0.25">
      <c r="A689">
        <v>3</v>
      </c>
      <c r="B689">
        <v>500</v>
      </c>
      <c r="C689">
        <v>1</v>
      </c>
      <c r="D689">
        <v>15</v>
      </c>
      <c r="E689">
        <v>15</v>
      </c>
      <c r="F689" t="s">
        <v>23</v>
      </c>
      <c r="G689" t="s">
        <v>71</v>
      </c>
      <c r="H689" t="s">
        <v>72</v>
      </c>
      <c r="I689">
        <v>46</v>
      </c>
      <c r="J689">
        <v>14.642254764454371</v>
      </c>
      <c r="K689">
        <v>6</v>
      </c>
      <c r="L689">
        <v>11</v>
      </c>
      <c r="N689" t="s">
        <v>20</v>
      </c>
      <c r="O689" t="s">
        <v>16</v>
      </c>
      <c r="P689" t="s">
        <v>303</v>
      </c>
      <c r="Q689">
        <v>10</v>
      </c>
      <c r="R689">
        <v>15</v>
      </c>
      <c r="S689">
        <v>14</v>
      </c>
      <c r="T689" t="s">
        <v>273</v>
      </c>
      <c r="U689">
        <v>0.11300883133652777</v>
      </c>
    </row>
    <row r="690" spans="1:21" x14ac:dyDescent="0.25">
      <c r="A690">
        <v>1</v>
      </c>
      <c r="B690">
        <v>500</v>
      </c>
      <c r="C690">
        <v>3</v>
      </c>
      <c r="D690">
        <v>15</v>
      </c>
      <c r="E690">
        <v>18</v>
      </c>
      <c r="F690" t="s">
        <v>23</v>
      </c>
      <c r="G690" t="s">
        <v>71</v>
      </c>
      <c r="H690" t="s">
        <v>72</v>
      </c>
      <c r="I690">
        <v>35</v>
      </c>
      <c r="J690">
        <v>11.140846016432674</v>
      </c>
      <c r="K690">
        <v>5</v>
      </c>
      <c r="L690">
        <v>11</v>
      </c>
      <c r="N690" t="s">
        <v>20</v>
      </c>
      <c r="O690" t="s">
        <v>16</v>
      </c>
      <c r="P690" t="s">
        <v>303</v>
      </c>
      <c r="Q690">
        <v>10</v>
      </c>
      <c r="R690">
        <v>10</v>
      </c>
      <c r="S690">
        <v>14</v>
      </c>
      <c r="T690" t="s">
        <v>273</v>
      </c>
      <c r="U690">
        <v>6.8806387484092887E-2</v>
      </c>
    </row>
    <row r="691" spans="1:21" x14ac:dyDescent="0.25">
      <c r="A691">
        <v>8</v>
      </c>
      <c r="B691">
        <v>500</v>
      </c>
      <c r="C691">
        <v>2</v>
      </c>
      <c r="D691">
        <v>24</v>
      </c>
      <c r="E691">
        <v>26</v>
      </c>
      <c r="F691" t="s">
        <v>23</v>
      </c>
      <c r="G691" t="s">
        <v>71</v>
      </c>
      <c r="H691" t="s">
        <v>72</v>
      </c>
      <c r="I691">
        <v>37</v>
      </c>
      <c r="J691">
        <v>11.777465788800255</v>
      </c>
      <c r="K691">
        <v>5</v>
      </c>
      <c r="L691">
        <v>10</v>
      </c>
      <c r="N691" t="s">
        <v>20</v>
      </c>
      <c r="O691" t="s">
        <v>16</v>
      </c>
      <c r="P691" t="s">
        <v>303</v>
      </c>
      <c r="Q691">
        <v>10</v>
      </c>
      <c r="R691">
        <v>10</v>
      </c>
      <c r="S691">
        <v>14</v>
      </c>
      <c r="T691" t="s">
        <v>273</v>
      </c>
      <c r="U691">
        <v>6.8991137736137118E-2</v>
      </c>
    </row>
    <row r="692" spans="1:21" x14ac:dyDescent="0.25">
      <c r="A692">
        <v>3</v>
      </c>
      <c r="B692">
        <v>500</v>
      </c>
      <c r="C692">
        <v>2</v>
      </c>
      <c r="D692">
        <v>27</v>
      </c>
      <c r="E692">
        <v>27</v>
      </c>
      <c r="F692" t="s">
        <v>23</v>
      </c>
      <c r="G692" t="s">
        <v>71</v>
      </c>
      <c r="H692" t="s">
        <v>72</v>
      </c>
      <c r="I692">
        <v>32</v>
      </c>
      <c r="J692">
        <v>10.185916357881302</v>
      </c>
      <c r="K692">
        <v>7</v>
      </c>
      <c r="L692">
        <v>9</v>
      </c>
      <c r="N692" t="s">
        <v>20</v>
      </c>
      <c r="O692" t="s">
        <v>16</v>
      </c>
      <c r="P692" t="s">
        <v>303</v>
      </c>
      <c r="Q692">
        <v>10</v>
      </c>
      <c r="R692">
        <v>10</v>
      </c>
      <c r="S692">
        <v>14</v>
      </c>
      <c r="T692" t="s">
        <v>273</v>
      </c>
      <c r="U692">
        <v>4.7552522724025326E-2</v>
      </c>
    </row>
    <row r="693" spans="1:21" x14ac:dyDescent="0.25">
      <c r="A693">
        <v>3</v>
      </c>
      <c r="B693">
        <v>500</v>
      </c>
      <c r="C693">
        <v>2</v>
      </c>
      <c r="D693">
        <v>28</v>
      </c>
      <c r="E693">
        <v>28</v>
      </c>
      <c r="F693" t="s">
        <v>23</v>
      </c>
      <c r="G693" t="s">
        <v>71</v>
      </c>
      <c r="H693" t="s">
        <v>72</v>
      </c>
      <c r="I693">
        <v>34</v>
      </c>
      <c r="J693">
        <v>10.822536130248883</v>
      </c>
      <c r="K693">
        <v>7</v>
      </c>
      <c r="L693">
        <v>9</v>
      </c>
      <c r="N693" t="s">
        <v>20</v>
      </c>
      <c r="O693" t="s">
        <v>16</v>
      </c>
      <c r="P693" t="s">
        <v>303</v>
      </c>
      <c r="Q693">
        <v>10</v>
      </c>
      <c r="R693">
        <v>10</v>
      </c>
      <c r="S693">
        <v>14</v>
      </c>
      <c r="T693" t="s">
        <v>273</v>
      </c>
      <c r="U693">
        <v>5.3085298559275906E-2</v>
      </c>
    </row>
    <row r="694" spans="1:21" x14ac:dyDescent="0.25">
      <c r="A694">
        <v>10</v>
      </c>
      <c r="B694">
        <v>5</v>
      </c>
      <c r="D694">
        <v>2</v>
      </c>
      <c r="E694">
        <v>2</v>
      </c>
      <c r="F694" t="s">
        <v>17</v>
      </c>
      <c r="G694" t="s">
        <v>65</v>
      </c>
      <c r="H694" t="s">
        <v>66</v>
      </c>
      <c r="L694">
        <v>3</v>
      </c>
      <c r="M694" t="e">
        <v>#REF!</v>
      </c>
      <c r="O694" t="s">
        <v>16</v>
      </c>
      <c r="P694" t="s">
        <v>303</v>
      </c>
      <c r="Q694">
        <v>2.5</v>
      </c>
      <c r="R694">
        <v>5</v>
      </c>
    </row>
    <row r="695" spans="1:21" x14ac:dyDescent="0.25">
      <c r="A695">
        <v>10</v>
      </c>
      <c r="B695">
        <v>5</v>
      </c>
      <c r="D695">
        <v>3</v>
      </c>
      <c r="E695">
        <v>3</v>
      </c>
      <c r="F695" t="s">
        <v>87</v>
      </c>
      <c r="G695" t="s">
        <v>88</v>
      </c>
      <c r="H695" t="s">
        <v>89</v>
      </c>
      <c r="L695">
        <v>3</v>
      </c>
      <c r="M695" t="e">
        <v>#REF!</v>
      </c>
      <c r="O695" t="s">
        <v>16</v>
      </c>
      <c r="P695" t="s">
        <v>303</v>
      </c>
      <c r="Q695">
        <v>2.5</v>
      </c>
      <c r="R695">
        <v>5</v>
      </c>
    </row>
    <row r="696" spans="1:21" x14ac:dyDescent="0.25">
      <c r="A696">
        <v>10</v>
      </c>
      <c r="B696">
        <v>5</v>
      </c>
      <c r="D696">
        <v>4</v>
      </c>
      <c r="E696">
        <v>4</v>
      </c>
      <c r="F696" t="s">
        <v>21</v>
      </c>
      <c r="G696" t="s">
        <v>22</v>
      </c>
      <c r="H696" t="s">
        <v>283</v>
      </c>
      <c r="L696">
        <v>1.8</v>
      </c>
      <c r="M696" t="e">
        <v>#REF!</v>
      </c>
      <c r="O696" t="s">
        <v>16</v>
      </c>
      <c r="P696" t="s">
        <v>303</v>
      </c>
      <c r="Q696">
        <v>2.5</v>
      </c>
      <c r="R696">
        <v>5</v>
      </c>
    </row>
    <row r="697" spans="1:21" x14ac:dyDescent="0.25">
      <c r="A697">
        <v>10</v>
      </c>
      <c r="B697">
        <v>5</v>
      </c>
      <c r="D697">
        <v>5</v>
      </c>
      <c r="E697">
        <v>5</v>
      </c>
      <c r="F697" t="s">
        <v>30</v>
      </c>
      <c r="G697" t="s">
        <v>286</v>
      </c>
      <c r="H697" t="s">
        <v>113</v>
      </c>
      <c r="L697">
        <v>2</v>
      </c>
      <c r="M697" t="e">
        <v>#REF!</v>
      </c>
      <c r="O697" t="s">
        <v>16</v>
      </c>
      <c r="P697" t="s">
        <v>303</v>
      </c>
      <c r="Q697">
        <v>2.5</v>
      </c>
      <c r="R697">
        <v>5</v>
      </c>
    </row>
    <row r="698" spans="1:21" x14ac:dyDescent="0.25">
      <c r="A698">
        <v>10</v>
      </c>
      <c r="B698">
        <v>5</v>
      </c>
      <c r="D698">
        <v>6</v>
      </c>
      <c r="E698">
        <v>6</v>
      </c>
      <c r="F698" t="s">
        <v>21</v>
      </c>
      <c r="G698" t="s">
        <v>22</v>
      </c>
      <c r="H698" t="s">
        <v>283</v>
      </c>
      <c r="L698">
        <v>3</v>
      </c>
      <c r="M698" t="e">
        <v>#REF!</v>
      </c>
      <c r="O698" t="s">
        <v>16</v>
      </c>
      <c r="P698" t="s">
        <v>303</v>
      </c>
      <c r="Q698">
        <v>2.5</v>
      </c>
      <c r="R698">
        <v>5</v>
      </c>
    </row>
    <row r="699" spans="1:21" x14ac:dyDescent="0.25">
      <c r="A699">
        <v>10</v>
      </c>
      <c r="B699">
        <v>5</v>
      </c>
      <c r="D699">
        <v>7</v>
      </c>
      <c r="E699">
        <v>7</v>
      </c>
      <c r="F699" t="s">
        <v>17</v>
      </c>
      <c r="G699" t="s">
        <v>148</v>
      </c>
      <c r="H699" t="s">
        <v>149</v>
      </c>
      <c r="L699">
        <v>10</v>
      </c>
      <c r="M699" t="e">
        <v>#REF!</v>
      </c>
      <c r="O699" t="s">
        <v>16</v>
      </c>
      <c r="P699" t="s">
        <v>303</v>
      </c>
      <c r="Q699">
        <v>10</v>
      </c>
      <c r="R699">
        <v>5</v>
      </c>
    </row>
    <row r="700" spans="1:21" x14ac:dyDescent="0.25">
      <c r="A700">
        <v>10</v>
      </c>
      <c r="B700">
        <v>5</v>
      </c>
      <c r="D700">
        <v>8</v>
      </c>
      <c r="E700">
        <v>8</v>
      </c>
      <c r="F700" t="s">
        <v>17</v>
      </c>
      <c r="G700" t="s">
        <v>148</v>
      </c>
      <c r="H700" t="s">
        <v>149</v>
      </c>
      <c r="L700">
        <v>10</v>
      </c>
      <c r="M700" t="e">
        <v>#REF!</v>
      </c>
      <c r="O700" t="s">
        <v>16</v>
      </c>
      <c r="P700" t="s">
        <v>303</v>
      </c>
      <c r="Q700">
        <v>10</v>
      </c>
      <c r="R700">
        <v>5</v>
      </c>
    </row>
    <row r="701" spans="1:21" x14ac:dyDescent="0.25">
      <c r="A701">
        <v>2</v>
      </c>
      <c r="B701">
        <v>100</v>
      </c>
      <c r="C701">
        <v>1</v>
      </c>
      <c r="D701">
        <v>5</v>
      </c>
      <c r="E701">
        <v>5</v>
      </c>
      <c r="F701" t="s">
        <v>17</v>
      </c>
      <c r="G701" t="s">
        <v>65</v>
      </c>
      <c r="H701" t="s">
        <v>66</v>
      </c>
      <c r="I701">
        <v>25</v>
      </c>
      <c r="J701">
        <v>7.9577471545947667</v>
      </c>
      <c r="K701">
        <v>5</v>
      </c>
      <c r="L701">
        <v>11</v>
      </c>
      <c r="N701" t="s">
        <v>20</v>
      </c>
      <c r="O701" t="s">
        <v>16</v>
      </c>
      <c r="P701" t="s">
        <v>303</v>
      </c>
      <c r="Q701">
        <v>10</v>
      </c>
      <c r="R701">
        <v>10</v>
      </c>
    </row>
    <row r="702" spans="1:21" x14ac:dyDescent="0.25">
      <c r="A702">
        <v>2</v>
      </c>
      <c r="B702">
        <v>100</v>
      </c>
      <c r="C702">
        <v>1</v>
      </c>
      <c r="D702">
        <v>6</v>
      </c>
      <c r="E702">
        <v>6</v>
      </c>
      <c r="F702" t="s">
        <v>17</v>
      </c>
      <c r="G702" t="s">
        <v>65</v>
      </c>
      <c r="H702" t="s">
        <v>66</v>
      </c>
      <c r="I702">
        <v>26</v>
      </c>
      <c r="J702">
        <v>8.2760570407785572</v>
      </c>
      <c r="K702">
        <v>5</v>
      </c>
      <c r="L702">
        <v>11</v>
      </c>
      <c r="N702" t="s">
        <v>20</v>
      </c>
      <c r="O702" t="s">
        <v>16</v>
      </c>
      <c r="P702" t="s">
        <v>303</v>
      </c>
      <c r="Q702">
        <v>10</v>
      </c>
      <c r="R702">
        <v>10</v>
      </c>
    </row>
    <row r="703" spans="1:21" x14ac:dyDescent="0.25">
      <c r="A703">
        <v>5</v>
      </c>
      <c r="B703">
        <v>100</v>
      </c>
      <c r="C703">
        <v>1</v>
      </c>
      <c r="D703">
        <v>6</v>
      </c>
      <c r="E703">
        <v>7</v>
      </c>
      <c r="F703" t="s">
        <v>17</v>
      </c>
      <c r="G703" t="s">
        <v>65</v>
      </c>
      <c r="H703" t="s">
        <v>66</v>
      </c>
      <c r="I703">
        <v>30</v>
      </c>
      <c r="J703">
        <v>9.5492965855137211</v>
      </c>
      <c r="K703">
        <v>6</v>
      </c>
      <c r="L703">
        <v>12</v>
      </c>
      <c r="N703" t="s">
        <v>20</v>
      </c>
      <c r="O703" t="s">
        <v>16</v>
      </c>
      <c r="P703" t="s">
        <v>303</v>
      </c>
      <c r="Q703">
        <v>12.5</v>
      </c>
      <c r="R703">
        <v>10</v>
      </c>
    </row>
    <row r="704" spans="1:21" x14ac:dyDescent="0.25">
      <c r="A704">
        <v>10</v>
      </c>
      <c r="B704">
        <v>5</v>
      </c>
      <c r="D704">
        <v>9</v>
      </c>
      <c r="E704">
        <v>9</v>
      </c>
      <c r="F704" t="s">
        <v>13</v>
      </c>
      <c r="G704" t="s">
        <v>14</v>
      </c>
      <c r="H704" t="s">
        <v>15</v>
      </c>
      <c r="L704">
        <v>0.8</v>
      </c>
      <c r="M704" t="e">
        <v>#REF!</v>
      </c>
      <c r="O704" t="s">
        <v>16</v>
      </c>
      <c r="P704" t="s">
        <v>303</v>
      </c>
      <c r="Q704">
        <v>2.5</v>
      </c>
      <c r="R704">
        <v>5</v>
      </c>
    </row>
    <row r="705" spans="1:21" x14ac:dyDescent="0.25">
      <c r="A705">
        <v>5</v>
      </c>
      <c r="B705">
        <v>500</v>
      </c>
      <c r="C705">
        <v>1</v>
      </c>
      <c r="D705">
        <v>8</v>
      </c>
      <c r="E705">
        <v>8</v>
      </c>
      <c r="F705" t="s">
        <v>17</v>
      </c>
      <c r="G705" t="s">
        <v>65</v>
      </c>
      <c r="H705" t="s">
        <v>66</v>
      </c>
      <c r="I705">
        <v>34.5</v>
      </c>
      <c r="J705">
        <v>10.981691073340778</v>
      </c>
      <c r="K705">
        <v>3.5</v>
      </c>
      <c r="L705">
        <v>9</v>
      </c>
      <c r="N705" t="s">
        <v>20</v>
      </c>
      <c r="O705" t="s">
        <v>16</v>
      </c>
      <c r="P705" t="s">
        <v>303</v>
      </c>
      <c r="Q705">
        <v>10</v>
      </c>
      <c r="R705">
        <v>10</v>
      </c>
      <c r="S705">
        <v>5</v>
      </c>
      <c r="T705" t="s">
        <v>271</v>
      </c>
      <c r="U705">
        <v>5.1817799215331653E-2</v>
      </c>
    </row>
    <row r="706" spans="1:21" x14ac:dyDescent="0.25">
      <c r="A706">
        <v>3</v>
      </c>
      <c r="B706">
        <v>100</v>
      </c>
      <c r="C706">
        <v>2</v>
      </c>
      <c r="D706">
        <v>8</v>
      </c>
      <c r="E706">
        <v>8</v>
      </c>
      <c r="F706" t="s">
        <v>17</v>
      </c>
      <c r="G706" t="s">
        <v>65</v>
      </c>
      <c r="H706" t="s">
        <v>66</v>
      </c>
      <c r="I706">
        <v>27</v>
      </c>
      <c r="J706">
        <v>8.5943669269623477</v>
      </c>
      <c r="K706">
        <v>5</v>
      </c>
      <c r="L706">
        <v>13</v>
      </c>
      <c r="N706" t="s">
        <v>20</v>
      </c>
      <c r="O706" t="s">
        <v>16</v>
      </c>
      <c r="P706" t="s">
        <v>303</v>
      </c>
      <c r="Q706">
        <v>12.5</v>
      </c>
      <c r="R706">
        <v>10</v>
      </c>
    </row>
    <row r="707" spans="1:21" x14ac:dyDescent="0.25">
      <c r="A707">
        <v>10</v>
      </c>
      <c r="B707">
        <v>5</v>
      </c>
      <c r="D707">
        <v>10</v>
      </c>
      <c r="E707">
        <v>10</v>
      </c>
      <c r="F707" t="s">
        <v>13</v>
      </c>
      <c r="G707" t="s">
        <v>14</v>
      </c>
      <c r="H707" t="s">
        <v>15</v>
      </c>
      <c r="L707">
        <v>0.3</v>
      </c>
      <c r="M707" t="e">
        <v>#REF!</v>
      </c>
      <c r="O707" t="s">
        <v>16</v>
      </c>
      <c r="P707" t="s">
        <v>303</v>
      </c>
      <c r="Q707">
        <v>2.5</v>
      </c>
      <c r="R707">
        <v>5</v>
      </c>
    </row>
    <row r="708" spans="1:21" x14ac:dyDescent="0.25">
      <c r="A708">
        <v>5</v>
      </c>
      <c r="B708">
        <v>500</v>
      </c>
      <c r="C708">
        <v>1</v>
      </c>
      <c r="D708">
        <v>9</v>
      </c>
      <c r="E708">
        <v>9</v>
      </c>
      <c r="F708" t="s">
        <v>17</v>
      </c>
      <c r="G708" t="s">
        <v>65</v>
      </c>
      <c r="H708" t="s">
        <v>66</v>
      </c>
      <c r="I708">
        <v>34.5</v>
      </c>
      <c r="J708">
        <v>10.981691073340778</v>
      </c>
      <c r="K708">
        <v>7</v>
      </c>
      <c r="L708">
        <v>10</v>
      </c>
      <c r="N708" t="s">
        <v>20</v>
      </c>
      <c r="O708" t="s">
        <v>16</v>
      </c>
      <c r="P708" t="s">
        <v>303</v>
      </c>
      <c r="Q708">
        <v>10</v>
      </c>
      <c r="R708">
        <v>10</v>
      </c>
      <c r="S708">
        <v>5</v>
      </c>
      <c r="T708" t="s">
        <v>271</v>
      </c>
      <c r="U708">
        <v>5.7345758878432622E-2</v>
      </c>
    </row>
    <row r="709" spans="1:21" x14ac:dyDescent="0.25">
      <c r="A709">
        <v>6</v>
      </c>
      <c r="B709">
        <v>100</v>
      </c>
      <c r="C709">
        <v>2</v>
      </c>
      <c r="D709">
        <v>9</v>
      </c>
      <c r="E709">
        <v>9</v>
      </c>
      <c r="F709" t="s">
        <v>17</v>
      </c>
      <c r="G709" t="s">
        <v>65</v>
      </c>
      <c r="H709" t="s">
        <v>66</v>
      </c>
      <c r="I709">
        <v>23</v>
      </c>
      <c r="J709">
        <v>7.3211273822271856</v>
      </c>
      <c r="K709">
        <v>7</v>
      </c>
      <c r="L709">
        <v>9</v>
      </c>
      <c r="N709" t="s">
        <v>20</v>
      </c>
      <c r="O709" t="s">
        <v>16</v>
      </c>
      <c r="P709" t="s">
        <v>303</v>
      </c>
      <c r="Q709">
        <v>10</v>
      </c>
      <c r="R709">
        <v>5</v>
      </c>
    </row>
    <row r="710" spans="1:21" x14ac:dyDescent="0.25">
      <c r="A710">
        <v>6</v>
      </c>
      <c r="B710">
        <v>100</v>
      </c>
      <c r="C710">
        <v>2</v>
      </c>
      <c r="D710">
        <v>11</v>
      </c>
      <c r="E710">
        <v>11</v>
      </c>
      <c r="F710" t="s">
        <v>17</v>
      </c>
      <c r="G710" t="s">
        <v>65</v>
      </c>
      <c r="H710" t="s">
        <v>66</v>
      </c>
      <c r="I710">
        <v>17</v>
      </c>
      <c r="J710">
        <v>5.4112680651244416</v>
      </c>
      <c r="K710">
        <v>7</v>
      </c>
      <c r="L710">
        <v>9</v>
      </c>
      <c r="N710" t="s">
        <v>20</v>
      </c>
      <c r="O710" t="s">
        <v>16</v>
      </c>
      <c r="P710" t="s">
        <v>303</v>
      </c>
      <c r="Q710">
        <v>10</v>
      </c>
      <c r="R710">
        <v>5</v>
      </c>
    </row>
    <row r="711" spans="1:21" x14ac:dyDescent="0.25">
      <c r="A711">
        <v>10</v>
      </c>
      <c r="B711">
        <v>5</v>
      </c>
      <c r="D711">
        <v>11</v>
      </c>
      <c r="E711">
        <v>11</v>
      </c>
      <c r="F711" t="s">
        <v>13</v>
      </c>
      <c r="G711" t="s">
        <v>14</v>
      </c>
      <c r="H711" t="s">
        <v>15</v>
      </c>
      <c r="L711">
        <v>0.1</v>
      </c>
      <c r="M711" t="e">
        <v>#REF!</v>
      </c>
      <c r="O711" t="s">
        <v>16</v>
      </c>
      <c r="P711" t="s">
        <v>303</v>
      </c>
      <c r="Q711">
        <v>2.5</v>
      </c>
      <c r="R711">
        <v>5</v>
      </c>
    </row>
    <row r="712" spans="1:21" x14ac:dyDescent="0.25">
      <c r="A712">
        <v>1</v>
      </c>
      <c r="B712">
        <v>100</v>
      </c>
      <c r="C712">
        <v>3</v>
      </c>
      <c r="D712">
        <v>13</v>
      </c>
      <c r="E712">
        <v>13</v>
      </c>
      <c r="F712" t="s">
        <v>17</v>
      </c>
      <c r="G712" t="s">
        <v>65</v>
      </c>
      <c r="H712" t="s">
        <v>66</v>
      </c>
      <c r="I712">
        <v>22</v>
      </c>
      <c r="J712">
        <v>7.0028174960433951</v>
      </c>
      <c r="K712">
        <v>9</v>
      </c>
      <c r="L712">
        <v>12</v>
      </c>
      <c r="N712" t="s">
        <v>20</v>
      </c>
      <c r="O712" t="s">
        <v>16</v>
      </c>
      <c r="P712" t="s">
        <v>303</v>
      </c>
      <c r="Q712">
        <v>12.5</v>
      </c>
      <c r="R712">
        <v>5</v>
      </c>
    </row>
    <row r="713" spans="1:21" x14ac:dyDescent="0.25">
      <c r="A713">
        <v>6</v>
      </c>
      <c r="B713">
        <v>100</v>
      </c>
      <c r="C713">
        <v>2</v>
      </c>
      <c r="D713">
        <v>13</v>
      </c>
      <c r="E713">
        <v>13</v>
      </c>
      <c r="F713" t="s">
        <v>17</v>
      </c>
      <c r="G713" t="s">
        <v>65</v>
      </c>
      <c r="H713" t="s">
        <v>66</v>
      </c>
      <c r="I713">
        <v>21</v>
      </c>
      <c r="J713">
        <v>6.6845076098596046</v>
      </c>
      <c r="K713">
        <v>7</v>
      </c>
      <c r="L713">
        <v>10</v>
      </c>
      <c r="N713" t="s">
        <v>20</v>
      </c>
      <c r="O713" t="s">
        <v>16</v>
      </c>
      <c r="P713" t="s">
        <v>303</v>
      </c>
      <c r="Q713">
        <v>10</v>
      </c>
      <c r="R713">
        <v>5</v>
      </c>
    </row>
    <row r="714" spans="1:21" x14ac:dyDescent="0.25">
      <c r="A714">
        <v>5</v>
      </c>
      <c r="B714">
        <v>500</v>
      </c>
      <c r="C714">
        <v>1</v>
      </c>
      <c r="D714">
        <v>14</v>
      </c>
      <c r="E714">
        <v>15</v>
      </c>
      <c r="F714" t="s">
        <v>17</v>
      </c>
      <c r="G714" t="s">
        <v>65</v>
      </c>
      <c r="H714" t="s">
        <v>66</v>
      </c>
      <c r="I714">
        <v>33.5</v>
      </c>
      <c r="J714">
        <v>10.663381187156988</v>
      </c>
      <c r="K714">
        <v>7</v>
      </c>
      <c r="L714">
        <v>11</v>
      </c>
      <c r="N714" t="s">
        <v>20</v>
      </c>
      <c r="O714" t="s">
        <v>16</v>
      </c>
      <c r="P714" t="s">
        <v>303</v>
      </c>
      <c r="Q714">
        <v>10</v>
      </c>
      <c r="R714">
        <v>10</v>
      </c>
      <c r="S714">
        <v>5</v>
      </c>
      <c r="T714" t="s">
        <v>271</v>
      </c>
      <c r="U714">
        <v>5.9513804408211086E-2</v>
      </c>
    </row>
    <row r="715" spans="1:21" x14ac:dyDescent="0.25">
      <c r="A715">
        <v>10</v>
      </c>
      <c r="B715">
        <v>5</v>
      </c>
      <c r="D715">
        <v>12</v>
      </c>
      <c r="E715">
        <v>12</v>
      </c>
      <c r="F715" t="s">
        <v>13</v>
      </c>
      <c r="G715" t="s">
        <v>14</v>
      </c>
      <c r="H715" t="s">
        <v>15</v>
      </c>
      <c r="L715">
        <v>0.1</v>
      </c>
      <c r="M715" t="e">
        <v>#REF!</v>
      </c>
      <c r="O715" t="s">
        <v>16</v>
      </c>
      <c r="P715" t="s">
        <v>303</v>
      </c>
      <c r="Q715">
        <v>2.5</v>
      </c>
      <c r="R715">
        <v>5</v>
      </c>
    </row>
    <row r="716" spans="1:21" x14ac:dyDescent="0.25">
      <c r="A716">
        <v>3</v>
      </c>
      <c r="B716">
        <v>500</v>
      </c>
      <c r="C716">
        <v>2</v>
      </c>
      <c r="D716">
        <v>17</v>
      </c>
      <c r="E716">
        <v>17</v>
      </c>
      <c r="F716" t="s">
        <v>17</v>
      </c>
      <c r="G716" t="s">
        <v>65</v>
      </c>
      <c r="H716" t="s">
        <v>66</v>
      </c>
      <c r="I716">
        <v>55.5</v>
      </c>
      <c r="J716">
        <v>17.666198683200381</v>
      </c>
      <c r="K716">
        <v>8</v>
      </c>
      <c r="L716">
        <v>14</v>
      </c>
      <c r="N716" t="s">
        <v>20</v>
      </c>
      <c r="O716" t="s">
        <v>16</v>
      </c>
      <c r="P716" t="s">
        <v>303</v>
      </c>
      <c r="Q716">
        <v>15</v>
      </c>
      <c r="R716">
        <v>20</v>
      </c>
      <c r="S716">
        <v>5</v>
      </c>
      <c r="T716" t="s">
        <v>271</v>
      </c>
      <c r="U716">
        <v>0.19154209485507201</v>
      </c>
    </row>
    <row r="717" spans="1:21" x14ac:dyDescent="0.25">
      <c r="A717">
        <v>10</v>
      </c>
      <c r="B717">
        <v>5</v>
      </c>
      <c r="D717">
        <v>13</v>
      </c>
      <c r="E717">
        <v>13</v>
      </c>
      <c r="F717" t="s">
        <v>13</v>
      </c>
      <c r="G717" t="s">
        <v>14</v>
      </c>
      <c r="H717" t="s">
        <v>15</v>
      </c>
      <c r="L717">
        <v>0.2</v>
      </c>
      <c r="M717" t="e">
        <v>#REF!</v>
      </c>
      <c r="O717" t="s">
        <v>16</v>
      </c>
      <c r="P717" t="s">
        <v>303</v>
      </c>
      <c r="Q717">
        <v>2.5</v>
      </c>
      <c r="R717">
        <v>5</v>
      </c>
    </row>
    <row r="718" spans="1:21" x14ac:dyDescent="0.25">
      <c r="A718">
        <v>4</v>
      </c>
      <c r="B718">
        <v>100</v>
      </c>
      <c r="C718">
        <v>3</v>
      </c>
      <c r="D718">
        <v>17</v>
      </c>
      <c r="E718">
        <v>18</v>
      </c>
      <c r="F718" t="s">
        <v>17</v>
      </c>
      <c r="G718" t="s">
        <v>65</v>
      </c>
      <c r="H718" t="s">
        <v>66</v>
      </c>
      <c r="I718">
        <v>19</v>
      </c>
      <c r="J718">
        <v>6.0478878374920226</v>
      </c>
      <c r="K718">
        <v>10</v>
      </c>
      <c r="L718">
        <v>12</v>
      </c>
      <c r="N718" t="s">
        <v>20</v>
      </c>
      <c r="O718" t="s">
        <v>16</v>
      </c>
      <c r="P718" t="s">
        <v>303</v>
      </c>
      <c r="Q718">
        <v>12.5</v>
      </c>
      <c r="R718">
        <v>5</v>
      </c>
    </row>
    <row r="719" spans="1:21" x14ac:dyDescent="0.25">
      <c r="A719">
        <v>11</v>
      </c>
      <c r="B719">
        <v>100</v>
      </c>
      <c r="C719">
        <v>2</v>
      </c>
      <c r="D719">
        <v>19</v>
      </c>
      <c r="E719">
        <v>19</v>
      </c>
      <c r="F719" t="s">
        <v>17</v>
      </c>
      <c r="G719" t="s">
        <v>65</v>
      </c>
      <c r="H719" t="s">
        <v>66</v>
      </c>
      <c r="I719">
        <v>21</v>
      </c>
      <c r="J719">
        <v>6.6845076098596046</v>
      </c>
      <c r="K719">
        <v>7</v>
      </c>
      <c r="L719">
        <v>9</v>
      </c>
      <c r="N719" t="s">
        <v>20</v>
      </c>
      <c r="O719" t="s">
        <v>16</v>
      </c>
      <c r="P719" t="s">
        <v>303</v>
      </c>
      <c r="Q719">
        <v>10</v>
      </c>
      <c r="R719">
        <v>5</v>
      </c>
    </row>
    <row r="720" spans="1:21" x14ac:dyDescent="0.25">
      <c r="A720">
        <v>4</v>
      </c>
      <c r="B720">
        <v>100</v>
      </c>
      <c r="C720">
        <v>3</v>
      </c>
      <c r="D720">
        <v>19</v>
      </c>
      <c r="E720">
        <v>20</v>
      </c>
      <c r="F720" t="s">
        <v>17</v>
      </c>
      <c r="G720" t="s">
        <v>65</v>
      </c>
      <c r="H720" t="s">
        <v>66</v>
      </c>
      <c r="I720">
        <v>19.5</v>
      </c>
      <c r="J720">
        <v>6.2070427805839179</v>
      </c>
      <c r="K720">
        <v>6</v>
      </c>
      <c r="L720">
        <v>10</v>
      </c>
      <c r="N720" t="s">
        <v>20</v>
      </c>
      <c r="O720" t="s">
        <v>16</v>
      </c>
      <c r="P720" t="s">
        <v>303</v>
      </c>
      <c r="Q720">
        <v>10</v>
      </c>
      <c r="R720">
        <v>5</v>
      </c>
    </row>
    <row r="721" spans="1:21" x14ac:dyDescent="0.25">
      <c r="A721">
        <v>4</v>
      </c>
      <c r="B721">
        <v>100</v>
      </c>
      <c r="C721">
        <v>3</v>
      </c>
      <c r="D721">
        <v>20</v>
      </c>
      <c r="E721">
        <v>21</v>
      </c>
      <c r="F721" t="s">
        <v>17</v>
      </c>
      <c r="G721" t="s">
        <v>65</v>
      </c>
      <c r="H721" t="s">
        <v>66</v>
      </c>
      <c r="I721">
        <v>19</v>
      </c>
      <c r="J721">
        <v>6.0478878374920226</v>
      </c>
      <c r="K721">
        <v>7</v>
      </c>
      <c r="L721">
        <v>9</v>
      </c>
      <c r="N721" t="s">
        <v>20</v>
      </c>
      <c r="O721" t="s">
        <v>16</v>
      </c>
      <c r="P721" t="s">
        <v>303</v>
      </c>
      <c r="Q721">
        <v>10</v>
      </c>
      <c r="R721">
        <v>5</v>
      </c>
    </row>
    <row r="722" spans="1:21" x14ac:dyDescent="0.25">
      <c r="A722">
        <v>5</v>
      </c>
      <c r="B722">
        <v>100</v>
      </c>
      <c r="C722">
        <v>3</v>
      </c>
      <c r="D722">
        <v>20</v>
      </c>
      <c r="E722">
        <v>21</v>
      </c>
      <c r="F722" t="s">
        <v>17</v>
      </c>
      <c r="G722" t="s">
        <v>65</v>
      </c>
      <c r="H722" t="s">
        <v>66</v>
      </c>
      <c r="I722">
        <v>16.5</v>
      </c>
      <c r="J722">
        <v>5.2521131220325463</v>
      </c>
      <c r="K722">
        <v>6</v>
      </c>
      <c r="L722">
        <v>8</v>
      </c>
      <c r="N722" t="s">
        <v>20</v>
      </c>
      <c r="O722" t="s">
        <v>16</v>
      </c>
      <c r="P722" t="s">
        <v>303</v>
      </c>
      <c r="Q722">
        <v>7.5</v>
      </c>
      <c r="R722">
        <v>5</v>
      </c>
    </row>
    <row r="723" spans="1:21" x14ac:dyDescent="0.25">
      <c r="A723">
        <v>10</v>
      </c>
      <c r="B723">
        <v>5</v>
      </c>
      <c r="D723">
        <v>14</v>
      </c>
      <c r="E723">
        <v>14</v>
      </c>
      <c r="F723" t="s">
        <v>13</v>
      </c>
      <c r="G723" t="s">
        <v>14</v>
      </c>
      <c r="H723" t="s">
        <v>15</v>
      </c>
      <c r="L723">
        <v>0.12</v>
      </c>
      <c r="M723" t="e">
        <v>#REF!</v>
      </c>
      <c r="O723" t="s">
        <v>16</v>
      </c>
      <c r="P723" t="s">
        <v>303</v>
      </c>
      <c r="Q723">
        <v>2.5</v>
      </c>
      <c r="R723">
        <v>5</v>
      </c>
    </row>
    <row r="724" spans="1:21" x14ac:dyDescent="0.25">
      <c r="A724">
        <v>10</v>
      </c>
      <c r="B724">
        <v>5</v>
      </c>
      <c r="D724">
        <v>15</v>
      </c>
      <c r="E724">
        <v>15</v>
      </c>
      <c r="F724" t="s">
        <v>62</v>
      </c>
      <c r="G724" t="s">
        <v>63</v>
      </c>
      <c r="H724" t="s">
        <v>64</v>
      </c>
      <c r="L724">
        <v>0.6</v>
      </c>
      <c r="M724" t="e">
        <v>#REF!</v>
      </c>
      <c r="O724" t="s">
        <v>16</v>
      </c>
      <c r="P724" t="s">
        <v>303</v>
      </c>
      <c r="Q724">
        <v>2.5</v>
      </c>
      <c r="R724">
        <v>5</v>
      </c>
    </row>
    <row r="725" spans="1:21" x14ac:dyDescent="0.25">
      <c r="A725">
        <v>8</v>
      </c>
      <c r="B725">
        <v>500</v>
      </c>
      <c r="C725">
        <v>2</v>
      </c>
      <c r="D725">
        <v>22</v>
      </c>
      <c r="E725">
        <v>24</v>
      </c>
      <c r="F725" t="s">
        <v>17</v>
      </c>
      <c r="G725" t="s">
        <v>65</v>
      </c>
      <c r="H725" t="s">
        <v>66</v>
      </c>
      <c r="I725">
        <v>39</v>
      </c>
      <c r="J725">
        <v>12.414085561167836</v>
      </c>
      <c r="K725">
        <v>10</v>
      </c>
      <c r="L725">
        <v>14</v>
      </c>
      <c r="N725" t="s">
        <v>20</v>
      </c>
      <c r="O725" t="s">
        <v>16</v>
      </c>
      <c r="P725" t="s">
        <v>303</v>
      </c>
      <c r="Q725">
        <v>15</v>
      </c>
      <c r="R725">
        <v>10</v>
      </c>
      <c r="S725">
        <v>5</v>
      </c>
      <c r="T725" t="s">
        <v>271</v>
      </c>
      <c r="U725">
        <v>9.951798984833457E-2</v>
      </c>
    </row>
    <row r="726" spans="1:21" x14ac:dyDescent="0.25">
      <c r="A726">
        <v>10</v>
      </c>
      <c r="B726">
        <v>100</v>
      </c>
      <c r="C726">
        <v>2</v>
      </c>
      <c r="D726">
        <v>24</v>
      </c>
      <c r="E726">
        <v>24</v>
      </c>
      <c r="F726" t="s">
        <v>17</v>
      </c>
      <c r="G726" t="s">
        <v>65</v>
      </c>
      <c r="H726" t="s">
        <v>66</v>
      </c>
      <c r="I726">
        <v>17</v>
      </c>
      <c r="J726">
        <v>5.4112680651244416</v>
      </c>
      <c r="K726">
        <v>6</v>
      </c>
      <c r="L726">
        <v>8</v>
      </c>
      <c r="N726" t="s">
        <v>20</v>
      </c>
      <c r="O726" t="s">
        <v>16</v>
      </c>
      <c r="P726" t="s">
        <v>303</v>
      </c>
      <c r="Q726">
        <v>7.5</v>
      </c>
      <c r="R726">
        <v>5</v>
      </c>
    </row>
    <row r="727" spans="1:21" x14ac:dyDescent="0.25">
      <c r="A727">
        <v>10</v>
      </c>
      <c r="B727">
        <v>100</v>
      </c>
      <c r="C727">
        <v>3</v>
      </c>
      <c r="D727">
        <v>28</v>
      </c>
      <c r="E727">
        <v>28</v>
      </c>
      <c r="F727" t="s">
        <v>17</v>
      </c>
      <c r="G727" t="s">
        <v>65</v>
      </c>
      <c r="H727" t="s">
        <v>66</v>
      </c>
      <c r="I727">
        <v>20.5</v>
      </c>
      <c r="J727">
        <v>6.5253526667677093</v>
      </c>
      <c r="K727">
        <v>7</v>
      </c>
      <c r="L727">
        <v>9</v>
      </c>
      <c r="N727" t="s">
        <v>20</v>
      </c>
      <c r="O727" t="s">
        <v>16</v>
      </c>
      <c r="P727" t="s">
        <v>303</v>
      </c>
      <c r="Q727">
        <v>10</v>
      </c>
      <c r="R727">
        <v>5</v>
      </c>
    </row>
    <row r="728" spans="1:21" x14ac:dyDescent="0.25">
      <c r="A728">
        <v>10</v>
      </c>
      <c r="B728">
        <v>100</v>
      </c>
      <c r="C728">
        <v>3</v>
      </c>
      <c r="D728">
        <v>30</v>
      </c>
      <c r="E728">
        <v>30</v>
      </c>
      <c r="F728" t="s">
        <v>17</v>
      </c>
      <c r="G728" t="s">
        <v>65</v>
      </c>
      <c r="H728" t="s">
        <v>66</v>
      </c>
      <c r="I728">
        <v>27.5</v>
      </c>
      <c r="J728">
        <v>8.753521870054243</v>
      </c>
      <c r="K728">
        <v>5</v>
      </c>
      <c r="L728">
        <v>10</v>
      </c>
      <c r="N728" t="s">
        <v>20</v>
      </c>
      <c r="O728" t="s">
        <v>16</v>
      </c>
      <c r="P728" t="s">
        <v>303</v>
      </c>
      <c r="Q728">
        <v>10</v>
      </c>
      <c r="R728">
        <v>10</v>
      </c>
    </row>
    <row r="729" spans="1:21" x14ac:dyDescent="0.25">
      <c r="A729">
        <v>10</v>
      </c>
      <c r="B729">
        <v>100</v>
      </c>
      <c r="C729">
        <v>3</v>
      </c>
      <c r="D729">
        <v>31</v>
      </c>
      <c r="E729">
        <v>31</v>
      </c>
      <c r="F729" t="s">
        <v>17</v>
      </c>
      <c r="G729" t="s">
        <v>65</v>
      </c>
      <c r="H729" t="s">
        <v>66</v>
      </c>
      <c r="I729">
        <v>20</v>
      </c>
      <c r="J729">
        <v>6.366197723675814</v>
      </c>
      <c r="K729">
        <v>6</v>
      </c>
      <c r="L729">
        <v>10</v>
      </c>
      <c r="N729" t="s">
        <v>20</v>
      </c>
      <c r="O729" t="s">
        <v>16</v>
      </c>
      <c r="P729" t="s">
        <v>303</v>
      </c>
      <c r="Q729">
        <v>10</v>
      </c>
      <c r="R729">
        <v>5</v>
      </c>
    </row>
    <row r="730" spans="1:21" x14ac:dyDescent="0.25">
      <c r="A730">
        <v>10</v>
      </c>
      <c r="B730">
        <v>100</v>
      </c>
      <c r="C730">
        <v>3</v>
      </c>
      <c r="D730">
        <v>34</v>
      </c>
      <c r="E730">
        <v>34</v>
      </c>
      <c r="F730" t="s">
        <v>17</v>
      </c>
      <c r="G730" t="s">
        <v>65</v>
      </c>
      <c r="H730" t="s">
        <v>66</v>
      </c>
      <c r="I730">
        <v>22.5</v>
      </c>
      <c r="J730">
        <v>7.1619724391352904</v>
      </c>
      <c r="K730">
        <v>7</v>
      </c>
      <c r="L730">
        <v>11</v>
      </c>
      <c r="N730" t="s">
        <v>20</v>
      </c>
      <c r="O730" t="s">
        <v>16</v>
      </c>
      <c r="P730" t="s">
        <v>303</v>
      </c>
      <c r="Q730">
        <v>10</v>
      </c>
      <c r="R730">
        <v>5</v>
      </c>
    </row>
    <row r="731" spans="1:21" x14ac:dyDescent="0.25">
      <c r="A731">
        <v>3</v>
      </c>
      <c r="B731">
        <v>500</v>
      </c>
      <c r="C731">
        <v>3</v>
      </c>
      <c r="D731">
        <v>33</v>
      </c>
      <c r="E731">
        <v>35</v>
      </c>
      <c r="F731" t="s">
        <v>17</v>
      </c>
      <c r="G731" t="s">
        <v>65</v>
      </c>
      <c r="H731" t="s">
        <v>66</v>
      </c>
      <c r="I731">
        <v>40.5</v>
      </c>
      <c r="J731">
        <v>12.891550390443523</v>
      </c>
      <c r="K731">
        <v>8</v>
      </c>
      <c r="L731">
        <v>13</v>
      </c>
      <c r="N731" t="s">
        <v>20</v>
      </c>
      <c r="O731" t="s">
        <v>16</v>
      </c>
      <c r="P731" t="s">
        <v>303</v>
      </c>
      <c r="Q731">
        <v>12.5</v>
      </c>
      <c r="R731">
        <v>15</v>
      </c>
      <c r="S731">
        <v>5</v>
      </c>
      <c r="T731" t="s">
        <v>271</v>
      </c>
      <c r="U731">
        <v>9.9392784896936592E-2</v>
      </c>
    </row>
    <row r="732" spans="1:21" x14ac:dyDescent="0.25">
      <c r="A732">
        <v>10</v>
      </c>
      <c r="B732">
        <v>100</v>
      </c>
      <c r="C732">
        <v>3</v>
      </c>
      <c r="D732">
        <v>35</v>
      </c>
      <c r="E732">
        <v>35</v>
      </c>
      <c r="F732" t="s">
        <v>17</v>
      </c>
      <c r="G732" t="s">
        <v>65</v>
      </c>
      <c r="H732" t="s">
        <v>66</v>
      </c>
      <c r="I732">
        <v>24.5</v>
      </c>
      <c r="J732">
        <v>7.7985922115028714</v>
      </c>
      <c r="K732">
        <v>7</v>
      </c>
      <c r="L732">
        <v>10</v>
      </c>
      <c r="N732" t="s">
        <v>20</v>
      </c>
      <c r="O732" t="s">
        <v>16</v>
      </c>
      <c r="P732" t="s">
        <v>303</v>
      </c>
      <c r="Q732">
        <v>10</v>
      </c>
      <c r="R732">
        <v>10</v>
      </c>
    </row>
    <row r="733" spans="1:21" x14ac:dyDescent="0.25">
      <c r="A733">
        <v>4</v>
      </c>
      <c r="B733">
        <v>500</v>
      </c>
      <c r="C733">
        <v>4</v>
      </c>
      <c r="D733">
        <v>49</v>
      </c>
      <c r="E733">
        <v>51</v>
      </c>
      <c r="F733" t="s">
        <v>17</v>
      </c>
      <c r="G733" t="s">
        <v>65</v>
      </c>
      <c r="H733" t="s">
        <v>66</v>
      </c>
      <c r="I733">
        <v>44.5</v>
      </c>
      <c r="J733">
        <v>14.164789935178685</v>
      </c>
      <c r="K733">
        <v>7</v>
      </c>
      <c r="L733">
        <v>14</v>
      </c>
      <c r="N733" t="s">
        <v>20</v>
      </c>
      <c r="O733" t="s">
        <v>16</v>
      </c>
      <c r="P733" t="s">
        <v>303</v>
      </c>
      <c r="Q733">
        <v>15</v>
      </c>
      <c r="R733">
        <v>15</v>
      </c>
      <c r="S733">
        <v>5</v>
      </c>
      <c r="T733" t="s">
        <v>271</v>
      </c>
      <c r="U733">
        <v>0.12712499118476892</v>
      </c>
    </row>
    <row r="734" spans="1:21" x14ac:dyDescent="0.25">
      <c r="A734">
        <v>8</v>
      </c>
      <c r="B734">
        <v>500</v>
      </c>
      <c r="C734">
        <v>4</v>
      </c>
      <c r="D734">
        <v>59</v>
      </c>
      <c r="E734">
        <v>66</v>
      </c>
      <c r="F734" t="s">
        <v>17</v>
      </c>
      <c r="G734" t="s">
        <v>65</v>
      </c>
      <c r="H734" t="s">
        <v>66</v>
      </c>
      <c r="I734">
        <v>32</v>
      </c>
      <c r="J734">
        <v>10.185916357881302</v>
      </c>
      <c r="K734">
        <v>9</v>
      </c>
      <c r="L734">
        <v>13</v>
      </c>
      <c r="N734" t="s">
        <v>20</v>
      </c>
      <c r="O734" t="s">
        <v>16</v>
      </c>
      <c r="P734" t="s">
        <v>303</v>
      </c>
      <c r="Q734">
        <v>12.5</v>
      </c>
      <c r="R734">
        <v>10</v>
      </c>
      <c r="S734">
        <v>5</v>
      </c>
      <c r="T734" t="s">
        <v>271</v>
      </c>
      <c r="U734">
        <v>6.4194262038205441E-2</v>
      </c>
    </row>
    <row r="735" spans="1:21" x14ac:dyDescent="0.25">
      <c r="A735">
        <v>9</v>
      </c>
      <c r="B735">
        <v>500</v>
      </c>
      <c r="C735">
        <v>1</v>
      </c>
      <c r="D735">
        <v>1</v>
      </c>
      <c r="E735">
        <v>1</v>
      </c>
      <c r="F735" t="s">
        <v>108</v>
      </c>
      <c r="G735" t="s">
        <v>111</v>
      </c>
      <c r="H735" t="s">
        <v>112</v>
      </c>
      <c r="I735">
        <v>33</v>
      </c>
      <c r="J735">
        <v>10.504226244065093</v>
      </c>
      <c r="K735">
        <v>7</v>
      </c>
      <c r="L735">
        <v>11</v>
      </c>
      <c r="N735" t="s">
        <v>20</v>
      </c>
      <c r="O735" t="s">
        <v>16</v>
      </c>
      <c r="P735" t="s">
        <v>303</v>
      </c>
      <c r="Q735">
        <v>10</v>
      </c>
      <c r="R735">
        <v>10</v>
      </c>
      <c r="S735">
        <v>11</v>
      </c>
      <c r="T735" t="s">
        <v>274</v>
      </c>
      <c r="U735">
        <v>6.0274885532040856E-2</v>
      </c>
    </row>
    <row r="736" spans="1:21" x14ac:dyDescent="0.25">
      <c r="A736">
        <v>10</v>
      </c>
      <c r="B736">
        <v>5</v>
      </c>
      <c r="D736">
        <v>16</v>
      </c>
      <c r="E736">
        <v>16</v>
      </c>
      <c r="F736" t="s">
        <v>168</v>
      </c>
      <c r="G736" t="s">
        <v>169</v>
      </c>
      <c r="H736" t="s">
        <v>170</v>
      </c>
      <c r="L736">
        <v>1.8</v>
      </c>
      <c r="M736" t="e">
        <v>#REF!</v>
      </c>
      <c r="O736" t="s">
        <v>16</v>
      </c>
      <c r="P736" t="s">
        <v>303</v>
      </c>
      <c r="Q736">
        <v>2.5</v>
      </c>
      <c r="R736">
        <v>5</v>
      </c>
    </row>
    <row r="737" spans="1:21" x14ac:dyDescent="0.25">
      <c r="A737">
        <v>3</v>
      </c>
      <c r="B737">
        <v>500</v>
      </c>
      <c r="C737">
        <v>1</v>
      </c>
      <c r="D737">
        <v>3</v>
      </c>
      <c r="E737">
        <v>3</v>
      </c>
      <c r="F737" t="s">
        <v>108</v>
      </c>
      <c r="G737" t="s">
        <v>111</v>
      </c>
      <c r="H737" t="s">
        <v>112</v>
      </c>
      <c r="I737">
        <v>36</v>
      </c>
      <c r="J737">
        <v>11.459155902616464</v>
      </c>
      <c r="K737">
        <v>3.5</v>
      </c>
      <c r="L737">
        <v>8</v>
      </c>
      <c r="N737" t="s">
        <v>20</v>
      </c>
      <c r="O737" t="s">
        <v>16</v>
      </c>
      <c r="P737" t="s">
        <v>303</v>
      </c>
      <c r="Q737">
        <v>7.5</v>
      </c>
      <c r="R737">
        <v>10</v>
      </c>
      <c r="S737">
        <v>11</v>
      </c>
      <c r="T737" t="s">
        <v>274</v>
      </c>
      <c r="U737">
        <v>5.0571720759831372E-2</v>
      </c>
    </row>
    <row r="738" spans="1:21" x14ac:dyDescent="0.25">
      <c r="A738">
        <v>7</v>
      </c>
      <c r="B738">
        <v>500</v>
      </c>
      <c r="C738">
        <v>4</v>
      </c>
      <c r="D738">
        <v>45</v>
      </c>
      <c r="E738">
        <v>48</v>
      </c>
      <c r="F738" t="s">
        <v>108</v>
      </c>
      <c r="G738" t="s">
        <v>111</v>
      </c>
      <c r="H738" t="s">
        <v>112</v>
      </c>
      <c r="I738">
        <v>40</v>
      </c>
      <c r="J738">
        <v>12.732395447351628</v>
      </c>
      <c r="K738">
        <v>3</v>
      </c>
      <c r="L738">
        <v>9</v>
      </c>
      <c r="N738" t="s">
        <v>20</v>
      </c>
      <c r="O738" t="s">
        <v>16</v>
      </c>
      <c r="P738" t="s">
        <v>303</v>
      </c>
      <c r="Q738">
        <v>10</v>
      </c>
      <c r="R738">
        <v>15</v>
      </c>
      <c r="S738">
        <v>11</v>
      </c>
      <c r="T738" t="s">
        <v>274</v>
      </c>
      <c r="U738">
        <v>7.0207415625856279E-2</v>
      </c>
    </row>
    <row r="739" spans="1:21" x14ac:dyDescent="0.25">
      <c r="A739">
        <v>2</v>
      </c>
      <c r="B739">
        <v>500</v>
      </c>
      <c r="C739">
        <v>3</v>
      </c>
      <c r="D739">
        <v>47</v>
      </c>
      <c r="E739">
        <v>51</v>
      </c>
      <c r="F739" t="s">
        <v>108</v>
      </c>
      <c r="G739" t="s">
        <v>111</v>
      </c>
      <c r="H739" t="s">
        <v>112</v>
      </c>
      <c r="I739">
        <v>72</v>
      </c>
      <c r="J739">
        <v>22.918311805232928</v>
      </c>
      <c r="K739">
        <v>5</v>
      </c>
      <c r="L739">
        <v>12</v>
      </c>
      <c r="N739" t="s">
        <v>20</v>
      </c>
      <c r="O739" t="s">
        <v>16</v>
      </c>
      <c r="P739" t="s">
        <v>303</v>
      </c>
      <c r="Q739">
        <v>12.5</v>
      </c>
      <c r="R739">
        <v>25</v>
      </c>
      <c r="S739">
        <v>11</v>
      </c>
      <c r="T739" t="s">
        <v>274</v>
      </c>
      <c r="U739">
        <v>0.2943991927644426</v>
      </c>
    </row>
    <row r="740" spans="1:21" x14ac:dyDescent="0.25">
      <c r="A740">
        <v>5</v>
      </c>
      <c r="B740">
        <v>100</v>
      </c>
      <c r="C740">
        <v>1</v>
      </c>
      <c r="D740">
        <v>4</v>
      </c>
      <c r="E740">
        <v>5</v>
      </c>
      <c r="F740" t="s">
        <v>17</v>
      </c>
      <c r="G740" t="s">
        <v>150</v>
      </c>
      <c r="H740" t="s">
        <v>151</v>
      </c>
      <c r="I740">
        <v>18</v>
      </c>
      <c r="J740">
        <v>5.7295779513082321</v>
      </c>
      <c r="K740">
        <v>6</v>
      </c>
      <c r="L740">
        <v>9</v>
      </c>
      <c r="N740" t="s">
        <v>20</v>
      </c>
      <c r="O740" t="s">
        <v>16</v>
      </c>
      <c r="P740" t="s">
        <v>303</v>
      </c>
      <c r="Q740">
        <v>10</v>
      </c>
      <c r="R740">
        <v>5</v>
      </c>
    </row>
    <row r="741" spans="1:21" x14ac:dyDescent="0.25">
      <c r="A741">
        <v>10</v>
      </c>
      <c r="B741">
        <v>5</v>
      </c>
      <c r="D741">
        <v>17</v>
      </c>
      <c r="E741">
        <v>17</v>
      </c>
      <c r="F741" t="s">
        <v>218</v>
      </c>
      <c r="G741" t="s">
        <v>219</v>
      </c>
      <c r="H741" t="s">
        <v>220</v>
      </c>
      <c r="L741">
        <v>0.6</v>
      </c>
      <c r="M741" t="e">
        <v>#REF!</v>
      </c>
      <c r="O741" t="s">
        <v>16</v>
      </c>
      <c r="P741" t="s">
        <v>303</v>
      </c>
      <c r="Q741">
        <v>2.5</v>
      </c>
      <c r="R741">
        <v>5</v>
      </c>
    </row>
    <row r="742" spans="1:21" x14ac:dyDescent="0.25">
      <c r="A742">
        <v>4</v>
      </c>
      <c r="B742">
        <v>100</v>
      </c>
      <c r="C742">
        <v>2</v>
      </c>
      <c r="D742">
        <v>8</v>
      </c>
      <c r="E742">
        <v>9</v>
      </c>
      <c r="F742" t="s">
        <v>17</v>
      </c>
      <c r="G742" t="s">
        <v>150</v>
      </c>
      <c r="H742" t="s">
        <v>151</v>
      </c>
      <c r="I742">
        <v>18.5</v>
      </c>
      <c r="J742">
        <v>5.8887328944001274</v>
      </c>
      <c r="K742">
        <v>5</v>
      </c>
      <c r="L742">
        <v>8</v>
      </c>
      <c r="N742" t="s">
        <v>20</v>
      </c>
      <c r="O742" t="s">
        <v>16</v>
      </c>
      <c r="P742" t="s">
        <v>303</v>
      </c>
      <c r="Q742">
        <v>7.5</v>
      </c>
      <c r="R742">
        <v>5</v>
      </c>
    </row>
    <row r="743" spans="1:21" x14ac:dyDescent="0.25">
      <c r="A743">
        <v>5</v>
      </c>
      <c r="B743">
        <v>100</v>
      </c>
      <c r="C743">
        <v>1</v>
      </c>
      <c r="D743">
        <v>9</v>
      </c>
      <c r="E743">
        <v>10</v>
      </c>
      <c r="F743" t="s">
        <v>17</v>
      </c>
      <c r="G743" t="s">
        <v>150</v>
      </c>
      <c r="H743" t="s">
        <v>151</v>
      </c>
      <c r="I743">
        <v>16</v>
      </c>
      <c r="J743">
        <v>5.0929581789406511</v>
      </c>
      <c r="K743">
        <v>6</v>
      </c>
      <c r="L743">
        <v>8</v>
      </c>
      <c r="N743" t="s">
        <v>20</v>
      </c>
      <c r="O743" t="s">
        <v>16</v>
      </c>
      <c r="P743" t="s">
        <v>303</v>
      </c>
      <c r="Q743">
        <v>7.5</v>
      </c>
      <c r="R743">
        <v>5</v>
      </c>
    </row>
    <row r="744" spans="1:21" x14ac:dyDescent="0.25">
      <c r="A744">
        <v>4</v>
      </c>
      <c r="B744">
        <v>100</v>
      </c>
      <c r="C744">
        <v>2</v>
      </c>
      <c r="D744">
        <v>11</v>
      </c>
      <c r="E744">
        <v>12</v>
      </c>
      <c r="F744" t="s">
        <v>17</v>
      </c>
      <c r="G744" t="s">
        <v>150</v>
      </c>
      <c r="H744" t="s">
        <v>151</v>
      </c>
      <c r="I744">
        <v>27.5</v>
      </c>
      <c r="J744">
        <v>8.753521870054243</v>
      </c>
      <c r="K744">
        <v>8</v>
      </c>
      <c r="L744">
        <v>12</v>
      </c>
      <c r="N744" t="s">
        <v>20</v>
      </c>
      <c r="O744" t="s">
        <v>16</v>
      </c>
      <c r="P744" t="s">
        <v>303</v>
      </c>
      <c r="Q744">
        <v>12.5</v>
      </c>
      <c r="R744">
        <v>10</v>
      </c>
    </row>
    <row r="745" spans="1:21" x14ac:dyDescent="0.25">
      <c r="A745">
        <v>4</v>
      </c>
      <c r="B745">
        <v>100</v>
      </c>
      <c r="C745">
        <v>2</v>
      </c>
      <c r="D745">
        <v>12</v>
      </c>
      <c r="E745">
        <v>13</v>
      </c>
      <c r="F745" t="s">
        <v>17</v>
      </c>
      <c r="G745" t="s">
        <v>150</v>
      </c>
      <c r="H745" t="s">
        <v>151</v>
      </c>
      <c r="I745">
        <v>18.5</v>
      </c>
      <c r="J745">
        <v>5.8887328944001274</v>
      </c>
      <c r="K745">
        <v>8</v>
      </c>
      <c r="L745">
        <v>10</v>
      </c>
      <c r="N745" t="s">
        <v>20</v>
      </c>
      <c r="O745" t="s">
        <v>16</v>
      </c>
      <c r="P745" t="s">
        <v>303</v>
      </c>
      <c r="Q745">
        <v>10</v>
      </c>
      <c r="R745">
        <v>5</v>
      </c>
    </row>
    <row r="746" spans="1:21" x14ac:dyDescent="0.25">
      <c r="A746">
        <v>4</v>
      </c>
      <c r="B746">
        <v>100</v>
      </c>
      <c r="C746">
        <v>2</v>
      </c>
      <c r="D746">
        <v>13</v>
      </c>
      <c r="E746">
        <v>14</v>
      </c>
      <c r="F746" t="s">
        <v>17</v>
      </c>
      <c r="G746" t="s">
        <v>150</v>
      </c>
      <c r="H746" t="s">
        <v>151</v>
      </c>
      <c r="I746">
        <v>17</v>
      </c>
      <c r="J746">
        <v>5.4112680651244416</v>
      </c>
      <c r="K746">
        <v>1.3</v>
      </c>
      <c r="L746">
        <v>6</v>
      </c>
      <c r="N746" t="s">
        <v>20</v>
      </c>
      <c r="O746" t="s">
        <v>16</v>
      </c>
      <c r="P746" t="s">
        <v>303</v>
      </c>
      <c r="Q746">
        <v>5</v>
      </c>
      <c r="R746">
        <v>5</v>
      </c>
    </row>
    <row r="747" spans="1:21" x14ac:dyDescent="0.25">
      <c r="A747">
        <v>5</v>
      </c>
      <c r="B747">
        <v>100</v>
      </c>
      <c r="C747">
        <v>2</v>
      </c>
      <c r="D747">
        <v>14</v>
      </c>
      <c r="E747">
        <v>15</v>
      </c>
      <c r="F747" t="s">
        <v>17</v>
      </c>
      <c r="G747" t="s">
        <v>150</v>
      </c>
      <c r="H747" t="s">
        <v>151</v>
      </c>
      <c r="I747">
        <v>27</v>
      </c>
      <c r="J747">
        <v>8.5943669269623477</v>
      </c>
      <c r="K747">
        <v>9</v>
      </c>
      <c r="L747">
        <v>12</v>
      </c>
      <c r="N747" t="s">
        <v>20</v>
      </c>
      <c r="O747" t="s">
        <v>16</v>
      </c>
      <c r="P747" t="s">
        <v>303</v>
      </c>
      <c r="Q747">
        <v>12.5</v>
      </c>
      <c r="R747">
        <v>10</v>
      </c>
    </row>
    <row r="748" spans="1:21" x14ac:dyDescent="0.25">
      <c r="A748">
        <v>5</v>
      </c>
      <c r="B748">
        <v>100</v>
      </c>
      <c r="C748">
        <v>2</v>
      </c>
      <c r="D748">
        <v>15</v>
      </c>
      <c r="E748">
        <v>16</v>
      </c>
      <c r="F748" t="s">
        <v>17</v>
      </c>
      <c r="G748" t="s">
        <v>150</v>
      </c>
      <c r="H748" t="s">
        <v>151</v>
      </c>
      <c r="I748">
        <v>16.5</v>
      </c>
      <c r="J748">
        <v>5.2521131220325463</v>
      </c>
      <c r="K748">
        <v>6</v>
      </c>
      <c r="L748">
        <v>8</v>
      </c>
      <c r="N748" t="s">
        <v>20</v>
      </c>
      <c r="O748" t="s">
        <v>16</v>
      </c>
      <c r="P748" t="s">
        <v>303</v>
      </c>
      <c r="Q748">
        <v>7.5</v>
      </c>
      <c r="R748">
        <v>5</v>
      </c>
    </row>
    <row r="749" spans="1:21" x14ac:dyDescent="0.25">
      <c r="A749">
        <v>4</v>
      </c>
      <c r="B749">
        <v>100</v>
      </c>
      <c r="C749">
        <v>2</v>
      </c>
      <c r="D749">
        <v>16</v>
      </c>
      <c r="E749">
        <v>17</v>
      </c>
      <c r="F749" t="s">
        <v>17</v>
      </c>
      <c r="G749" t="s">
        <v>150</v>
      </c>
      <c r="H749" t="s">
        <v>151</v>
      </c>
      <c r="I749">
        <v>17</v>
      </c>
      <c r="J749">
        <v>5.4112680651244416</v>
      </c>
      <c r="K749">
        <v>3</v>
      </c>
      <c r="L749">
        <v>9</v>
      </c>
      <c r="N749" t="s">
        <v>20</v>
      </c>
      <c r="O749" t="s">
        <v>16</v>
      </c>
      <c r="P749" t="s">
        <v>303</v>
      </c>
      <c r="Q749">
        <v>10</v>
      </c>
      <c r="R749">
        <v>5</v>
      </c>
    </row>
    <row r="750" spans="1:21" x14ac:dyDescent="0.25">
      <c r="A750">
        <v>11</v>
      </c>
      <c r="B750">
        <v>500</v>
      </c>
      <c r="C750">
        <v>4</v>
      </c>
      <c r="D750">
        <v>18</v>
      </c>
      <c r="E750">
        <v>19</v>
      </c>
      <c r="F750" t="s">
        <v>17</v>
      </c>
      <c r="G750" t="s">
        <v>150</v>
      </c>
      <c r="H750" t="s">
        <v>151</v>
      </c>
      <c r="I750">
        <v>36.5</v>
      </c>
      <c r="J750">
        <v>11.618310845708359</v>
      </c>
      <c r="K750">
        <v>9</v>
      </c>
      <c r="L750">
        <v>12</v>
      </c>
      <c r="N750" t="s">
        <v>20</v>
      </c>
      <c r="O750" t="s">
        <v>16</v>
      </c>
      <c r="P750" t="s">
        <v>303</v>
      </c>
      <c r="Q750">
        <v>12.5</v>
      </c>
      <c r="R750">
        <v>10</v>
      </c>
      <c r="S750">
        <v>4</v>
      </c>
      <c r="T750" t="s">
        <v>269</v>
      </c>
      <c r="U750">
        <v>7.7394669998741117E-2</v>
      </c>
    </row>
    <row r="751" spans="1:21" x14ac:dyDescent="0.25">
      <c r="A751">
        <v>5</v>
      </c>
      <c r="B751">
        <v>500</v>
      </c>
      <c r="C751">
        <v>2</v>
      </c>
      <c r="D751">
        <v>23</v>
      </c>
      <c r="E751">
        <v>25</v>
      </c>
      <c r="F751" t="s">
        <v>17</v>
      </c>
      <c r="G751" t="s">
        <v>150</v>
      </c>
      <c r="H751" t="s">
        <v>151</v>
      </c>
      <c r="I751">
        <v>32.5</v>
      </c>
      <c r="J751">
        <v>10.345071300973197</v>
      </c>
      <c r="K751">
        <v>5.5</v>
      </c>
      <c r="L751">
        <v>10</v>
      </c>
      <c r="N751" t="s">
        <v>20</v>
      </c>
      <c r="O751" t="s">
        <v>16</v>
      </c>
      <c r="P751" t="s">
        <v>303</v>
      </c>
      <c r="Q751">
        <v>10</v>
      </c>
      <c r="R751">
        <v>10</v>
      </c>
      <c r="S751">
        <v>4</v>
      </c>
      <c r="T751" t="s">
        <v>269</v>
      </c>
      <c r="U751">
        <v>5.1742737848470985E-2</v>
      </c>
    </row>
    <row r="752" spans="1:21" x14ac:dyDescent="0.25">
      <c r="A752">
        <v>5</v>
      </c>
      <c r="B752">
        <v>500</v>
      </c>
      <c r="C752">
        <v>3</v>
      </c>
      <c r="D752">
        <v>25</v>
      </c>
      <c r="E752">
        <v>27</v>
      </c>
      <c r="F752" t="s">
        <v>17</v>
      </c>
      <c r="G752" t="s">
        <v>150</v>
      </c>
      <c r="H752" t="s">
        <v>151</v>
      </c>
      <c r="I752">
        <v>36</v>
      </c>
      <c r="J752">
        <v>11.459155902616464</v>
      </c>
      <c r="K752">
        <v>7</v>
      </c>
      <c r="L752">
        <v>12</v>
      </c>
      <c r="N752" t="s">
        <v>20</v>
      </c>
      <c r="O752" t="s">
        <v>16</v>
      </c>
      <c r="P752" t="s">
        <v>303</v>
      </c>
      <c r="Q752">
        <v>12.5</v>
      </c>
      <c r="R752">
        <v>10</v>
      </c>
      <c r="S752">
        <v>4</v>
      </c>
      <c r="T752" t="s">
        <v>269</v>
      </c>
      <c r="U752">
        <v>7.5425084510373483E-2</v>
      </c>
    </row>
    <row r="753" spans="1:21" x14ac:dyDescent="0.25">
      <c r="A753">
        <v>5</v>
      </c>
      <c r="B753">
        <v>100</v>
      </c>
      <c r="C753">
        <v>4</v>
      </c>
      <c r="D753">
        <v>26</v>
      </c>
      <c r="E753">
        <v>28</v>
      </c>
      <c r="F753" t="s">
        <v>17</v>
      </c>
      <c r="G753" t="s">
        <v>150</v>
      </c>
      <c r="H753" t="s">
        <v>151</v>
      </c>
      <c r="I753">
        <v>23.5</v>
      </c>
      <c r="J753">
        <v>7.4802823253190809</v>
      </c>
      <c r="K753">
        <v>10</v>
      </c>
      <c r="L753">
        <v>12</v>
      </c>
      <c r="N753" t="s">
        <v>20</v>
      </c>
      <c r="O753" t="s">
        <v>16</v>
      </c>
      <c r="P753" t="s">
        <v>303</v>
      </c>
      <c r="Q753">
        <v>12.5</v>
      </c>
      <c r="R753">
        <v>5</v>
      </c>
    </row>
    <row r="754" spans="1:21" x14ac:dyDescent="0.25">
      <c r="A754">
        <v>4</v>
      </c>
      <c r="B754">
        <v>500</v>
      </c>
      <c r="C754">
        <v>2</v>
      </c>
      <c r="D754">
        <v>30</v>
      </c>
      <c r="E754">
        <v>31</v>
      </c>
      <c r="F754" t="s">
        <v>17</v>
      </c>
      <c r="G754" t="s">
        <v>150</v>
      </c>
      <c r="H754" t="s">
        <v>151</v>
      </c>
      <c r="I754">
        <v>40</v>
      </c>
      <c r="J754">
        <v>12.732395447351628</v>
      </c>
      <c r="K754">
        <v>5</v>
      </c>
      <c r="L754">
        <v>13</v>
      </c>
      <c r="N754" t="s">
        <v>20</v>
      </c>
      <c r="O754" t="s">
        <v>16</v>
      </c>
      <c r="P754" t="s">
        <v>303</v>
      </c>
      <c r="Q754">
        <v>12.5</v>
      </c>
      <c r="R754">
        <v>15</v>
      </c>
      <c r="S754">
        <v>4</v>
      </c>
      <c r="T754" t="s">
        <v>269</v>
      </c>
      <c r="U754">
        <v>9.9641192058036815E-2</v>
      </c>
    </row>
    <row r="755" spans="1:21" x14ac:dyDescent="0.25">
      <c r="A755">
        <v>5</v>
      </c>
      <c r="B755">
        <v>100</v>
      </c>
      <c r="C755">
        <v>4</v>
      </c>
      <c r="D755">
        <v>32</v>
      </c>
      <c r="E755">
        <v>34</v>
      </c>
      <c r="F755" t="s">
        <v>17</v>
      </c>
      <c r="G755" t="s">
        <v>150</v>
      </c>
      <c r="H755" t="s">
        <v>151</v>
      </c>
      <c r="I755">
        <v>23.5</v>
      </c>
      <c r="J755">
        <v>7.4802823253190809</v>
      </c>
      <c r="K755">
        <v>5</v>
      </c>
      <c r="L755">
        <v>12</v>
      </c>
      <c r="N755" t="s">
        <v>20</v>
      </c>
      <c r="O755" t="s">
        <v>16</v>
      </c>
      <c r="P755" t="s">
        <v>303</v>
      </c>
      <c r="Q755">
        <v>12.5</v>
      </c>
      <c r="R755">
        <v>5</v>
      </c>
    </row>
    <row r="756" spans="1:21" x14ac:dyDescent="0.25">
      <c r="A756">
        <v>4</v>
      </c>
      <c r="B756">
        <v>500</v>
      </c>
      <c r="C756">
        <v>3</v>
      </c>
      <c r="D756">
        <v>34</v>
      </c>
      <c r="E756">
        <v>35</v>
      </c>
      <c r="F756" t="s">
        <v>17</v>
      </c>
      <c r="G756" t="s">
        <v>150</v>
      </c>
      <c r="H756" t="s">
        <v>151</v>
      </c>
      <c r="I756">
        <v>32</v>
      </c>
      <c r="J756">
        <v>10.185916357881302</v>
      </c>
      <c r="K756">
        <v>6</v>
      </c>
      <c r="L756">
        <v>7</v>
      </c>
      <c r="N756" t="s">
        <v>20</v>
      </c>
      <c r="O756" t="s">
        <v>16</v>
      </c>
      <c r="P756" t="s">
        <v>303</v>
      </c>
      <c r="Q756">
        <v>7.5</v>
      </c>
      <c r="R756">
        <v>10</v>
      </c>
      <c r="S756">
        <v>4</v>
      </c>
      <c r="T756" t="s">
        <v>269</v>
      </c>
      <c r="U756">
        <v>3.4953068925715002E-2</v>
      </c>
    </row>
    <row r="757" spans="1:21" x14ac:dyDescent="0.25">
      <c r="A757">
        <v>4</v>
      </c>
      <c r="B757">
        <v>500</v>
      </c>
      <c r="C757">
        <v>3</v>
      </c>
      <c r="D757">
        <v>35</v>
      </c>
      <c r="E757">
        <v>36</v>
      </c>
      <c r="F757" t="s">
        <v>17</v>
      </c>
      <c r="G757" t="s">
        <v>150</v>
      </c>
      <c r="H757" t="s">
        <v>151</v>
      </c>
      <c r="I757">
        <v>40</v>
      </c>
      <c r="J757">
        <v>12.732395447351628</v>
      </c>
      <c r="K757">
        <v>8.5</v>
      </c>
      <c r="L757">
        <v>12</v>
      </c>
      <c r="N757" t="s">
        <v>20</v>
      </c>
      <c r="O757" t="s">
        <v>16</v>
      </c>
      <c r="P757" t="s">
        <v>303</v>
      </c>
      <c r="Q757">
        <v>12.5</v>
      </c>
      <c r="R757">
        <v>15</v>
      </c>
      <c r="S757">
        <v>4</v>
      </c>
      <c r="T757" t="s">
        <v>269</v>
      </c>
      <c r="U757">
        <v>9.1839790546696887E-2</v>
      </c>
    </row>
    <row r="758" spans="1:21" x14ac:dyDescent="0.25">
      <c r="A758">
        <v>11</v>
      </c>
      <c r="B758">
        <v>100</v>
      </c>
      <c r="C758">
        <v>4</v>
      </c>
      <c r="D758">
        <v>36</v>
      </c>
      <c r="E758">
        <v>36</v>
      </c>
      <c r="F758" t="s">
        <v>17</v>
      </c>
      <c r="G758" t="s">
        <v>150</v>
      </c>
      <c r="H758" t="s">
        <v>151</v>
      </c>
      <c r="I758">
        <v>16.5</v>
      </c>
      <c r="J758">
        <v>5.2521131220325463</v>
      </c>
      <c r="K758">
        <v>7</v>
      </c>
      <c r="L758">
        <v>9</v>
      </c>
      <c r="N758" t="s">
        <v>20</v>
      </c>
      <c r="O758" t="s">
        <v>16</v>
      </c>
      <c r="P758" t="s">
        <v>303</v>
      </c>
      <c r="Q758">
        <v>10</v>
      </c>
      <c r="R758">
        <v>5</v>
      </c>
    </row>
    <row r="759" spans="1:21" x14ac:dyDescent="0.25">
      <c r="A759">
        <v>8</v>
      </c>
      <c r="B759">
        <v>500</v>
      </c>
      <c r="C759">
        <v>3</v>
      </c>
      <c r="D759">
        <v>39</v>
      </c>
      <c r="E759">
        <v>44</v>
      </c>
      <c r="F759" t="s">
        <v>17</v>
      </c>
      <c r="G759" t="s">
        <v>150</v>
      </c>
      <c r="H759" t="s">
        <v>151</v>
      </c>
      <c r="I759">
        <v>37.5</v>
      </c>
      <c r="J759">
        <v>11.93662073189215</v>
      </c>
      <c r="K759">
        <v>7</v>
      </c>
      <c r="L759">
        <v>14</v>
      </c>
      <c r="N759" t="s">
        <v>20</v>
      </c>
      <c r="O759" t="s">
        <v>209</v>
      </c>
      <c r="P759" t="s">
        <v>303</v>
      </c>
      <c r="Q759">
        <v>15</v>
      </c>
      <c r="R759">
        <v>10</v>
      </c>
      <c r="S759">
        <v>4</v>
      </c>
      <c r="T759" t="s">
        <v>269</v>
      </c>
      <c r="U759">
        <v>9.5244393166173807E-2</v>
      </c>
    </row>
    <row r="760" spans="1:21" x14ac:dyDescent="0.25">
      <c r="A760">
        <v>8</v>
      </c>
      <c r="B760">
        <v>500</v>
      </c>
      <c r="C760">
        <v>3</v>
      </c>
      <c r="D760">
        <v>41</v>
      </c>
      <c r="E760">
        <v>46</v>
      </c>
      <c r="F760" t="s">
        <v>17</v>
      </c>
      <c r="G760" t="s">
        <v>150</v>
      </c>
      <c r="H760" t="s">
        <v>151</v>
      </c>
      <c r="I760">
        <v>41</v>
      </c>
      <c r="J760">
        <v>13.050705333535419</v>
      </c>
      <c r="K760">
        <v>8</v>
      </c>
      <c r="L760">
        <v>13</v>
      </c>
      <c r="N760" t="s">
        <v>20</v>
      </c>
      <c r="O760" t="s">
        <v>16</v>
      </c>
      <c r="P760" t="s">
        <v>303</v>
      </c>
      <c r="Q760">
        <v>12.5</v>
      </c>
      <c r="R760">
        <v>15</v>
      </c>
      <c r="S760">
        <v>4</v>
      </c>
      <c r="T760" t="s">
        <v>269</v>
      </c>
      <c r="U760">
        <v>0.1043471255335823</v>
      </c>
    </row>
    <row r="761" spans="1:21" x14ac:dyDescent="0.25">
      <c r="A761">
        <v>1</v>
      </c>
      <c r="B761">
        <v>100</v>
      </c>
      <c r="C761">
        <v>2</v>
      </c>
      <c r="D761">
        <v>10</v>
      </c>
      <c r="E761">
        <v>10</v>
      </c>
      <c r="F761" t="s">
        <v>17</v>
      </c>
      <c r="G761" t="s">
        <v>56</v>
      </c>
      <c r="H761" t="s">
        <v>57</v>
      </c>
      <c r="I761">
        <v>25</v>
      </c>
      <c r="J761">
        <v>7.9577471545947667</v>
      </c>
      <c r="K761">
        <v>6</v>
      </c>
      <c r="L761">
        <v>9</v>
      </c>
      <c r="N761" t="s">
        <v>20</v>
      </c>
      <c r="O761" t="s">
        <v>16</v>
      </c>
      <c r="P761" t="s">
        <v>303</v>
      </c>
      <c r="Q761">
        <v>10</v>
      </c>
      <c r="R761">
        <v>10</v>
      </c>
    </row>
    <row r="762" spans="1:21" x14ac:dyDescent="0.25">
      <c r="A762">
        <v>1</v>
      </c>
      <c r="B762">
        <v>500</v>
      </c>
      <c r="C762">
        <v>2</v>
      </c>
      <c r="D762">
        <v>10</v>
      </c>
      <c r="E762">
        <v>11</v>
      </c>
      <c r="F762" t="s">
        <v>17</v>
      </c>
      <c r="G762" t="s">
        <v>56</v>
      </c>
      <c r="H762" t="s">
        <v>57</v>
      </c>
      <c r="I762">
        <v>43</v>
      </c>
      <c r="J762">
        <v>13.687325105903</v>
      </c>
      <c r="K762">
        <v>1.6</v>
      </c>
      <c r="L762">
        <v>6</v>
      </c>
      <c r="N762" t="s">
        <v>20</v>
      </c>
      <c r="O762" t="s">
        <v>39</v>
      </c>
      <c r="P762" t="s">
        <v>303</v>
      </c>
      <c r="Q762">
        <v>5</v>
      </c>
      <c r="R762">
        <v>15</v>
      </c>
      <c r="S762">
        <v>5</v>
      </c>
      <c r="T762" t="s">
        <v>271</v>
      </c>
      <c r="U762">
        <v>5.2792490896479499E-2</v>
      </c>
    </row>
    <row r="763" spans="1:21" x14ac:dyDescent="0.25">
      <c r="A763">
        <v>1</v>
      </c>
      <c r="B763">
        <v>100</v>
      </c>
      <c r="C763">
        <v>3</v>
      </c>
      <c r="D763">
        <v>20</v>
      </c>
      <c r="E763">
        <v>20</v>
      </c>
      <c r="F763" t="s">
        <v>17</v>
      </c>
      <c r="G763" t="s">
        <v>56</v>
      </c>
      <c r="H763" t="s">
        <v>57</v>
      </c>
      <c r="I763">
        <v>18</v>
      </c>
      <c r="J763">
        <v>5.7295779513082321</v>
      </c>
      <c r="K763">
        <v>5</v>
      </c>
      <c r="L763">
        <v>12</v>
      </c>
      <c r="N763" t="s">
        <v>20</v>
      </c>
      <c r="O763" t="s">
        <v>16</v>
      </c>
      <c r="P763" t="s">
        <v>303</v>
      </c>
      <c r="Q763">
        <v>12.5</v>
      </c>
      <c r="R763">
        <v>5</v>
      </c>
    </row>
    <row r="764" spans="1:21" x14ac:dyDescent="0.25">
      <c r="A764">
        <v>9</v>
      </c>
      <c r="B764">
        <v>100</v>
      </c>
      <c r="C764">
        <v>4</v>
      </c>
      <c r="D764">
        <v>41</v>
      </c>
      <c r="E764">
        <v>41</v>
      </c>
      <c r="F764" t="s">
        <v>17</v>
      </c>
      <c r="G764" t="s">
        <v>56</v>
      </c>
      <c r="H764" t="s">
        <v>57</v>
      </c>
      <c r="I764">
        <v>17</v>
      </c>
      <c r="J764">
        <v>5.4112680651244416</v>
      </c>
      <c r="K764">
        <v>5</v>
      </c>
      <c r="L764">
        <v>9</v>
      </c>
      <c r="N764" t="s">
        <v>20</v>
      </c>
      <c r="O764" t="s">
        <v>16</v>
      </c>
      <c r="P764" t="s">
        <v>303</v>
      </c>
      <c r="Q764">
        <v>10</v>
      </c>
      <c r="R764">
        <v>5</v>
      </c>
    </row>
    <row r="765" spans="1:21" x14ac:dyDescent="0.25">
      <c r="A765">
        <v>9</v>
      </c>
      <c r="B765">
        <v>100</v>
      </c>
      <c r="C765">
        <v>4</v>
      </c>
      <c r="D765">
        <v>46</v>
      </c>
      <c r="E765">
        <v>46</v>
      </c>
      <c r="F765" t="s">
        <v>17</v>
      </c>
      <c r="G765" t="s">
        <v>56</v>
      </c>
      <c r="H765" t="s">
        <v>57</v>
      </c>
      <c r="I765">
        <v>17.5</v>
      </c>
      <c r="J765">
        <v>5.5704230082163368</v>
      </c>
      <c r="K765">
        <v>8</v>
      </c>
      <c r="L765">
        <v>10</v>
      </c>
      <c r="N765" t="s">
        <v>20</v>
      </c>
      <c r="O765" t="s">
        <v>16</v>
      </c>
      <c r="P765" t="s">
        <v>303</v>
      </c>
      <c r="Q765">
        <v>10</v>
      </c>
      <c r="R765">
        <v>5</v>
      </c>
    </row>
    <row r="766" spans="1:21" x14ac:dyDescent="0.25">
      <c r="A766">
        <v>6</v>
      </c>
      <c r="B766">
        <v>500</v>
      </c>
      <c r="C766">
        <v>4</v>
      </c>
      <c r="D766">
        <v>17</v>
      </c>
      <c r="E766">
        <v>18</v>
      </c>
      <c r="F766" t="s">
        <v>176</v>
      </c>
      <c r="G766" t="s">
        <v>289</v>
      </c>
      <c r="H766" t="s">
        <v>290</v>
      </c>
      <c r="I766">
        <v>33.5</v>
      </c>
      <c r="J766">
        <v>10.663381187156988</v>
      </c>
      <c r="K766">
        <v>3.5</v>
      </c>
      <c r="L766">
        <v>10</v>
      </c>
      <c r="N766" t="s">
        <v>20</v>
      </c>
      <c r="O766" t="s">
        <v>16</v>
      </c>
      <c r="P766" t="s">
        <v>303</v>
      </c>
      <c r="Q766">
        <v>10</v>
      </c>
      <c r="R766">
        <v>10</v>
      </c>
      <c r="S766">
        <v>14</v>
      </c>
      <c r="T766" t="s">
        <v>273</v>
      </c>
      <c r="U766">
        <v>5.760246666265334E-2</v>
      </c>
    </row>
    <row r="767" spans="1:21" x14ac:dyDescent="0.25">
      <c r="A767">
        <v>1</v>
      </c>
      <c r="B767">
        <v>100</v>
      </c>
      <c r="C767">
        <v>4</v>
      </c>
      <c r="D767">
        <v>25</v>
      </c>
      <c r="E767">
        <v>25</v>
      </c>
      <c r="F767" t="s">
        <v>17</v>
      </c>
      <c r="G767" t="s">
        <v>79</v>
      </c>
      <c r="H767" t="s">
        <v>80</v>
      </c>
      <c r="I767">
        <v>17</v>
      </c>
      <c r="J767">
        <v>5.4112680651244416</v>
      </c>
      <c r="K767">
        <v>3</v>
      </c>
      <c r="L767">
        <v>9</v>
      </c>
      <c r="N767" t="s">
        <v>20</v>
      </c>
      <c r="O767" t="s">
        <v>16</v>
      </c>
      <c r="P767" t="s">
        <v>303</v>
      </c>
      <c r="Q767">
        <v>10</v>
      </c>
      <c r="R767">
        <v>5</v>
      </c>
    </row>
    <row r="768" spans="1:21" x14ac:dyDescent="0.25">
      <c r="A768">
        <v>8</v>
      </c>
      <c r="B768">
        <v>500</v>
      </c>
      <c r="C768">
        <v>1</v>
      </c>
      <c r="D768">
        <v>8</v>
      </c>
      <c r="E768">
        <v>9</v>
      </c>
      <c r="F768" t="s">
        <v>33</v>
      </c>
      <c r="G768" t="s">
        <v>186</v>
      </c>
      <c r="H768" t="s">
        <v>187</v>
      </c>
      <c r="I768">
        <v>40</v>
      </c>
      <c r="J768">
        <v>12.732395447351628</v>
      </c>
      <c r="K768">
        <v>1.9</v>
      </c>
      <c r="L768">
        <v>5</v>
      </c>
      <c r="N768" t="s">
        <v>35</v>
      </c>
      <c r="O768" t="s">
        <v>16</v>
      </c>
      <c r="P768" t="s">
        <v>303</v>
      </c>
      <c r="Q768">
        <v>5</v>
      </c>
      <c r="R768">
        <v>15</v>
      </c>
    </row>
    <row r="769" spans="1:21" x14ac:dyDescent="0.25">
      <c r="A769">
        <v>10</v>
      </c>
      <c r="B769">
        <v>5</v>
      </c>
      <c r="D769">
        <v>18</v>
      </c>
      <c r="E769">
        <v>18</v>
      </c>
      <c r="F769" t="s">
        <v>168</v>
      </c>
      <c r="G769" t="s">
        <v>169</v>
      </c>
      <c r="H769" t="s">
        <v>170</v>
      </c>
      <c r="L769">
        <v>0.1</v>
      </c>
      <c r="M769" t="e">
        <v>#REF!</v>
      </c>
      <c r="O769" t="s">
        <v>16</v>
      </c>
      <c r="P769" t="s">
        <v>303</v>
      </c>
      <c r="Q769">
        <v>2.5</v>
      </c>
      <c r="R769">
        <v>5</v>
      </c>
    </row>
    <row r="770" spans="1:21" x14ac:dyDescent="0.25">
      <c r="A770">
        <v>10</v>
      </c>
      <c r="B770">
        <v>5</v>
      </c>
      <c r="D770">
        <v>19</v>
      </c>
      <c r="E770">
        <v>19</v>
      </c>
      <c r="F770" t="s">
        <v>168</v>
      </c>
      <c r="G770" t="s">
        <v>169</v>
      </c>
      <c r="H770" t="s">
        <v>170</v>
      </c>
      <c r="L770">
        <v>0.6</v>
      </c>
      <c r="M770" t="e">
        <v>#REF!</v>
      </c>
      <c r="O770" t="s">
        <v>16</v>
      </c>
      <c r="P770" t="s">
        <v>303</v>
      </c>
      <c r="Q770">
        <v>2.5</v>
      </c>
      <c r="R770">
        <v>5</v>
      </c>
    </row>
    <row r="771" spans="1:21" x14ac:dyDescent="0.25">
      <c r="A771">
        <v>8</v>
      </c>
      <c r="B771">
        <v>500</v>
      </c>
      <c r="C771">
        <v>1</v>
      </c>
      <c r="D771">
        <v>3</v>
      </c>
      <c r="E771">
        <v>3</v>
      </c>
      <c r="F771" t="s">
        <v>105</v>
      </c>
      <c r="G771" t="s">
        <v>106</v>
      </c>
      <c r="H771" t="s">
        <v>107</v>
      </c>
      <c r="I771">
        <v>49</v>
      </c>
      <c r="J771">
        <v>15.597184423005743</v>
      </c>
      <c r="K771">
        <v>8</v>
      </c>
      <c r="L771">
        <v>10</v>
      </c>
      <c r="N771" t="s">
        <v>20</v>
      </c>
      <c r="O771" t="s">
        <v>16</v>
      </c>
      <c r="P771" t="s">
        <v>303</v>
      </c>
      <c r="Q771">
        <v>10</v>
      </c>
      <c r="R771">
        <v>15</v>
      </c>
      <c r="S771">
        <v>13</v>
      </c>
      <c r="T771" t="s">
        <v>272</v>
      </c>
      <c r="U771">
        <v>0.1067426174866082</v>
      </c>
    </row>
    <row r="772" spans="1:21" x14ac:dyDescent="0.25">
      <c r="A772">
        <v>4</v>
      </c>
      <c r="B772">
        <v>500</v>
      </c>
      <c r="C772">
        <v>2</v>
      </c>
      <c r="D772">
        <v>27</v>
      </c>
      <c r="E772">
        <v>28</v>
      </c>
      <c r="F772" t="s">
        <v>105</v>
      </c>
      <c r="G772" t="s">
        <v>106</v>
      </c>
      <c r="H772" t="s">
        <v>107</v>
      </c>
      <c r="I772">
        <v>32.5</v>
      </c>
      <c r="J772">
        <v>10.345071300973197</v>
      </c>
      <c r="K772">
        <v>3</v>
      </c>
      <c r="L772">
        <v>8</v>
      </c>
      <c r="N772" t="s">
        <v>20</v>
      </c>
      <c r="O772" t="s">
        <v>39</v>
      </c>
      <c r="P772" t="s">
        <v>303</v>
      </c>
      <c r="Q772">
        <v>7.5</v>
      </c>
      <c r="R772">
        <v>10</v>
      </c>
      <c r="S772">
        <v>13</v>
      </c>
      <c r="T772" t="s">
        <v>272</v>
      </c>
      <c r="U772">
        <v>3.8682617447481221E-2</v>
      </c>
    </row>
    <row r="773" spans="1:21" x14ac:dyDescent="0.25">
      <c r="A773">
        <v>11</v>
      </c>
      <c r="B773">
        <v>100</v>
      </c>
      <c r="C773">
        <v>3</v>
      </c>
      <c r="D773">
        <v>28</v>
      </c>
      <c r="E773">
        <v>28</v>
      </c>
      <c r="F773" t="s">
        <v>105</v>
      </c>
      <c r="G773" t="s">
        <v>106</v>
      </c>
      <c r="H773" t="s">
        <v>107</v>
      </c>
      <c r="I773">
        <v>27</v>
      </c>
      <c r="J773">
        <v>8.5943669269623477</v>
      </c>
      <c r="K773">
        <v>7</v>
      </c>
      <c r="L773">
        <v>12</v>
      </c>
      <c r="N773" t="s">
        <v>20</v>
      </c>
      <c r="O773" t="s">
        <v>16</v>
      </c>
      <c r="P773" t="s">
        <v>303</v>
      </c>
      <c r="Q773">
        <v>12.5</v>
      </c>
      <c r="R773">
        <v>10</v>
      </c>
    </row>
    <row r="774" spans="1:21" x14ac:dyDescent="0.25">
      <c r="A774">
        <v>2</v>
      </c>
      <c r="B774">
        <v>500</v>
      </c>
      <c r="C774">
        <v>2</v>
      </c>
      <c r="D774">
        <v>30</v>
      </c>
      <c r="E774">
        <v>31</v>
      </c>
      <c r="F774" t="s">
        <v>105</v>
      </c>
      <c r="G774" t="s">
        <v>106</v>
      </c>
      <c r="H774" t="s">
        <v>107</v>
      </c>
      <c r="I774">
        <v>52.5</v>
      </c>
      <c r="J774">
        <v>16.71126902464901</v>
      </c>
      <c r="K774">
        <v>7</v>
      </c>
      <c r="L774">
        <v>13</v>
      </c>
      <c r="N774" t="s">
        <v>20</v>
      </c>
      <c r="O774" t="s">
        <v>16</v>
      </c>
      <c r="P774" t="s">
        <v>303</v>
      </c>
      <c r="Q774">
        <v>12.5</v>
      </c>
      <c r="R774">
        <v>15</v>
      </c>
      <c r="S774">
        <v>13</v>
      </c>
      <c r="T774" t="s">
        <v>272</v>
      </c>
      <c r="U774">
        <v>0.15861611605268491</v>
      </c>
    </row>
    <row r="775" spans="1:21" x14ac:dyDescent="0.25">
      <c r="A775">
        <v>7</v>
      </c>
      <c r="B775">
        <v>500</v>
      </c>
      <c r="C775">
        <v>4</v>
      </c>
      <c r="D775">
        <v>36</v>
      </c>
      <c r="E775">
        <v>39</v>
      </c>
      <c r="F775" t="s">
        <v>105</v>
      </c>
      <c r="G775" t="s">
        <v>106</v>
      </c>
      <c r="H775" t="s">
        <v>107</v>
      </c>
      <c r="I775">
        <v>32</v>
      </c>
      <c r="J775">
        <v>10.185916357881302</v>
      </c>
      <c r="K775">
        <v>5</v>
      </c>
      <c r="L775">
        <v>10</v>
      </c>
      <c r="N775" t="s">
        <v>20</v>
      </c>
      <c r="O775" t="s">
        <v>16</v>
      </c>
      <c r="P775" t="s">
        <v>303</v>
      </c>
      <c r="Q775">
        <v>10</v>
      </c>
      <c r="R775">
        <v>10</v>
      </c>
      <c r="S775">
        <v>13</v>
      </c>
      <c r="T775" t="s">
        <v>272</v>
      </c>
      <c r="U775">
        <v>4.6959494047362563E-2</v>
      </c>
    </row>
    <row r="776" spans="1:21" x14ac:dyDescent="0.25">
      <c r="A776">
        <v>7</v>
      </c>
      <c r="B776">
        <v>500</v>
      </c>
      <c r="C776">
        <v>4</v>
      </c>
      <c r="D776">
        <v>37</v>
      </c>
      <c r="E776">
        <v>40</v>
      </c>
      <c r="F776" t="s">
        <v>105</v>
      </c>
      <c r="G776" t="s">
        <v>106</v>
      </c>
      <c r="H776" t="s">
        <v>107</v>
      </c>
      <c r="I776">
        <v>33</v>
      </c>
      <c r="J776">
        <v>10.504226244065093</v>
      </c>
      <c r="K776">
        <v>8</v>
      </c>
      <c r="L776">
        <v>12</v>
      </c>
      <c r="N776" t="s">
        <v>20</v>
      </c>
      <c r="O776" t="s">
        <v>16</v>
      </c>
      <c r="P776" t="s">
        <v>303</v>
      </c>
      <c r="Q776">
        <v>12.5</v>
      </c>
      <c r="R776">
        <v>10</v>
      </c>
      <c r="S776">
        <v>13</v>
      </c>
      <c r="T776" t="s">
        <v>272</v>
      </c>
      <c r="U776">
        <v>5.9825040252638385E-2</v>
      </c>
    </row>
    <row r="777" spans="1:21" x14ac:dyDescent="0.25">
      <c r="A777">
        <v>3</v>
      </c>
      <c r="B777">
        <v>500</v>
      </c>
      <c r="C777">
        <v>4</v>
      </c>
      <c r="D777">
        <v>50</v>
      </c>
      <c r="E777">
        <v>59</v>
      </c>
      <c r="F777" t="s">
        <v>105</v>
      </c>
      <c r="G777" t="s">
        <v>106</v>
      </c>
      <c r="H777" t="s">
        <v>107</v>
      </c>
      <c r="I777">
        <v>43</v>
      </c>
      <c r="J777">
        <v>13.687325105903</v>
      </c>
      <c r="K777">
        <v>6</v>
      </c>
      <c r="L777">
        <v>12</v>
      </c>
      <c r="N777" t="s">
        <v>20</v>
      </c>
      <c r="O777" t="s">
        <v>16</v>
      </c>
      <c r="P777" t="s">
        <v>303</v>
      </c>
      <c r="Q777">
        <v>12.5</v>
      </c>
      <c r="R777">
        <v>15</v>
      </c>
      <c r="S777">
        <v>13</v>
      </c>
      <c r="T777" t="s">
        <v>272</v>
      </c>
      <c r="U777">
        <v>9.9636706000216499E-2</v>
      </c>
    </row>
    <row r="778" spans="1:21" x14ac:dyDescent="0.25">
      <c r="A778">
        <v>10</v>
      </c>
      <c r="B778">
        <v>5</v>
      </c>
      <c r="D778">
        <v>20</v>
      </c>
      <c r="E778">
        <v>20</v>
      </c>
      <c r="F778" t="s">
        <v>168</v>
      </c>
      <c r="G778" t="s">
        <v>169</v>
      </c>
      <c r="H778" t="s">
        <v>170</v>
      </c>
      <c r="L778">
        <v>0.4</v>
      </c>
      <c r="M778" t="e">
        <v>#REF!</v>
      </c>
      <c r="O778" t="s">
        <v>16</v>
      </c>
      <c r="P778" t="s">
        <v>303</v>
      </c>
      <c r="Q778">
        <v>2.5</v>
      </c>
      <c r="R778">
        <v>5</v>
      </c>
    </row>
    <row r="779" spans="1:21" x14ac:dyDescent="0.25">
      <c r="A779">
        <v>10</v>
      </c>
      <c r="B779">
        <v>5</v>
      </c>
      <c r="D779">
        <v>21</v>
      </c>
      <c r="E779">
        <v>21</v>
      </c>
      <c r="F779" t="s">
        <v>168</v>
      </c>
      <c r="G779" t="s">
        <v>169</v>
      </c>
      <c r="H779" t="s">
        <v>170</v>
      </c>
      <c r="L779">
        <v>3</v>
      </c>
      <c r="M779" t="e">
        <v>#REF!</v>
      </c>
      <c r="O779" t="s">
        <v>16</v>
      </c>
      <c r="P779" t="s">
        <v>303</v>
      </c>
      <c r="Q779">
        <v>2.5</v>
      </c>
      <c r="R779">
        <v>5</v>
      </c>
    </row>
    <row r="780" spans="1:21" x14ac:dyDescent="0.25">
      <c r="A780">
        <v>10</v>
      </c>
      <c r="B780">
        <v>5</v>
      </c>
      <c r="D780">
        <v>22</v>
      </c>
      <c r="E780">
        <v>22</v>
      </c>
      <c r="F780" t="s">
        <v>17</v>
      </c>
      <c r="G780" t="s">
        <v>65</v>
      </c>
      <c r="H780" t="s">
        <v>66</v>
      </c>
      <c r="L780">
        <v>0.25</v>
      </c>
      <c r="M780" t="e">
        <v>#REF!</v>
      </c>
      <c r="O780" t="s">
        <v>16</v>
      </c>
      <c r="P780" t="s">
        <v>303</v>
      </c>
      <c r="Q780">
        <v>2.5</v>
      </c>
      <c r="R780">
        <v>5</v>
      </c>
    </row>
    <row r="781" spans="1:21" x14ac:dyDescent="0.25">
      <c r="A781">
        <v>4</v>
      </c>
      <c r="B781">
        <v>100</v>
      </c>
      <c r="C781">
        <v>1</v>
      </c>
      <c r="D781" t="s">
        <v>165</v>
      </c>
      <c r="E781">
        <v>6</v>
      </c>
      <c r="F781" t="s">
        <v>21</v>
      </c>
      <c r="G781" t="s">
        <v>22</v>
      </c>
      <c r="H781" t="s">
        <v>283</v>
      </c>
      <c r="I781">
        <v>17.5</v>
      </c>
      <c r="J781">
        <v>5.5704230082163368</v>
      </c>
      <c r="K781">
        <v>5</v>
      </c>
      <c r="L781">
        <v>8</v>
      </c>
      <c r="N781" t="s">
        <v>20</v>
      </c>
      <c r="O781" t="s">
        <v>16</v>
      </c>
      <c r="P781" t="e">
        <v>#VALUE!</v>
      </c>
      <c r="Q781">
        <v>7.5</v>
      </c>
      <c r="R781">
        <v>5</v>
      </c>
    </row>
    <row r="782" spans="1:21" x14ac:dyDescent="0.25">
      <c r="A782">
        <v>10</v>
      </c>
      <c r="B782">
        <v>100</v>
      </c>
      <c r="C782">
        <v>1</v>
      </c>
      <c r="D782">
        <v>6</v>
      </c>
      <c r="E782">
        <v>6</v>
      </c>
      <c r="F782" t="s">
        <v>21</v>
      </c>
      <c r="G782" t="s">
        <v>22</v>
      </c>
      <c r="H782" t="s">
        <v>283</v>
      </c>
      <c r="I782">
        <v>28</v>
      </c>
      <c r="J782">
        <v>8.91267681314614</v>
      </c>
      <c r="K782">
        <v>5.5</v>
      </c>
      <c r="L782">
        <v>8</v>
      </c>
      <c r="N782" t="s">
        <v>20</v>
      </c>
      <c r="O782" t="s">
        <v>16</v>
      </c>
      <c r="P782" t="s">
        <v>303</v>
      </c>
      <c r="Q782">
        <v>7.5</v>
      </c>
      <c r="R782">
        <v>10</v>
      </c>
    </row>
    <row r="783" spans="1:21" x14ac:dyDescent="0.25">
      <c r="A783">
        <v>10</v>
      </c>
      <c r="B783">
        <v>5</v>
      </c>
      <c r="D783">
        <v>23</v>
      </c>
      <c r="E783">
        <v>23</v>
      </c>
      <c r="F783" t="s">
        <v>26</v>
      </c>
      <c r="G783" t="s">
        <v>143</v>
      </c>
      <c r="H783" t="s">
        <v>144</v>
      </c>
      <c r="L783">
        <v>0.8</v>
      </c>
      <c r="M783" t="e">
        <v>#REF!</v>
      </c>
      <c r="O783" t="s">
        <v>16</v>
      </c>
      <c r="P783" t="s">
        <v>303</v>
      </c>
      <c r="Q783">
        <v>2.5</v>
      </c>
      <c r="R783">
        <v>5</v>
      </c>
    </row>
    <row r="784" spans="1:21" x14ac:dyDescent="0.25">
      <c r="A784">
        <v>10</v>
      </c>
      <c r="B784">
        <v>5</v>
      </c>
      <c r="D784">
        <v>24</v>
      </c>
      <c r="E784">
        <v>24</v>
      </c>
      <c r="F784" t="s">
        <v>168</v>
      </c>
      <c r="G784" t="s">
        <v>169</v>
      </c>
      <c r="H784" t="s">
        <v>170</v>
      </c>
      <c r="L784">
        <v>0.2</v>
      </c>
      <c r="M784" t="e">
        <v>#REF!</v>
      </c>
      <c r="O784" t="s">
        <v>16</v>
      </c>
      <c r="P784" t="s">
        <v>303</v>
      </c>
      <c r="Q784">
        <v>2.5</v>
      </c>
      <c r="R784">
        <v>5</v>
      </c>
    </row>
    <row r="785" spans="1:21" x14ac:dyDescent="0.25">
      <c r="A785">
        <v>4</v>
      </c>
      <c r="B785">
        <v>500</v>
      </c>
      <c r="C785">
        <v>1</v>
      </c>
      <c r="D785">
        <v>7</v>
      </c>
      <c r="E785">
        <v>7</v>
      </c>
      <c r="F785" t="s">
        <v>21</v>
      </c>
      <c r="G785" t="s">
        <v>22</v>
      </c>
      <c r="H785" t="s">
        <v>283</v>
      </c>
      <c r="I785">
        <v>36</v>
      </c>
      <c r="J785">
        <v>11.459155902616464</v>
      </c>
      <c r="K785">
        <v>7</v>
      </c>
      <c r="L785">
        <v>11</v>
      </c>
      <c r="N785" t="s">
        <v>20</v>
      </c>
      <c r="O785" t="s">
        <v>16</v>
      </c>
      <c r="P785" t="s">
        <v>303</v>
      </c>
      <c r="Q785">
        <v>10</v>
      </c>
      <c r="R785">
        <v>10</v>
      </c>
      <c r="S785">
        <v>17</v>
      </c>
      <c r="T785" t="s">
        <v>273</v>
      </c>
      <c r="U785">
        <v>7.2417020336136742E-2</v>
      </c>
    </row>
    <row r="786" spans="1:21" x14ac:dyDescent="0.25">
      <c r="A786">
        <v>10</v>
      </c>
      <c r="B786">
        <v>5</v>
      </c>
      <c r="D786">
        <v>25</v>
      </c>
      <c r="E786">
        <v>25</v>
      </c>
      <c r="F786" t="s">
        <v>13</v>
      </c>
      <c r="G786" t="s">
        <v>14</v>
      </c>
      <c r="H786" t="s">
        <v>15</v>
      </c>
      <c r="L786">
        <v>0.2</v>
      </c>
      <c r="M786" t="e">
        <v>#REF!</v>
      </c>
      <c r="O786" t="s">
        <v>16</v>
      </c>
      <c r="P786" t="s">
        <v>303</v>
      </c>
      <c r="Q786">
        <v>2.5</v>
      </c>
      <c r="R786">
        <v>5</v>
      </c>
    </row>
    <row r="787" spans="1:21" x14ac:dyDescent="0.25">
      <c r="A787">
        <v>2</v>
      </c>
      <c r="B787">
        <v>500</v>
      </c>
      <c r="C787">
        <v>1</v>
      </c>
      <c r="D787">
        <v>8</v>
      </c>
      <c r="E787">
        <v>8</v>
      </c>
      <c r="F787" t="s">
        <v>21</v>
      </c>
      <c r="G787" t="s">
        <v>22</v>
      </c>
      <c r="H787" t="s">
        <v>283</v>
      </c>
      <c r="I787">
        <v>56</v>
      </c>
      <c r="J787">
        <v>17.82535362629228</v>
      </c>
      <c r="K787">
        <v>7</v>
      </c>
      <c r="L787">
        <v>12</v>
      </c>
      <c r="N787" t="s">
        <v>20</v>
      </c>
      <c r="O787" t="s">
        <v>16</v>
      </c>
      <c r="P787" t="s">
        <v>303</v>
      </c>
      <c r="Q787">
        <v>12.5</v>
      </c>
      <c r="R787">
        <v>20</v>
      </c>
      <c r="S787">
        <v>17</v>
      </c>
      <c r="T787" t="s">
        <v>273</v>
      </c>
      <c r="U787">
        <v>0.17666459993056352</v>
      </c>
    </row>
    <row r="788" spans="1:21" x14ac:dyDescent="0.25">
      <c r="A788">
        <v>8</v>
      </c>
      <c r="B788">
        <v>500</v>
      </c>
      <c r="C788">
        <v>1</v>
      </c>
      <c r="D788">
        <v>7</v>
      </c>
      <c r="E788">
        <v>8</v>
      </c>
      <c r="F788" t="s">
        <v>21</v>
      </c>
      <c r="G788" t="s">
        <v>22</v>
      </c>
      <c r="H788" t="s">
        <v>283</v>
      </c>
      <c r="I788">
        <v>38</v>
      </c>
      <c r="J788">
        <v>12.095775674984045</v>
      </c>
      <c r="K788">
        <v>8</v>
      </c>
      <c r="L788">
        <v>14</v>
      </c>
      <c r="N788" t="s">
        <v>20</v>
      </c>
      <c r="O788" t="s">
        <v>16</v>
      </c>
      <c r="P788" t="s">
        <v>303</v>
      </c>
      <c r="Q788">
        <v>15</v>
      </c>
      <c r="R788">
        <v>10</v>
      </c>
      <c r="S788">
        <v>17</v>
      </c>
      <c r="T788" t="s">
        <v>273</v>
      </c>
      <c r="U788">
        <v>0.10242107202935821</v>
      </c>
    </row>
    <row r="789" spans="1:21" x14ac:dyDescent="0.25">
      <c r="A789">
        <v>5</v>
      </c>
      <c r="B789">
        <v>100</v>
      </c>
      <c r="C789">
        <v>1</v>
      </c>
      <c r="D789">
        <v>7</v>
      </c>
      <c r="E789">
        <v>8</v>
      </c>
      <c r="F789" t="s">
        <v>21</v>
      </c>
      <c r="G789" t="s">
        <v>22</v>
      </c>
      <c r="H789" t="s">
        <v>283</v>
      </c>
      <c r="I789">
        <v>21</v>
      </c>
      <c r="J789">
        <v>6.6845076098596046</v>
      </c>
      <c r="K789">
        <v>6</v>
      </c>
      <c r="L789">
        <v>8</v>
      </c>
      <c r="N789" t="s">
        <v>20</v>
      </c>
      <c r="O789" t="s">
        <v>16</v>
      </c>
      <c r="P789" t="s">
        <v>303</v>
      </c>
      <c r="Q789">
        <v>7.5</v>
      </c>
      <c r="R789">
        <v>5</v>
      </c>
    </row>
    <row r="790" spans="1:21" x14ac:dyDescent="0.25">
      <c r="A790">
        <v>10</v>
      </c>
      <c r="B790">
        <v>5</v>
      </c>
      <c r="D790">
        <v>26</v>
      </c>
      <c r="E790">
        <v>26</v>
      </c>
      <c r="F790" t="s">
        <v>13</v>
      </c>
      <c r="G790" t="s">
        <v>14</v>
      </c>
      <c r="H790" t="s">
        <v>15</v>
      </c>
      <c r="L790">
        <v>0.1</v>
      </c>
      <c r="M790" t="e">
        <v>#REF!</v>
      </c>
      <c r="O790" t="s">
        <v>16</v>
      </c>
      <c r="P790" t="s">
        <v>303</v>
      </c>
      <c r="Q790">
        <v>2.5</v>
      </c>
      <c r="R790">
        <v>5</v>
      </c>
    </row>
    <row r="791" spans="1:21" x14ac:dyDescent="0.25">
      <c r="A791">
        <v>5</v>
      </c>
      <c r="B791">
        <v>100</v>
      </c>
      <c r="C791">
        <v>1</v>
      </c>
      <c r="D791">
        <v>8</v>
      </c>
      <c r="E791">
        <v>9</v>
      </c>
      <c r="F791" t="s">
        <v>21</v>
      </c>
      <c r="G791" t="s">
        <v>22</v>
      </c>
      <c r="H791" t="s">
        <v>283</v>
      </c>
      <c r="I791">
        <v>24</v>
      </c>
      <c r="J791">
        <v>7.6394372684109761</v>
      </c>
      <c r="K791">
        <v>5</v>
      </c>
      <c r="L791">
        <v>8</v>
      </c>
      <c r="N791" t="s">
        <v>20</v>
      </c>
      <c r="O791" t="s">
        <v>16</v>
      </c>
      <c r="P791" t="s">
        <v>303</v>
      </c>
      <c r="Q791">
        <v>7.5</v>
      </c>
      <c r="R791">
        <v>10</v>
      </c>
    </row>
    <row r="792" spans="1:21" x14ac:dyDescent="0.25">
      <c r="A792">
        <v>11</v>
      </c>
      <c r="B792">
        <v>5</v>
      </c>
      <c r="D792">
        <v>1</v>
      </c>
      <c r="E792">
        <v>1</v>
      </c>
      <c r="F792" t="s">
        <v>33</v>
      </c>
      <c r="G792" t="s">
        <v>291</v>
      </c>
      <c r="H792" t="s">
        <v>34</v>
      </c>
      <c r="L792">
        <v>3.5</v>
      </c>
      <c r="M792" t="e">
        <v>#REF!</v>
      </c>
      <c r="O792" t="s">
        <v>16</v>
      </c>
      <c r="P792" t="s">
        <v>303</v>
      </c>
      <c r="Q792">
        <v>2.5</v>
      </c>
      <c r="R792">
        <v>5</v>
      </c>
    </row>
    <row r="793" spans="1:21" x14ac:dyDescent="0.25">
      <c r="A793">
        <v>8</v>
      </c>
      <c r="B793">
        <v>500</v>
      </c>
      <c r="C793">
        <v>1</v>
      </c>
      <c r="D793">
        <v>10</v>
      </c>
      <c r="E793">
        <v>11</v>
      </c>
      <c r="F793" t="s">
        <v>21</v>
      </c>
      <c r="G793" t="s">
        <v>22</v>
      </c>
      <c r="H793" t="s">
        <v>283</v>
      </c>
      <c r="I793">
        <v>46</v>
      </c>
      <c r="J793">
        <v>14.642254764454371</v>
      </c>
      <c r="K793">
        <v>5</v>
      </c>
      <c r="L793">
        <v>13</v>
      </c>
      <c r="N793" t="s">
        <v>20</v>
      </c>
      <c r="O793" t="s">
        <v>16</v>
      </c>
      <c r="P793" t="s">
        <v>303</v>
      </c>
      <c r="Q793">
        <v>12.5</v>
      </c>
      <c r="R793">
        <v>15</v>
      </c>
      <c r="S793">
        <v>17</v>
      </c>
      <c r="T793" t="s">
        <v>273</v>
      </c>
      <c r="U793">
        <v>0.1342356528954648</v>
      </c>
    </row>
    <row r="794" spans="1:21" x14ac:dyDescent="0.25">
      <c r="A794">
        <v>10</v>
      </c>
      <c r="B794">
        <v>100</v>
      </c>
      <c r="C794">
        <v>1</v>
      </c>
      <c r="D794">
        <v>11</v>
      </c>
      <c r="E794">
        <v>11</v>
      </c>
      <c r="F794" t="s">
        <v>21</v>
      </c>
      <c r="G794" t="s">
        <v>22</v>
      </c>
      <c r="H794" t="s">
        <v>283</v>
      </c>
      <c r="I794">
        <v>18.5</v>
      </c>
      <c r="J794">
        <v>5.8887328944001274</v>
      </c>
      <c r="K794">
        <v>6</v>
      </c>
      <c r="L794">
        <v>9</v>
      </c>
      <c r="N794" t="s">
        <v>20</v>
      </c>
      <c r="O794" t="s">
        <v>16</v>
      </c>
      <c r="P794" t="s">
        <v>303</v>
      </c>
      <c r="Q794">
        <v>10</v>
      </c>
      <c r="R794">
        <v>5</v>
      </c>
    </row>
    <row r="795" spans="1:21" x14ac:dyDescent="0.25">
      <c r="A795">
        <v>8</v>
      </c>
      <c r="B795">
        <v>500</v>
      </c>
      <c r="C795">
        <v>1</v>
      </c>
      <c r="D795">
        <v>11</v>
      </c>
      <c r="E795">
        <v>12</v>
      </c>
      <c r="F795" t="s">
        <v>21</v>
      </c>
      <c r="G795" t="s">
        <v>22</v>
      </c>
      <c r="H795" t="s">
        <v>283</v>
      </c>
      <c r="I795">
        <v>42</v>
      </c>
      <c r="J795">
        <v>13.369015219719209</v>
      </c>
      <c r="K795">
        <v>6</v>
      </c>
      <c r="L795">
        <v>10</v>
      </c>
      <c r="N795" t="s">
        <v>20</v>
      </c>
      <c r="O795" t="s">
        <v>16</v>
      </c>
      <c r="P795" t="s">
        <v>303</v>
      </c>
      <c r="Q795">
        <v>10</v>
      </c>
      <c r="R795">
        <v>15</v>
      </c>
      <c r="S795">
        <v>17</v>
      </c>
      <c r="T795" t="s">
        <v>273</v>
      </c>
      <c r="U795">
        <v>8.6842684246796406E-2</v>
      </c>
    </row>
    <row r="796" spans="1:21" x14ac:dyDescent="0.25">
      <c r="A796">
        <v>1</v>
      </c>
      <c r="B796">
        <v>100</v>
      </c>
      <c r="C796">
        <v>2</v>
      </c>
      <c r="D796">
        <v>12</v>
      </c>
      <c r="E796">
        <v>12</v>
      </c>
      <c r="F796" t="s">
        <v>21</v>
      </c>
      <c r="G796" t="s">
        <v>22</v>
      </c>
      <c r="H796" t="s">
        <v>283</v>
      </c>
      <c r="I796">
        <v>20</v>
      </c>
      <c r="J796">
        <v>6.366197723675814</v>
      </c>
      <c r="K796">
        <v>6</v>
      </c>
      <c r="L796">
        <v>9</v>
      </c>
      <c r="N796" t="s">
        <v>20</v>
      </c>
      <c r="O796" t="s">
        <v>16</v>
      </c>
      <c r="P796" t="s">
        <v>303</v>
      </c>
      <c r="Q796">
        <v>10</v>
      </c>
      <c r="R796">
        <v>5</v>
      </c>
    </row>
    <row r="797" spans="1:21" x14ac:dyDescent="0.25">
      <c r="A797">
        <v>5</v>
      </c>
      <c r="B797">
        <v>100</v>
      </c>
      <c r="C797">
        <v>2</v>
      </c>
      <c r="D797">
        <v>12</v>
      </c>
      <c r="E797">
        <v>13</v>
      </c>
      <c r="F797" t="s">
        <v>21</v>
      </c>
      <c r="G797" t="s">
        <v>22</v>
      </c>
      <c r="H797" t="s">
        <v>283</v>
      </c>
      <c r="I797">
        <v>17</v>
      </c>
      <c r="J797">
        <v>5.4112680651244416</v>
      </c>
      <c r="K797">
        <v>3</v>
      </c>
      <c r="L797">
        <v>8</v>
      </c>
      <c r="N797" t="s">
        <v>20</v>
      </c>
      <c r="O797" t="s">
        <v>16</v>
      </c>
      <c r="P797" t="s">
        <v>303</v>
      </c>
      <c r="Q797">
        <v>7.5</v>
      </c>
      <c r="R797">
        <v>5</v>
      </c>
    </row>
    <row r="798" spans="1:21" x14ac:dyDescent="0.25">
      <c r="A798">
        <v>11</v>
      </c>
      <c r="B798">
        <v>5</v>
      </c>
      <c r="D798">
        <v>2</v>
      </c>
      <c r="E798">
        <v>2</v>
      </c>
      <c r="F798" t="s">
        <v>48</v>
      </c>
      <c r="G798" t="s">
        <v>49</v>
      </c>
      <c r="H798" t="s">
        <v>50</v>
      </c>
      <c r="L798">
        <v>3.5</v>
      </c>
      <c r="M798" t="e">
        <v>#REF!</v>
      </c>
      <c r="O798" t="s">
        <v>16</v>
      </c>
      <c r="P798" t="s">
        <v>303</v>
      </c>
      <c r="Q798">
        <v>2.5</v>
      </c>
      <c r="R798">
        <v>5</v>
      </c>
    </row>
    <row r="799" spans="1:21" x14ac:dyDescent="0.25">
      <c r="A799">
        <v>8</v>
      </c>
      <c r="B799">
        <v>500</v>
      </c>
      <c r="C799">
        <v>1</v>
      </c>
      <c r="D799">
        <v>13</v>
      </c>
      <c r="E799">
        <v>14</v>
      </c>
      <c r="F799" t="s">
        <v>21</v>
      </c>
      <c r="G799" t="s">
        <v>22</v>
      </c>
      <c r="H799" t="s">
        <v>283</v>
      </c>
      <c r="I799">
        <v>49.5</v>
      </c>
      <c r="J799">
        <v>15.756339366097638</v>
      </c>
      <c r="K799">
        <v>6</v>
      </c>
      <c r="L799">
        <v>14</v>
      </c>
      <c r="N799" t="s">
        <v>20</v>
      </c>
      <c r="O799" t="s">
        <v>16</v>
      </c>
      <c r="P799" t="s">
        <v>303</v>
      </c>
      <c r="Q799">
        <v>15</v>
      </c>
      <c r="R799">
        <v>15</v>
      </c>
      <c r="S799">
        <v>17</v>
      </c>
      <c r="T799" t="s">
        <v>273</v>
      </c>
      <c r="U799">
        <v>0.16551988606149298</v>
      </c>
    </row>
    <row r="800" spans="1:21" x14ac:dyDescent="0.25">
      <c r="A800">
        <v>8</v>
      </c>
      <c r="B800">
        <v>100</v>
      </c>
      <c r="C800">
        <v>2</v>
      </c>
      <c r="D800">
        <v>14</v>
      </c>
      <c r="E800">
        <v>14</v>
      </c>
      <c r="F800" t="s">
        <v>21</v>
      </c>
      <c r="G800" t="s">
        <v>22</v>
      </c>
      <c r="H800" t="s">
        <v>283</v>
      </c>
      <c r="I800">
        <v>19</v>
      </c>
      <c r="J800">
        <v>6.0478878374920226</v>
      </c>
      <c r="K800">
        <v>6</v>
      </c>
      <c r="L800">
        <v>9</v>
      </c>
      <c r="N800" t="s">
        <v>20</v>
      </c>
      <c r="O800" t="s">
        <v>16</v>
      </c>
      <c r="P800" t="s">
        <v>303</v>
      </c>
      <c r="Q800">
        <v>10</v>
      </c>
      <c r="R800">
        <v>5</v>
      </c>
    </row>
    <row r="801" spans="1:21" x14ac:dyDescent="0.25">
      <c r="A801">
        <v>4</v>
      </c>
      <c r="B801">
        <v>500</v>
      </c>
      <c r="C801">
        <v>1</v>
      </c>
      <c r="D801">
        <v>15</v>
      </c>
      <c r="E801">
        <v>15</v>
      </c>
      <c r="F801" t="s">
        <v>21</v>
      </c>
      <c r="G801" t="s">
        <v>22</v>
      </c>
      <c r="H801" t="s">
        <v>283</v>
      </c>
      <c r="I801">
        <v>39</v>
      </c>
      <c r="J801">
        <v>12.414085561167836</v>
      </c>
      <c r="K801">
        <v>6</v>
      </c>
      <c r="L801">
        <v>13</v>
      </c>
      <c r="N801" t="s">
        <v>20</v>
      </c>
      <c r="O801" t="s">
        <v>16</v>
      </c>
      <c r="P801" t="s">
        <v>303</v>
      </c>
      <c r="Q801">
        <v>12.5</v>
      </c>
      <c r="R801">
        <v>10</v>
      </c>
      <c r="S801">
        <v>17</v>
      </c>
      <c r="T801" t="s">
        <v>273</v>
      </c>
      <c r="U801">
        <v>9.9473507092131805E-2</v>
      </c>
    </row>
    <row r="802" spans="1:21" x14ac:dyDescent="0.25">
      <c r="A802">
        <v>1</v>
      </c>
      <c r="B802">
        <v>500</v>
      </c>
      <c r="C802">
        <v>2</v>
      </c>
      <c r="D802">
        <v>13</v>
      </c>
      <c r="E802">
        <v>16</v>
      </c>
      <c r="F802" t="s">
        <v>21</v>
      </c>
      <c r="G802" t="s">
        <v>22</v>
      </c>
      <c r="H802" t="s">
        <v>283</v>
      </c>
      <c r="I802">
        <v>40.5</v>
      </c>
      <c r="J802">
        <v>12.891550390443523</v>
      </c>
      <c r="K802">
        <v>7</v>
      </c>
      <c r="L802">
        <v>14</v>
      </c>
      <c r="N802" t="s">
        <v>20</v>
      </c>
      <c r="O802" t="s">
        <v>16</v>
      </c>
      <c r="P802" t="s">
        <v>303</v>
      </c>
      <c r="Q802">
        <v>15</v>
      </c>
      <c r="R802">
        <v>15</v>
      </c>
      <c r="S802">
        <v>17</v>
      </c>
      <c r="T802" t="s">
        <v>273</v>
      </c>
      <c r="U802">
        <v>0.11498133126508182</v>
      </c>
    </row>
    <row r="803" spans="1:21" x14ac:dyDescent="0.25">
      <c r="A803">
        <v>8</v>
      </c>
      <c r="B803">
        <v>100</v>
      </c>
      <c r="C803">
        <v>2</v>
      </c>
      <c r="D803">
        <v>16</v>
      </c>
      <c r="E803">
        <v>16</v>
      </c>
      <c r="F803" t="s">
        <v>21</v>
      </c>
      <c r="G803" t="s">
        <v>22</v>
      </c>
      <c r="H803" t="s">
        <v>283</v>
      </c>
      <c r="I803">
        <v>22</v>
      </c>
      <c r="J803">
        <v>7.0028174960433951</v>
      </c>
      <c r="K803">
        <v>7</v>
      </c>
      <c r="L803">
        <v>10</v>
      </c>
      <c r="N803" t="s">
        <v>20</v>
      </c>
      <c r="O803" t="s">
        <v>16</v>
      </c>
      <c r="P803" t="s">
        <v>303</v>
      </c>
      <c r="Q803">
        <v>10</v>
      </c>
      <c r="R803">
        <v>5</v>
      </c>
    </row>
    <row r="804" spans="1:21" x14ac:dyDescent="0.25">
      <c r="A804">
        <v>8</v>
      </c>
      <c r="B804">
        <v>100</v>
      </c>
      <c r="C804">
        <v>3</v>
      </c>
      <c r="D804">
        <v>17</v>
      </c>
      <c r="E804">
        <v>17</v>
      </c>
      <c r="F804" t="s">
        <v>21</v>
      </c>
      <c r="G804" t="s">
        <v>22</v>
      </c>
      <c r="H804" t="s">
        <v>283</v>
      </c>
      <c r="I804">
        <v>27</v>
      </c>
      <c r="J804">
        <v>8.5943669269623477</v>
      </c>
      <c r="K804">
        <v>6</v>
      </c>
      <c r="L804">
        <v>9</v>
      </c>
      <c r="N804" t="s">
        <v>20</v>
      </c>
      <c r="O804" t="s">
        <v>16</v>
      </c>
      <c r="P804" t="s">
        <v>303</v>
      </c>
      <c r="Q804">
        <v>10</v>
      </c>
      <c r="R804">
        <v>10</v>
      </c>
    </row>
    <row r="805" spans="1:21" x14ac:dyDescent="0.25">
      <c r="A805">
        <v>1</v>
      </c>
      <c r="B805">
        <v>100</v>
      </c>
      <c r="C805">
        <v>3</v>
      </c>
      <c r="D805">
        <v>18</v>
      </c>
      <c r="E805">
        <v>18</v>
      </c>
      <c r="F805" t="s">
        <v>21</v>
      </c>
      <c r="G805" t="s">
        <v>22</v>
      </c>
      <c r="H805" t="s">
        <v>283</v>
      </c>
      <c r="I805">
        <v>16.5</v>
      </c>
      <c r="J805">
        <v>5.2521131220325463</v>
      </c>
      <c r="K805">
        <v>1.6</v>
      </c>
      <c r="L805">
        <v>3.5</v>
      </c>
      <c r="N805" t="s">
        <v>20</v>
      </c>
      <c r="O805" t="s">
        <v>16</v>
      </c>
      <c r="P805" t="s">
        <v>303</v>
      </c>
      <c r="Q805">
        <v>2.5</v>
      </c>
      <c r="R805">
        <v>5</v>
      </c>
    </row>
    <row r="806" spans="1:21" x14ac:dyDescent="0.25">
      <c r="A806">
        <v>3</v>
      </c>
      <c r="B806">
        <v>100</v>
      </c>
      <c r="C806">
        <v>4</v>
      </c>
      <c r="D806">
        <v>18</v>
      </c>
      <c r="E806">
        <v>18</v>
      </c>
      <c r="F806" t="s">
        <v>21</v>
      </c>
      <c r="G806" t="s">
        <v>22</v>
      </c>
      <c r="H806" t="s">
        <v>283</v>
      </c>
      <c r="I806">
        <v>16</v>
      </c>
      <c r="J806">
        <v>5.0929581789406511</v>
      </c>
      <c r="K806">
        <v>3</v>
      </c>
      <c r="L806">
        <v>8</v>
      </c>
      <c r="N806" t="s">
        <v>20</v>
      </c>
      <c r="O806" t="s">
        <v>16</v>
      </c>
      <c r="P806" t="s">
        <v>303</v>
      </c>
      <c r="Q806">
        <v>7.5</v>
      </c>
      <c r="R806">
        <v>5</v>
      </c>
    </row>
    <row r="807" spans="1:21" x14ac:dyDescent="0.25">
      <c r="A807">
        <v>10</v>
      </c>
      <c r="B807">
        <v>100</v>
      </c>
      <c r="C807">
        <v>2</v>
      </c>
      <c r="D807">
        <v>18</v>
      </c>
      <c r="E807">
        <v>18</v>
      </c>
      <c r="F807" t="s">
        <v>21</v>
      </c>
      <c r="G807" t="s">
        <v>22</v>
      </c>
      <c r="H807" t="s">
        <v>283</v>
      </c>
      <c r="I807">
        <v>16</v>
      </c>
      <c r="J807">
        <v>5.0929581789406511</v>
      </c>
      <c r="K807">
        <v>4</v>
      </c>
      <c r="L807">
        <v>9</v>
      </c>
      <c r="N807" t="s">
        <v>20</v>
      </c>
      <c r="O807" t="s">
        <v>16</v>
      </c>
      <c r="P807" t="s">
        <v>303</v>
      </c>
      <c r="Q807">
        <v>10</v>
      </c>
      <c r="R807">
        <v>5</v>
      </c>
    </row>
    <row r="808" spans="1:21" x14ac:dyDescent="0.25">
      <c r="A808">
        <v>2</v>
      </c>
      <c r="B808">
        <v>500</v>
      </c>
      <c r="C808">
        <v>1</v>
      </c>
      <c r="D808">
        <v>19</v>
      </c>
      <c r="E808">
        <v>19</v>
      </c>
      <c r="F808" t="s">
        <v>21</v>
      </c>
      <c r="G808" t="s">
        <v>22</v>
      </c>
      <c r="H808" t="s">
        <v>283</v>
      </c>
      <c r="I808">
        <v>38</v>
      </c>
      <c r="J808">
        <v>12.095775674984045</v>
      </c>
      <c r="K808">
        <v>7</v>
      </c>
      <c r="L808">
        <v>13</v>
      </c>
      <c r="N808" t="s">
        <v>20</v>
      </c>
      <c r="O808" t="s">
        <v>16</v>
      </c>
      <c r="P808" t="s">
        <v>303</v>
      </c>
      <c r="Q808">
        <v>12.5</v>
      </c>
      <c r="R808">
        <v>10</v>
      </c>
      <c r="S808">
        <v>17</v>
      </c>
      <c r="T808" t="s">
        <v>273</v>
      </c>
      <c r="U808">
        <v>9.4891330317624589E-2</v>
      </c>
    </row>
    <row r="809" spans="1:21" x14ac:dyDescent="0.25">
      <c r="A809">
        <v>8</v>
      </c>
      <c r="B809">
        <v>500</v>
      </c>
      <c r="C809">
        <v>2</v>
      </c>
      <c r="D809">
        <v>17</v>
      </c>
      <c r="E809">
        <v>19</v>
      </c>
      <c r="F809" t="s">
        <v>21</v>
      </c>
      <c r="G809" t="s">
        <v>22</v>
      </c>
      <c r="H809" t="s">
        <v>283</v>
      </c>
      <c r="I809">
        <v>36</v>
      </c>
      <c r="J809">
        <v>11.459155902616464</v>
      </c>
      <c r="K809">
        <v>10</v>
      </c>
      <c r="L809">
        <v>13</v>
      </c>
      <c r="N809" t="s">
        <v>20</v>
      </c>
      <c r="O809" t="s">
        <v>16</v>
      </c>
      <c r="P809" t="s">
        <v>303</v>
      </c>
      <c r="Q809">
        <v>12.5</v>
      </c>
      <c r="R809">
        <v>10</v>
      </c>
      <c r="S809">
        <v>17</v>
      </c>
      <c r="T809" t="s">
        <v>273</v>
      </c>
      <c r="U809">
        <v>8.6019348139417251E-2</v>
      </c>
    </row>
    <row r="810" spans="1:21" x14ac:dyDescent="0.25">
      <c r="A810">
        <v>5</v>
      </c>
      <c r="B810">
        <v>100</v>
      </c>
      <c r="C810">
        <v>3</v>
      </c>
      <c r="D810">
        <v>18</v>
      </c>
      <c r="E810">
        <v>19</v>
      </c>
      <c r="F810" t="s">
        <v>21</v>
      </c>
      <c r="G810" t="s">
        <v>22</v>
      </c>
      <c r="H810" t="s">
        <v>283</v>
      </c>
      <c r="I810">
        <v>23</v>
      </c>
      <c r="J810">
        <v>7.3211273822271856</v>
      </c>
      <c r="K810">
        <v>6</v>
      </c>
      <c r="L810">
        <v>11</v>
      </c>
      <c r="N810" t="s">
        <v>20</v>
      </c>
      <c r="O810" t="s">
        <v>16</v>
      </c>
      <c r="P810" t="s">
        <v>303</v>
      </c>
      <c r="Q810">
        <v>10</v>
      </c>
      <c r="R810">
        <v>5</v>
      </c>
    </row>
    <row r="811" spans="1:21" x14ac:dyDescent="0.25">
      <c r="A811">
        <v>11</v>
      </c>
      <c r="B811">
        <v>500</v>
      </c>
      <c r="C811">
        <v>4</v>
      </c>
      <c r="D811">
        <v>19</v>
      </c>
      <c r="E811">
        <v>20</v>
      </c>
      <c r="F811" t="s">
        <v>21</v>
      </c>
      <c r="G811" t="s">
        <v>22</v>
      </c>
      <c r="H811" t="s">
        <v>283</v>
      </c>
      <c r="I811">
        <v>32</v>
      </c>
      <c r="J811">
        <v>10.185916357881302</v>
      </c>
      <c r="K811">
        <v>6</v>
      </c>
      <c r="L811">
        <v>12</v>
      </c>
      <c r="N811" t="s">
        <v>20</v>
      </c>
      <c r="O811" t="s">
        <v>16</v>
      </c>
      <c r="P811" t="s">
        <v>303</v>
      </c>
      <c r="Q811">
        <v>12.5</v>
      </c>
      <c r="R811">
        <v>10</v>
      </c>
      <c r="S811">
        <v>17</v>
      </c>
      <c r="T811" t="s">
        <v>273</v>
      </c>
      <c r="U811">
        <v>6.3960111229385122E-2</v>
      </c>
    </row>
    <row r="812" spans="1:21" x14ac:dyDescent="0.25">
      <c r="A812">
        <v>10</v>
      </c>
      <c r="B812">
        <v>100</v>
      </c>
      <c r="C812">
        <v>2</v>
      </c>
      <c r="D812">
        <v>20</v>
      </c>
      <c r="E812">
        <v>20</v>
      </c>
      <c r="F812" t="s">
        <v>21</v>
      </c>
      <c r="G812" t="s">
        <v>22</v>
      </c>
      <c r="H812" t="s">
        <v>283</v>
      </c>
      <c r="I812">
        <v>17</v>
      </c>
      <c r="J812">
        <v>5.4112680651244416</v>
      </c>
      <c r="K812">
        <v>2.2000000000000002</v>
      </c>
      <c r="L812">
        <v>6.5</v>
      </c>
      <c r="N812" t="s">
        <v>20</v>
      </c>
      <c r="O812" t="s">
        <v>16</v>
      </c>
      <c r="P812" t="s">
        <v>303</v>
      </c>
      <c r="Q812">
        <v>7.5</v>
      </c>
      <c r="R812">
        <v>5</v>
      </c>
    </row>
    <row r="813" spans="1:21" x14ac:dyDescent="0.25">
      <c r="A813">
        <v>1</v>
      </c>
      <c r="B813">
        <v>100</v>
      </c>
      <c r="C813">
        <v>3</v>
      </c>
      <c r="D813">
        <v>21</v>
      </c>
      <c r="E813">
        <v>21</v>
      </c>
      <c r="F813" t="s">
        <v>21</v>
      </c>
      <c r="G813" t="s">
        <v>22</v>
      </c>
      <c r="H813" t="s">
        <v>283</v>
      </c>
      <c r="I813">
        <v>25</v>
      </c>
      <c r="J813">
        <v>7.9577471545947667</v>
      </c>
      <c r="K813">
        <v>4</v>
      </c>
      <c r="L813">
        <v>10</v>
      </c>
      <c r="N813" t="s">
        <v>20</v>
      </c>
      <c r="O813" t="s">
        <v>16</v>
      </c>
      <c r="P813" t="s">
        <v>303</v>
      </c>
      <c r="Q813">
        <v>10</v>
      </c>
      <c r="R813">
        <v>10</v>
      </c>
    </row>
    <row r="814" spans="1:21" x14ac:dyDescent="0.25">
      <c r="A814">
        <v>10</v>
      </c>
      <c r="B814">
        <v>100</v>
      </c>
      <c r="C814">
        <v>2</v>
      </c>
      <c r="D814">
        <v>21</v>
      </c>
      <c r="E814">
        <v>21</v>
      </c>
      <c r="F814" t="s">
        <v>21</v>
      </c>
      <c r="G814" t="s">
        <v>22</v>
      </c>
      <c r="H814" t="s">
        <v>283</v>
      </c>
      <c r="I814">
        <v>30.5</v>
      </c>
      <c r="J814">
        <v>9.7084515286056163</v>
      </c>
      <c r="K814">
        <v>6.5</v>
      </c>
      <c r="L814">
        <v>12</v>
      </c>
      <c r="N814" t="s">
        <v>20</v>
      </c>
      <c r="O814" t="s">
        <v>16</v>
      </c>
      <c r="P814" t="s">
        <v>303</v>
      </c>
      <c r="Q814">
        <v>12.5</v>
      </c>
      <c r="R814">
        <v>10</v>
      </c>
    </row>
    <row r="815" spans="1:21" x14ac:dyDescent="0.25">
      <c r="A815">
        <v>4</v>
      </c>
      <c r="B815">
        <v>500</v>
      </c>
      <c r="C815">
        <v>2</v>
      </c>
      <c r="D815">
        <v>21</v>
      </c>
      <c r="E815">
        <v>22</v>
      </c>
      <c r="F815" t="s">
        <v>21</v>
      </c>
      <c r="G815" t="s">
        <v>22</v>
      </c>
      <c r="H815" t="s">
        <v>283</v>
      </c>
      <c r="I815">
        <v>44.5</v>
      </c>
      <c r="J815">
        <v>14.164789935178685</v>
      </c>
      <c r="K815">
        <v>5</v>
      </c>
      <c r="L815">
        <v>12</v>
      </c>
      <c r="N815" t="s">
        <v>20</v>
      </c>
      <c r="O815" t="s">
        <v>16</v>
      </c>
      <c r="P815" t="s">
        <v>303</v>
      </c>
      <c r="Q815">
        <v>12.5</v>
      </c>
      <c r="R815">
        <v>15</v>
      </c>
      <c r="S815">
        <v>17</v>
      </c>
      <c r="T815" t="s">
        <v>273</v>
      </c>
      <c r="U815">
        <v>0.11638843311567737</v>
      </c>
    </row>
    <row r="816" spans="1:21" x14ac:dyDescent="0.25">
      <c r="A816">
        <v>4</v>
      </c>
      <c r="B816">
        <v>100</v>
      </c>
      <c r="C816">
        <v>3</v>
      </c>
      <c r="D816">
        <v>21</v>
      </c>
      <c r="E816">
        <v>22</v>
      </c>
      <c r="F816" t="s">
        <v>21</v>
      </c>
      <c r="G816" t="s">
        <v>22</v>
      </c>
      <c r="H816" t="s">
        <v>283</v>
      </c>
      <c r="I816">
        <v>27</v>
      </c>
      <c r="J816">
        <v>8.5943669269623477</v>
      </c>
      <c r="K816">
        <v>5</v>
      </c>
      <c r="L816">
        <v>8</v>
      </c>
      <c r="N816" t="s">
        <v>20</v>
      </c>
      <c r="O816" t="s">
        <v>16</v>
      </c>
      <c r="P816" t="s">
        <v>303</v>
      </c>
      <c r="Q816">
        <v>7.5</v>
      </c>
      <c r="R816">
        <v>10</v>
      </c>
    </row>
    <row r="817" spans="1:21" x14ac:dyDescent="0.25">
      <c r="A817">
        <v>4</v>
      </c>
      <c r="B817">
        <v>500</v>
      </c>
      <c r="C817">
        <v>2</v>
      </c>
      <c r="D817">
        <v>22</v>
      </c>
      <c r="E817">
        <v>23</v>
      </c>
      <c r="F817" t="s">
        <v>21</v>
      </c>
      <c r="G817" t="s">
        <v>22</v>
      </c>
      <c r="H817" t="s">
        <v>283</v>
      </c>
      <c r="I817">
        <v>34.5</v>
      </c>
      <c r="J817">
        <v>10.981691073340778</v>
      </c>
      <c r="K817">
        <v>6</v>
      </c>
      <c r="L817">
        <v>9</v>
      </c>
      <c r="N817" t="s">
        <v>20</v>
      </c>
      <c r="O817" t="s">
        <v>16</v>
      </c>
      <c r="P817" t="s">
        <v>303</v>
      </c>
      <c r="Q817">
        <v>10</v>
      </c>
      <c r="R817">
        <v>10</v>
      </c>
      <c r="S817">
        <v>17</v>
      </c>
      <c r="T817" t="s">
        <v>273</v>
      </c>
      <c r="U817">
        <v>5.4511104438907373E-2</v>
      </c>
    </row>
    <row r="818" spans="1:21" x14ac:dyDescent="0.25">
      <c r="A818">
        <v>4</v>
      </c>
      <c r="B818">
        <v>100</v>
      </c>
      <c r="C818">
        <v>4</v>
      </c>
      <c r="D818">
        <v>22</v>
      </c>
      <c r="E818">
        <v>23</v>
      </c>
      <c r="F818" t="s">
        <v>21</v>
      </c>
      <c r="G818" t="s">
        <v>22</v>
      </c>
      <c r="H818" t="s">
        <v>283</v>
      </c>
      <c r="I818">
        <v>30</v>
      </c>
      <c r="J818">
        <v>9.5492965855137211</v>
      </c>
      <c r="K818">
        <v>4</v>
      </c>
      <c r="L818">
        <v>8</v>
      </c>
      <c r="N818" t="s">
        <v>20</v>
      </c>
      <c r="O818" t="s">
        <v>16</v>
      </c>
      <c r="P818" t="s">
        <v>303</v>
      </c>
      <c r="Q818">
        <v>7.5</v>
      </c>
      <c r="R818">
        <v>10</v>
      </c>
    </row>
    <row r="819" spans="1:21" x14ac:dyDescent="0.25">
      <c r="A819">
        <v>4</v>
      </c>
      <c r="B819">
        <v>100</v>
      </c>
      <c r="C819">
        <v>4</v>
      </c>
      <c r="D819">
        <v>23</v>
      </c>
      <c r="E819">
        <v>24</v>
      </c>
      <c r="F819" t="s">
        <v>21</v>
      </c>
      <c r="G819" t="s">
        <v>22</v>
      </c>
      <c r="H819" t="s">
        <v>283</v>
      </c>
      <c r="I819">
        <v>20.5</v>
      </c>
      <c r="J819">
        <v>6.5253526667677093</v>
      </c>
      <c r="K819">
        <v>5</v>
      </c>
      <c r="L819">
        <v>7</v>
      </c>
      <c r="N819" t="s">
        <v>20</v>
      </c>
      <c r="O819" t="s">
        <v>16</v>
      </c>
      <c r="P819" t="s">
        <v>303</v>
      </c>
      <c r="Q819">
        <v>7.5</v>
      </c>
      <c r="R819">
        <v>5</v>
      </c>
    </row>
    <row r="820" spans="1:21" x14ac:dyDescent="0.25">
      <c r="A820">
        <v>5</v>
      </c>
      <c r="B820">
        <v>100</v>
      </c>
      <c r="C820">
        <v>4</v>
      </c>
      <c r="D820">
        <v>23</v>
      </c>
      <c r="E820">
        <v>24</v>
      </c>
      <c r="F820" t="s">
        <v>21</v>
      </c>
      <c r="G820" t="s">
        <v>22</v>
      </c>
      <c r="H820" t="s">
        <v>283</v>
      </c>
      <c r="I820">
        <v>30</v>
      </c>
      <c r="J820">
        <v>9.5492965855137211</v>
      </c>
      <c r="K820">
        <v>5</v>
      </c>
      <c r="L820">
        <v>10</v>
      </c>
      <c r="N820" t="s">
        <v>29</v>
      </c>
      <c r="O820" t="s">
        <v>16</v>
      </c>
      <c r="P820" t="s">
        <v>303</v>
      </c>
      <c r="Q820">
        <v>10</v>
      </c>
      <c r="R820">
        <v>10</v>
      </c>
    </row>
    <row r="821" spans="1:21" x14ac:dyDescent="0.25">
      <c r="A821">
        <v>2</v>
      </c>
      <c r="B821">
        <v>500</v>
      </c>
      <c r="C821">
        <v>2</v>
      </c>
      <c r="D821">
        <v>24</v>
      </c>
      <c r="E821">
        <v>25</v>
      </c>
      <c r="F821" t="s">
        <v>21</v>
      </c>
      <c r="G821" t="s">
        <v>22</v>
      </c>
      <c r="H821" t="s">
        <v>283</v>
      </c>
      <c r="I821">
        <v>34.5</v>
      </c>
      <c r="J821">
        <v>10.981691073340778</v>
      </c>
      <c r="K821">
        <v>5.5</v>
      </c>
      <c r="L821">
        <v>12</v>
      </c>
      <c r="N821" t="s">
        <v>20</v>
      </c>
      <c r="O821" t="s">
        <v>16</v>
      </c>
      <c r="P821" t="s">
        <v>303</v>
      </c>
      <c r="Q821">
        <v>12.5</v>
      </c>
      <c r="R821">
        <v>10</v>
      </c>
      <c r="S821">
        <v>17</v>
      </c>
      <c r="T821" t="s">
        <v>273</v>
      </c>
      <c r="U821">
        <v>7.3319691646719198E-2</v>
      </c>
    </row>
    <row r="822" spans="1:21" x14ac:dyDescent="0.25">
      <c r="A822">
        <v>3</v>
      </c>
      <c r="B822">
        <v>500</v>
      </c>
      <c r="C822">
        <v>2</v>
      </c>
      <c r="D822">
        <v>25</v>
      </c>
      <c r="E822">
        <v>25</v>
      </c>
      <c r="F822" t="s">
        <v>21</v>
      </c>
      <c r="G822" t="s">
        <v>22</v>
      </c>
      <c r="H822" t="s">
        <v>283</v>
      </c>
      <c r="I822">
        <v>37.5</v>
      </c>
      <c r="J822">
        <v>11.93662073189215</v>
      </c>
      <c r="K822">
        <v>5</v>
      </c>
      <c r="L822">
        <v>10</v>
      </c>
      <c r="N822" t="s">
        <v>20</v>
      </c>
      <c r="O822" t="s">
        <v>16</v>
      </c>
      <c r="P822" t="s">
        <v>303</v>
      </c>
      <c r="Q822">
        <v>10</v>
      </c>
      <c r="R822">
        <v>10</v>
      </c>
      <c r="S822">
        <v>17</v>
      </c>
      <c r="T822" t="s">
        <v>273</v>
      </c>
      <c r="U822">
        <v>7.0693088734366083E-2</v>
      </c>
    </row>
    <row r="823" spans="1:21" x14ac:dyDescent="0.25">
      <c r="A823">
        <v>4</v>
      </c>
      <c r="B823">
        <v>500</v>
      </c>
      <c r="C823">
        <v>2</v>
      </c>
      <c r="D823">
        <v>24</v>
      </c>
      <c r="E823">
        <v>25</v>
      </c>
      <c r="F823" t="s">
        <v>21</v>
      </c>
      <c r="G823" t="s">
        <v>22</v>
      </c>
      <c r="H823" t="s">
        <v>283</v>
      </c>
      <c r="I823">
        <v>38.5</v>
      </c>
      <c r="J823">
        <v>12.254930618075941</v>
      </c>
      <c r="K823">
        <v>5.5</v>
      </c>
      <c r="L823">
        <v>12</v>
      </c>
      <c r="N823" t="s">
        <v>20</v>
      </c>
      <c r="O823" t="s">
        <v>16</v>
      </c>
      <c r="P823" t="s">
        <v>303</v>
      </c>
      <c r="Q823">
        <v>12.5</v>
      </c>
      <c r="R823">
        <v>10</v>
      </c>
      <c r="S823">
        <v>17</v>
      </c>
      <c r="T823" t="s">
        <v>273</v>
      </c>
      <c r="U823">
        <v>8.9477727904145057E-2</v>
      </c>
    </row>
    <row r="824" spans="1:21" x14ac:dyDescent="0.25">
      <c r="A824">
        <v>8</v>
      </c>
      <c r="B824">
        <v>500</v>
      </c>
      <c r="C824">
        <v>2</v>
      </c>
      <c r="D824">
        <v>23</v>
      </c>
      <c r="E824">
        <v>25</v>
      </c>
      <c r="F824" t="s">
        <v>21</v>
      </c>
      <c r="G824" t="s">
        <v>22</v>
      </c>
      <c r="H824" t="s">
        <v>283</v>
      </c>
      <c r="I824">
        <v>36.5</v>
      </c>
      <c r="J824">
        <v>11.618310845708359</v>
      </c>
      <c r="K824">
        <v>8</v>
      </c>
      <c r="L824">
        <v>12</v>
      </c>
      <c r="N824" t="s">
        <v>20</v>
      </c>
      <c r="O824" t="s">
        <v>16</v>
      </c>
      <c r="P824" t="s">
        <v>303</v>
      </c>
      <c r="Q824">
        <v>12.5</v>
      </c>
      <c r="R824">
        <v>10</v>
      </c>
      <c r="S824">
        <v>17</v>
      </c>
      <c r="T824" t="s">
        <v>273</v>
      </c>
      <c r="U824">
        <v>8.1218176794214197E-2</v>
      </c>
    </row>
    <row r="825" spans="1:21" x14ac:dyDescent="0.25">
      <c r="A825">
        <v>9</v>
      </c>
      <c r="B825">
        <v>500</v>
      </c>
      <c r="C825">
        <v>4</v>
      </c>
      <c r="D825">
        <v>22</v>
      </c>
      <c r="E825">
        <v>25</v>
      </c>
      <c r="F825" t="s">
        <v>21</v>
      </c>
      <c r="G825" t="s">
        <v>22</v>
      </c>
      <c r="H825" t="s">
        <v>283</v>
      </c>
      <c r="I825">
        <v>34.5</v>
      </c>
      <c r="J825">
        <v>10.981691073340778</v>
      </c>
      <c r="K825">
        <v>6</v>
      </c>
      <c r="L825">
        <v>10</v>
      </c>
      <c r="N825" t="s">
        <v>20</v>
      </c>
      <c r="O825" t="s">
        <v>16</v>
      </c>
      <c r="P825" t="s">
        <v>303</v>
      </c>
      <c r="Q825">
        <v>10</v>
      </c>
      <c r="R825">
        <v>10</v>
      </c>
      <c r="S825">
        <v>17</v>
      </c>
      <c r="T825" t="s">
        <v>273</v>
      </c>
      <c r="U825">
        <v>6.0762138553092628E-2</v>
      </c>
    </row>
    <row r="826" spans="1:21" x14ac:dyDescent="0.25">
      <c r="A826">
        <v>5</v>
      </c>
      <c r="B826">
        <v>100</v>
      </c>
      <c r="C826">
        <v>4</v>
      </c>
      <c r="D826" t="s">
        <v>173</v>
      </c>
      <c r="E826">
        <v>25</v>
      </c>
      <c r="F826" t="s">
        <v>21</v>
      </c>
      <c r="G826" t="s">
        <v>22</v>
      </c>
      <c r="H826" t="s">
        <v>283</v>
      </c>
      <c r="I826">
        <v>16.5</v>
      </c>
      <c r="J826">
        <v>5.2521131220325463</v>
      </c>
      <c r="K826">
        <v>4.5</v>
      </c>
      <c r="L826">
        <v>9</v>
      </c>
      <c r="N826" t="s">
        <v>20</v>
      </c>
      <c r="O826" t="s">
        <v>16</v>
      </c>
      <c r="P826" t="e">
        <v>#VALUE!</v>
      </c>
      <c r="Q826">
        <v>10</v>
      </c>
      <c r="R826">
        <v>5</v>
      </c>
    </row>
    <row r="827" spans="1:21" x14ac:dyDescent="0.25">
      <c r="A827">
        <v>5</v>
      </c>
      <c r="B827">
        <v>100</v>
      </c>
      <c r="C827">
        <v>4</v>
      </c>
      <c r="D827">
        <v>25</v>
      </c>
      <c r="E827">
        <v>27</v>
      </c>
      <c r="F827" t="s">
        <v>21</v>
      </c>
      <c r="G827" t="s">
        <v>22</v>
      </c>
      <c r="H827" t="s">
        <v>283</v>
      </c>
      <c r="I827">
        <v>18</v>
      </c>
      <c r="J827">
        <v>5.7295779513082321</v>
      </c>
      <c r="K827">
        <v>9</v>
      </c>
      <c r="L827">
        <v>11</v>
      </c>
      <c r="N827" t="s">
        <v>20</v>
      </c>
      <c r="O827" t="s">
        <v>16</v>
      </c>
      <c r="P827" t="s">
        <v>303</v>
      </c>
      <c r="Q827">
        <v>10</v>
      </c>
      <c r="R827">
        <v>5</v>
      </c>
    </row>
    <row r="828" spans="1:21" x14ac:dyDescent="0.25">
      <c r="A828">
        <v>8</v>
      </c>
      <c r="B828">
        <v>500</v>
      </c>
      <c r="C828">
        <v>2</v>
      </c>
      <c r="D828">
        <v>26</v>
      </c>
      <c r="E828">
        <v>28</v>
      </c>
      <c r="F828" t="s">
        <v>21</v>
      </c>
      <c r="G828" t="s">
        <v>22</v>
      </c>
      <c r="H828" t="s">
        <v>283</v>
      </c>
      <c r="I828">
        <v>36</v>
      </c>
      <c r="J828">
        <v>11.459155902616464</v>
      </c>
      <c r="K828">
        <v>6</v>
      </c>
      <c r="L828">
        <v>13</v>
      </c>
      <c r="N828" t="s">
        <v>20</v>
      </c>
      <c r="O828" t="s">
        <v>16</v>
      </c>
      <c r="P828" t="s">
        <v>303</v>
      </c>
      <c r="Q828">
        <v>12.5</v>
      </c>
      <c r="R828">
        <v>10</v>
      </c>
      <c r="S828">
        <v>17</v>
      </c>
      <c r="T828" t="s">
        <v>273</v>
      </c>
      <c r="U828">
        <v>8.6019348139417251E-2</v>
      </c>
    </row>
    <row r="829" spans="1:21" x14ac:dyDescent="0.25">
      <c r="A829">
        <v>1</v>
      </c>
      <c r="B829">
        <v>500</v>
      </c>
      <c r="C829">
        <v>4</v>
      </c>
      <c r="D829">
        <v>27</v>
      </c>
      <c r="E829">
        <v>30</v>
      </c>
      <c r="F829" t="s">
        <v>21</v>
      </c>
      <c r="G829" t="s">
        <v>22</v>
      </c>
      <c r="H829" t="s">
        <v>283</v>
      </c>
      <c r="I829">
        <v>55</v>
      </c>
      <c r="J829">
        <v>17.507043740108486</v>
      </c>
      <c r="K829">
        <v>7</v>
      </c>
      <c r="L829">
        <v>13</v>
      </c>
      <c r="N829" t="s">
        <v>20</v>
      </c>
      <c r="O829" t="s">
        <v>16</v>
      </c>
      <c r="P829" t="s">
        <v>303</v>
      </c>
      <c r="Q829">
        <v>12.5</v>
      </c>
      <c r="R829">
        <v>20</v>
      </c>
      <c r="S829">
        <v>17</v>
      </c>
      <c r="T829" t="s">
        <v>273</v>
      </c>
      <c r="U829">
        <v>0.18567824151911486</v>
      </c>
    </row>
    <row r="830" spans="1:21" x14ac:dyDescent="0.25">
      <c r="A830">
        <v>4</v>
      </c>
      <c r="B830">
        <v>500</v>
      </c>
      <c r="C830">
        <v>3</v>
      </c>
      <c r="D830">
        <v>33</v>
      </c>
      <c r="E830">
        <v>34</v>
      </c>
      <c r="F830" t="s">
        <v>21</v>
      </c>
      <c r="G830" t="s">
        <v>22</v>
      </c>
      <c r="H830" t="s">
        <v>283</v>
      </c>
      <c r="I830">
        <v>44.5</v>
      </c>
      <c r="J830">
        <v>14.164789935178685</v>
      </c>
      <c r="K830">
        <v>6.5</v>
      </c>
      <c r="L830">
        <v>13</v>
      </c>
      <c r="N830" t="s">
        <v>20</v>
      </c>
      <c r="O830" t="s">
        <v>16</v>
      </c>
      <c r="P830" t="s">
        <v>303</v>
      </c>
      <c r="Q830">
        <v>12.5</v>
      </c>
      <c r="R830">
        <v>15</v>
      </c>
      <c r="S830">
        <v>17</v>
      </c>
      <c r="T830" t="s">
        <v>273</v>
      </c>
      <c r="U830">
        <v>0.12639455196852614</v>
      </c>
    </row>
    <row r="831" spans="1:21" x14ac:dyDescent="0.25">
      <c r="A831">
        <v>5</v>
      </c>
      <c r="B831">
        <v>500</v>
      </c>
      <c r="C831">
        <v>3</v>
      </c>
      <c r="D831">
        <v>32</v>
      </c>
      <c r="E831">
        <v>34</v>
      </c>
      <c r="F831" t="s">
        <v>21</v>
      </c>
      <c r="G831" t="s">
        <v>22</v>
      </c>
      <c r="H831" t="s">
        <v>283</v>
      </c>
      <c r="I831">
        <v>36</v>
      </c>
      <c r="J831">
        <v>11.459155902616464</v>
      </c>
      <c r="K831">
        <v>6</v>
      </c>
      <c r="L831">
        <v>12</v>
      </c>
      <c r="N831" t="s">
        <v>20</v>
      </c>
      <c r="O831" t="s">
        <v>16</v>
      </c>
      <c r="P831" t="s">
        <v>303</v>
      </c>
      <c r="Q831">
        <v>12.5</v>
      </c>
      <c r="R831">
        <v>10</v>
      </c>
      <c r="S831">
        <v>17</v>
      </c>
      <c r="T831" t="s">
        <v>273</v>
      </c>
      <c r="U831">
        <v>7.9209562371578848E-2</v>
      </c>
    </row>
    <row r="832" spans="1:21" x14ac:dyDescent="0.25">
      <c r="A832">
        <v>5</v>
      </c>
      <c r="B832">
        <v>500</v>
      </c>
      <c r="C832">
        <v>4</v>
      </c>
      <c r="D832">
        <v>33</v>
      </c>
      <c r="E832">
        <v>35</v>
      </c>
      <c r="F832" t="s">
        <v>21</v>
      </c>
      <c r="G832" t="s">
        <v>22</v>
      </c>
      <c r="H832" t="s">
        <v>283</v>
      </c>
      <c r="I832">
        <v>32</v>
      </c>
      <c r="J832">
        <v>10.185916357881302</v>
      </c>
      <c r="K832">
        <v>7</v>
      </c>
      <c r="L832">
        <v>10</v>
      </c>
      <c r="N832" t="s">
        <v>20</v>
      </c>
      <c r="O832" t="s">
        <v>16</v>
      </c>
      <c r="P832" t="s">
        <v>303</v>
      </c>
      <c r="Q832">
        <v>10</v>
      </c>
      <c r="R832">
        <v>10</v>
      </c>
      <c r="S832">
        <v>17</v>
      </c>
      <c r="T832" t="s">
        <v>273</v>
      </c>
      <c r="U832">
        <v>5.3005584899578816E-2</v>
      </c>
    </row>
    <row r="833" spans="1:21" x14ac:dyDescent="0.25">
      <c r="A833">
        <v>5</v>
      </c>
      <c r="B833">
        <v>100</v>
      </c>
      <c r="C833">
        <v>4</v>
      </c>
      <c r="D833">
        <v>33</v>
      </c>
      <c r="E833">
        <v>35</v>
      </c>
      <c r="F833" t="s">
        <v>21</v>
      </c>
      <c r="G833" t="s">
        <v>22</v>
      </c>
      <c r="H833" t="s">
        <v>283</v>
      </c>
      <c r="I833">
        <v>27</v>
      </c>
      <c r="J833">
        <v>8.5943669269623477</v>
      </c>
      <c r="K833">
        <v>6</v>
      </c>
      <c r="L833">
        <v>10</v>
      </c>
      <c r="N833" t="s">
        <v>20</v>
      </c>
      <c r="O833" t="s">
        <v>16</v>
      </c>
      <c r="P833" t="s">
        <v>303</v>
      </c>
      <c r="Q833">
        <v>10</v>
      </c>
      <c r="R833">
        <v>10</v>
      </c>
    </row>
    <row r="834" spans="1:21" x14ac:dyDescent="0.25">
      <c r="A834">
        <v>5</v>
      </c>
      <c r="B834">
        <v>500</v>
      </c>
      <c r="C834">
        <v>4</v>
      </c>
      <c r="D834">
        <v>34</v>
      </c>
      <c r="E834">
        <v>36</v>
      </c>
      <c r="F834" t="s">
        <v>21</v>
      </c>
      <c r="G834" t="s">
        <v>22</v>
      </c>
      <c r="H834" t="s">
        <v>283</v>
      </c>
      <c r="I834">
        <v>35.5</v>
      </c>
      <c r="J834">
        <v>11.300000959524569</v>
      </c>
      <c r="K834">
        <v>5.5</v>
      </c>
      <c r="L834">
        <v>9</v>
      </c>
      <c r="N834" t="s">
        <v>20</v>
      </c>
      <c r="O834" t="s">
        <v>16</v>
      </c>
      <c r="P834" t="s">
        <v>303</v>
      </c>
      <c r="Q834">
        <v>10</v>
      </c>
      <c r="R834">
        <v>10</v>
      </c>
      <c r="S834">
        <v>17</v>
      </c>
      <c r="T834" t="s">
        <v>273</v>
      </c>
      <c r="U834">
        <v>5.7413527586479933E-2</v>
      </c>
    </row>
    <row r="835" spans="1:21" x14ac:dyDescent="0.25">
      <c r="A835">
        <v>8</v>
      </c>
      <c r="B835">
        <v>500</v>
      </c>
      <c r="C835">
        <v>3</v>
      </c>
      <c r="D835">
        <v>31</v>
      </c>
      <c r="E835">
        <v>36</v>
      </c>
      <c r="F835" t="s">
        <v>21</v>
      </c>
      <c r="G835" t="s">
        <v>22</v>
      </c>
      <c r="H835" t="s">
        <v>283</v>
      </c>
      <c r="I835">
        <v>41.5</v>
      </c>
      <c r="J835">
        <v>13.209860276627314</v>
      </c>
      <c r="K835">
        <v>8</v>
      </c>
      <c r="L835">
        <v>12</v>
      </c>
      <c r="N835" t="s">
        <v>20</v>
      </c>
      <c r="O835" t="s">
        <v>16</v>
      </c>
      <c r="P835" t="s">
        <v>303</v>
      </c>
      <c r="Q835">
        <v>12.5</v>
      </c>
      <c r="R835">
        <v>15</v>
      </c>
      <c r="S835">
        <v>17</v>
      </c>
      <c r="T835" t="s">
        <v>273</v>
      </c>
      <c r="U835">
        <v>0.1025363725312375</v>
      </c>
    </row>
    <row r="836" spans="1:21" x14ac:dyDescent="0.25">
      <c r="A836">
        <v>5</v>
      </c>
      <c r="B836">
        <v>100</v>
      </c>
      <c r="C836">
        <v>4</v>
      </c>
      <c r="D836">
        <v>34</v>
      </c>
      <c r="E836">
        <v>36</v>
      </c>
      <c r="F836" t="s">
        <v>21</v>
      </c>
      <c r="G836" t="s">
        <v>22</v>
      </c>
      <c r="H836" t="s">
        <v>283</v>
      </c>
      <c r="I836">
        <v>21.5</v>
      </c>
      <c r="J836">
        <v>6.8436625529514998</v>
      </c>
      <c r="K836">
        <v>6</v>
      </c>
      <c r="L836">
        <v>9</v>
      </c>
      <c r="N836" t="s">
        <v>20</v>
      </c>
      <c r="O836" t="s">
        <v>16</v>
      </c>
      <c r="P836" t="s">
        <v>303</v>
      </c>
      <c r="Q836">
        <v>10</v>
      </c>
      <c r="R836">
        <v>5</v>
      </c>
    </row>
    <row r="837" spans="1:21" x14ac:dyDescent="0.25">
      <c r="A837">
        <v>8</v>
      </c>
      <c r="B837">
        <v>500</v>
      </c>
      <c r="C837">
        <v>3</v>
      </c>
      <c r="D837">
        <v>32</v>
      </c>
      <c r="E837">
        <v>37</v>
      </c>
      <c r="F837" t="s">
        <v>21</v>
      </c>
      <c r="G837" t="s">
        <v>22</v>
      </c>
      <c r="H837" t="s">
        <v>283</v>
      </c>
      <c r="I837">
        <v>41</v>
      </c>
      <c r="J837">
        <v>13.050705333535419</v>
      </c>
      <c r="K837">
        <v>5</v>
      </c>
      <c r="L837">
        <v>10</v>
      </c>
      <c r="N837" t="s">
        <v>20</v>
      </c>
      <c r="O837" t="s">
        <v>16</v>
      </c>
      <c r="P837" t="s">
        <v>303</v>
      </c>
      <c r="Q837">
        <v>10</v>
      </c>
      <c r="R837">
        <v>15</v>
      </c>
      <c r="S837">
        <v>17</v>
      </c>
      <c r="T837" t="s">
        <v>273</v>
      </c>
      <c r="U837">
        <v>8.3125264362633317E-2</v>
      </c>
    </row>
    <row r="838" spans="1:21" x14ac:dyDescent="0.25">
      <c r="A838">
        <v>5</v>
      </c>
      <c r="B838">
        <v>500</v>
      </c>
      <c r="C838">
        <v>4</v>
      </c>
      <c r="D838">
        <v>36</v>
      </c>
      <c r="E838">
        <v>38</v>
      </c>
      <c r="F838" t="s">
        <v>21</v>
      </c>
      <c r="G838" t="s">
        <v>22</v>
      </c>
      <c r="H838" t="s">
        <v>283</v>
      </c>
      <c r="I838">
        <v>38</v>
      </c>
      <c r="J838">
        <v>12.095775674984045</v>
      </c>
      <c r="K838">
        <v>8</v>
      </c>
      <c r="L838">
        <v>13</v>
      </c>
      <c r="N838" t="s">
        <v>20</v>
      </c>
      <c r="O838" t="s">
        <v>16</v>
      </c>
      <c r="P838" t="s">
        <v>303</v>
      </c>
      <c r="Q838">
        <v>12.5</v>
      </c>
      <c r="R838">
        <v>10</v>
      </c>
      <c r="S838">
        <v>17</v>
      </c>
      <c r="T838" t="s">
        <v>273</v>
      </c>
      <c r="U838">
        <v>9.4891330317624589E-2</v>
      </c>
    </row>
    <row r="839" spans="1:21" x14ac:dyDescent="0.25">
      <c r="A839">
        <v>4</v>
      </c>
      <c r="B839">
        <v>500</v>
      </c>
      <c r="C839">
        <v>3</v>
      </c>
      <c r="D839">
        <v>38</v>
      </c>
      <c r="E839">
        <v>39</v>
      </c>
      <c r="F839" t="s">
        <v>21</v>
      </c>
      <c r="G839" t="s">
        <v>22</v>
      </c>
      <c r="H839" t="s">
        <v>283</v>
      </c>
      <c r="I839">
        <v>49.5</v>
      </c>
      <c r="J839">
        <v>15.756339366097638</v>
      </c>
      <c r="K839">
        <v>4</v>
      </c>
      <c r="L839">
        <v>12</v>
      </c>
      <c r="N839" t="s">
        <v>20</v>
      </c>
      <c r="O839" t="s">
        <v>16</v>
      </c>
      <c r="P839" t="s">
        <v>303</v>
      </c>
      <c r="Q839">
        <v>12.5</v>
      </c>
      <c r="R839">
        <v>15</v>
      </c>
      <c r="S839">
        <v>17</v>
      </c>
      <c r="T839" t="s">
        <v>273</v>
      </c>
      <c r="U839">
        <v>0.141211108885963</v>
      </c>
    </row>
    <row r="840" spans="1:21" x14ac:dyDescent="0.25">
      <c r="A840">
        <v>8</v>
      </c>
      <c r="B840">
        <v>500</v>
      </c>
      <c r="C840">
        <v>3</v>
      </c>
      <c r="D840">
        <v>34</v>
      </c>
      <c r="E840">
        <v>39</v>
      </c>
      <c r="F840" t="s">
        <v>21</v>
      </c>
      <c r="G840" t="s">
        <v>22</v>
      </c>
      <c r="H840" t="s">
        <v>283</v>
      </c>
      <c r="I840">
        <v>45</v>
      </c>
      <c r="J840">
        <v>14.323944878270581</v>
      </c>
      <c r="K840">
        <v>6.5</v>
      </c>
      <c r="L840">
        <v>12</v>
      </c>
      <c r="N840" t="s">
        <v>20</v>
      </c>
      <c r="O840" t="s">
        <v>16</v>
      </c>
      <c r="P840" t="s">
        <v>303</v>
      </c>
      <c r="Q840">
        <v>12.5</v>
      </c>
      <c r="R840">
        <v>15</v>
      </c>
      <c r="S840">
        <v>17</v>
      </c>
      <c r="T840" t="s">
        <v>273</v>
      </c>
      <c r="U840">
        <v>0.11877352207745759</v>
      </c>
    </row>
    <row r="841" spans="1:21" x14ac:dyDescent="0.25">
      <c r="A841">
        <v>8</v>
      </c>
      <c r="B841">
        <v>500</v>
      </c>
      <c r="C841">
        <v>3</v>
      </c>
      <c r="D841">
        <v>35</v>
      </c>
      <c r="E841">
        <v>40</v>
      </c>
      <c r="F841" t="s">
        <v>21</v>
      </c>
      <c r="G841" t="s">
        <v>22</v>
      </c>
      <c r="H841" t="s">
        <v>283</v>
      </c>
      <c r="I841">
        <v>48</v>
      </c>
      <c r="J841">
        <v>15.278874536821952</v>
      </c>
      <c r="K841">
        <v>8</v>
      </c>
      <c r="L841">
        <v>15</v>
      </c>
      <c r="N841" t="s">
        <v>20</v>
      </c>
      <c r="O841" t="s">
        <v>16</v>
      </c>
      <c r="P841" t="s">
        <v>303</v>
      </c>
      <c r="Q841">
        <v>15</v>
      </c>
      <c r="R841">
        <v>15</v>
      </c>
      <c r="S841">
        <v>17</v>
      </c>
      <c r="T841" t="s">
        <v>273</v>
      </c>
      <c r="U841">
        <v>0.16805887690079979</v>
      </c>
    </row>
    <row r="842" spans="1:21" x14ac:dyDescent="0.25">
      <c r="A842">
        <v>5</v>
      </c>
      <c r="B842">
        <v>500</v>
      </c>
      <c r="C842">
        <v>4</v>
      </c>
      <c r="D842">
        <v>39</v>
      </c>
      <c r="E842">
        <v>41</v>
      </c>
      <c r="F842" t="s">
        <v>21</v>
      </c>
      <c r="G842" t="s">
        <v>22</v>
      </c>
      <c r="H842" t="s">
        <v>283</v>
      </c>
      <c r="I842">
        <v>34</v>
      </c>
      <c r="J842">
        <v>10.822536130248883</v>
      </c>
      <c r="K842">
        <v>8</v>
      </c>
      <c r="L842">
        <v>12</v>
      </c>
      <c r="N842" t="s">
        <v>20</v>
      </c>
      <c r="O842" t="s">
        <v>16</v>
      </c>
      <c r="P842" t="s">
        <v>303</v>
      </c>
      <c r="Q842">
        <v>12.5</v>
      </c>
      <c r="R842">
        <v>10</v>
      </c>
      <c r="S842">
        <v>17</v>
      </c>
      <c r="T842" t="s">
        <v>273</v>
      </c>
      <c r="U842">
        <v>7.1401923725509311E-2</v>
      </c>
    </row>
    <row r="843" spans="1:21" x14ac:dyDescent="0.25">
      <c r="A843">
        <v>2</v>
      </c>
      <c r="B843">
        <v>500</v>
      </c>
      <c r="C843">
        <v>3</v>
      </c>
      <c r="D843">
        <v>46</v>
      </c>
      <c r="E843">
        <v>49</v>
      </c>
      <c r="F843" t="s">
        <v>21</v>
      </c>
      <c r="G843" t="s">
        <v>22</v>
      </c>
      <c r="H843" t="s">
        <v>283</v>
      </c>
      <c r="I843">
        <v>72.5</v>
      </c>
      <c r="J843">
        <v>23.077466748324824</v>
      </c>
      <c r="K843">
        <v>10</v>
      </c>
      <c r="L843">
        <v>15</v>
      </c>
      <c r="N843" t="s">
        <v>29</v>
      </c>
      <c r="O843" t="s">
        <v>16</v>
      </c>
      <c r="P843" t="s">
        <v>303</v>
      </c>
      <c r="Q843">
        <v>15</v>
      </c>
      <c r="R843">
        <v>25</v>
      </c>
      <c r="S843">
        <v>17</v>
      </c>
      <c r="T843" t="s">
        <v>273</v>
      </c>
      <c r="U843">
        <v>0.35531630664302144</v>
      </c>
    </row>
    <row r="844" spans="1:21" x14ac:dyDescent="0.25">
      <c r="A844">
        <v>2</v>
      </c>
      <c r="B844">
        <v>500</v>
      </c>
      <c r="C844">
        <v>3</v>
      </c>
      <c r="D844" t="s">
        <v>117</v>
      </c>
      <c r="E844">
        <v>50</v>
      </c>
      <c r="F844" t="s">
        <v>21</v>
      </c>
      <c r="G844" t="s">
        <v>22</v>
      </c>
      <c r="H844" t="s">
        <v>283</v>
      </c>
      <c r="I844">
        <v>69.5</v>
      </c>
      <c r="J844">
        <v>22.122537089773452</v>
      </c>
      <c r="K844">
        <v>10</v>
      </c>
      <c r="L844">
        <v>15</v>
      </c>
      <c r="N844" t="s">
        <v>20</v>
      </c>
      <c r="O844" t="s">
        <v>16</v>
      </c>
      <c r="P844" t="e">
        <v>#VALUE!</v>
      </c>
      <c r="Q844">
        <v>15</v>
      </c>
      <c r="R844">
        <v>20</v>
      </c>
      <c r="S844">
        <v>17</v>
      </c>
      <c r="T844" t="s">
        <v>273</v>
      </c>
      <c r="U844">
        <v>0.32907473673461679</v>
      </c>
    </row>
    <row r="845" spans="1:21" x14ac:dyDescent="0.25">
      <c r="A845">
        <v>4</v>
      </c>
      <c r="B845">
        <v>500</v>
      </c>
      <c r="C845">
        <v>4</v>
      </c>
      <c r="D845">
        <v>50</v>
      </c>
      <c r="E845">
        <v>52</v>
      </c>
      <c r="F845" t="s">
        <v>21</v>
      </c>
      <c r="G845" t="s">
        <v>22</v>
      </c>
      <c r="H845" t="s">
        <v>283</v>
      </c>
      <c r="I845">
        <v>50</v>
      </c>
      <c r="J845">
        <v>15.915494309189533</v>
      </c>
      <c r="K845">
        <v>7</v>
      </c>
      <c r="L845">
        <v>13</v>
      </c>
      <c r="N845" t="s">
        <v>20</v>
      </c>
      <c r="O845" t="s">
        <v>16</v>
      </c>
      <c r="P845" t="s">
        <v>303</v>
      </c>
      <c r="Q845">
        <v>12.5</v>
      </c>
      <c r="R845">
        <v>15</v>
      </c>
      <c r="S845">
        <v>17</v>
      </c>
      <c r="T845" t="s">
        <v>273</v>
      </c>
      <c r="U845">
        <v>0.15617509764181392</v>
      </c>
    </row>
    <row r="846" spans="1:21" x14ac:dyDescent="0.25">
      <c r="A846">
        <v>4</v>
      </c>
      <c r="B846">
        <v>500</v>
      </c>
      <c r="C846">
        <v>4</v>
      </c>
      <c r="D846">
        <v>52</v>
      </c>
      <c r="E846">
        <v>54</v>
      </c>
      <c r="F846" t="s">
        <v>21</v>
      </c>
      <c r="G846" t="s">
        <v>22</v>
      </c>
      <c r="H846" t="s">
        <v>283</v>
      </c>
      <c r="I846">
        <v>36.5</v>
      </c>
      <c r="J846">
        <v>11.618310845708359</v>
      </c>
      <c r="K846">
        <v>9</v>
      </c>
      <c r="L846">
        <v>13</v>
      </c>
      <c r="N846" t="s">
        <v>20</v>
      </c>
      <c r="O846" t="s">
        <v>16</v>
      </c>
      <c r="P846" t="s">
        <v>303</v>
      </c>
      <c r="Q846">
        <v>12.5</v>
      </c>
      <c r="R846">
        <v>10</v>
      </c>
      <c r="S846">
        <v>17</v>
      </c>
      <c r="T846" t="s">
        <v>273</v>
      </c>
      <c r="U846">
        <v>8.8200646686277084E-2</v>
      </c>
    </row>
    <row r="847" spans="1:21" x14ac:dyDescent="0.25">
      <c r="A847">
        <v>1</v>
      </c>
      <c r="B847">
        <v>100</v>
      </c>
      <c r="C847">
        <v>1</v>
      </c>
      <c r="D847">
        <v>1</v>
      </c>
      <c r="E847">
        <v>1</v>
      </c>
      <c r="F847" t="s">
        <v>21</v>
      </c>
      <c r="G847" t="s">
        <v>22</v>
      </c>
      <c r="H847" t="s">
        <v>283</v>
      </c>
      <c r="I847">
        <v>16</v>
      </c>
      <c r="J847">
        <v>5.0929581789406511</v>
      </c>
      <c r="K847">
        <v>6</v>
      </c>
      <c r="L847">
        <v>8</v>
      </c>
      <c r="N847" t="s">
        <v>20</v>
      </c>
      <c r="O847" t="s">
        <v>16</v>
      </c>
      <c r="P847" t="s">
        <v>303</v>
      </c>
      <c r="Q847">
        <v>7.5</v>
      </c>
      <c r="R847">
        <v>5</v>
      </c>
    </row>
    <row r="848" spans="1:21" x14ac:dyDescent="0.25">
      <c r="A848">
        <v>10</v>
      </c>
      <c r="B848">
        <v>100</v>
      </c>
      <c r="C848">
        <v>1</v>
      </c>
      <c r="D848">
        <v>1</v>
      </c>
      <c r="E848">
        <v>1</v>
      </c>
      <c r="F848" t="s">
        <v>21</v>
      </c>
      <c r="G848" t="s">
        <v>22</v>
      </c>
      <c r="H848" t="s">
        <v>283</v>
      </c>
      <c r="I848">
        <v>21.5</v>
      </c>
      <c r="J848">
        <v>6.8436625529514998</v>
      </c>
      <c r="K848">
        <v>4</v>
      </c>
      <c r="L848">
        <v>10</v>
      </c>
      <c r="N848" t="s">
        <v>20</v>
      </c>
      <c r="O848" t="s">
        <v>16</v>
      </c>
      <c r="P848" t="s">
        <v>303</v>
      </c>
      <c r="Q848">
        <v>10</v>
      </c>
      <c r="R848">
        <v>5</v>
      </c>
    </row>
    <row r="849" spans="1:21" x14ac:dyDescent="0.25">
      <c r="A849">
        <v>11</v>
      </c>
      <c r="B849">
        <v>5</v>
      </c>
      <c r="D849">
        <v>3</v>
      </c>
      <c r="E849">
        <v>3</v>
      </c>
      <c r="F849" t="s">
        <v>48</v>
      </c>
      <c r="G849" t="s">
        <v>49</v>
      </c>
      <c r="H849" t="s">
        <v>50</v>
      </c>
      <c r="L849">
        <v>6</v>
      </c>
      <c r="M849" t="e">
        <v>#REF!</v>
      </c>
      <c r="O849" t="s">
        <v>16</v>
      </c>
      <c r="P849" t="s">
        <v>303</v>
      </c>
      <c r="Q849">
        <v>5</v>
      </c>
      <c r="R849">
        <v>5</v>
      </c>
    </row>
    <row r="850" spans="1:21" x14ac:dyDescent="0.25">
      <c r="A850">
        <v>5</v>
      </c>
      <c r="B850">
        <v>500</v>
      </c>
      <c r="C850">
        <v>1</v>
      </c>
      <c r="D850">
        <v>3</v>
      </c>
      <c r="E850">
        <v>3</v>
      </c>
      <c r="F850" t="s">
        <v>21</v>
      </c>
      <c r="G850" t="s">
        <v>22</v>
      </c>
      <c r="H850" t="s">
        <v>283</v>
      </c>
      <c r="I850">
        <v>38.5</v>
      </c>
      <c r="J850">
        <v>12.254930618075941</v>
      </c>
      <c r="K850">
        <v>9</v>
      </c>
      <c r="L850">
        <v>12</v>
      </c>
      <c r="N850" t="s">
        <v>20</v>
      </c>
      <c r="O850" t="s">
        <v>16</v>
      </c>
      <c r="P850" t="s">
        <v>303</v>
      </c>
      <c r="Q850">
        <v>12.5</v>
      </c>
      <c r="R850">
        <v>10</v>
      </c>
      <c r="S850">
        <v>17</v>
      </c>
      <c r="T850" t="s">
        <v>273</v>
      </c>
      <c r="U850">
        <v>8.9477727904145057E-2</v>
      </c>
    </row>
    <row r="851" spans="1:21" x14ac:dyDescent="0.25">
      <c r="A851">
        <v>4</v>
      </c>
      <c r="B851">
        <v>100</v>
      </c>
      <c r="C851">
        <v>1</v>
      </c>
      <c r="D851">
        <v>3</v>
      </c>
      <c r="E851">
        <v>3</v>
      </c>
      <c r="F851" t="s">
        <v>21</v>
      </c>
      <c r="G851" t="s">
        <v>22</v>
      </c>
      <c r="H851" t="s">
        <v>283</v>
      </c>
      <c r="I851">
        <v>24</v>
      </c>
      <c r="J851">
        <v>7.6394372684109761</v>
      </c>
      <c r="K851">
        <v>5</v>
      </c>
      <c r="L851">
        <v>8</v>
      </c>
      <c r="N851" t="s">
        <v>20</v>
      </c>
      <c r="O851" t="s">
        <v>16</v>
      </c>
      <c r="P851" t="s">
        <v>303</v>
      </c>
      <c r="Q851">
        <v>7.5</v>
      </c>
      <c r="R851">
        <v>10</v>
      </c>
    </row>
    <row r="852" spans="1:21" x14ac:dyDescent="0.25">
      <c r="A852">
        <v>7</v>
      </c>
      <c r="B852">
        <v>500</v>
      </c>
      <c r="C852">
        <v>1</v>
      </c>
      <c r="D852">
        <v>4</v>
      </c>
      <c r="E852">
        <v>4</v>
      </c>
      <c r="F852" t="s">
        <v>21</v>
      </c>
      <c r="G852" t="s">
        <v>22</v>
      </c>
      <c r="H852" t="s">
        <v>283</v>
      </c>
      <c r="I852">
        <v>48</v>
      </c>
      <c r="J852">
        <v>15.278874536821952</v>
      </c>
      <c r="K852">
        <v>6</v>
      </c>
      <c r="L852">
        <v>10</v>
      </c>
      <c r="N852" t="s">
        <v>20</v>
      </c>
      <c r="O852" t="s">
        <v>183</v>
      </c>
      <c r="P852" t="s">
        <v>303</v>
      </c>
      <c r="Q852">
        <v>10</v>
      </c>
      <c r="R852">
        <v>15</v>
      </c>
      <c r="S852">
        <v>17</v>
      </c>
      <c r="T852" t="s">
        <v>273</v>
      </c>
      <c r="U852">
        <v>0.11066715644741094</v>
      </c>
    </row>
    <row r="853" spans="1:21" x14ac:dyDescent="0.25">
      <c r="A853">
        <v>9</v>
      </c>
      <c r="B853">
        <v>500</v>
      </c>
      <c r="C853">
        <v>1</v>
      </c>
      <c r="D853">
        <v>4</v>
      </c>
      <c r="E853">
        <v>4</v>
      </c>
      <c r="F853" t="s">
        <v>21</v>
      </c>
      <c r="G853" t="s">
        <v>22</v>
      </c>
      <c r="H853" t="s">
        <v>283</v>
      </c>
      <c r="I853">
        <v>37</v>
      </c>
      <c r="J853">
        <v>11.777465788800255</v>
      </c>
      <c r="K853">
        <v>4</v>
      </c>
      <c r="L853">
        <v>9</v>
      </c>
      <c r="N853" t="s">
        <v>20</v>
      </c>
      <c r="O853" t="s">
        <v>16</v>
      </c>
      <c r="P853" t="s">
        <v>303</v>
      </c>
      <c r="Q853">
        <v>10</v>
      </c>
      <c r="R853">
        <v>10</v>
      </c>
      <c r="S853">
        <v>17</v>
      </c>
      <c r="T853" t="s">
        <v>273</v>
      </c>
      <c r="U853">
        <v>6.1893527845592933E-2</v>
      </c>
    </row>
    <row r="854" spans="1:21" x14ac:dyDescent="0.25">
      <c r="A854">
        <v>4</v>
      </c>
      <c r="B854">
        <v>100</v>
      </c>
      <c r="C854">
        <v>1</v>
      </c>
      <c r="D854">
        <v>4</v>
      </c>
      <c r="E854">
        <v>4</v>
      </c>
      <c r="F854" t="s">
        <v>21</v>
      </c>
      <c r="G854" t="s">
        <v>22</v>
      </c>
      <c r="H854" t="s">
        <v>283</v>
      </c>
      <c r="I854">
        <v>25</v>
      </c>
      <c r="J854">
        <v>7.9577471545947667</v>
      </c>
      <c r="K854">
        <v>6</v>
      </c>
      <c r="L854">
        <v>8</v>
      </c>
      <c r="N854" t="s">
        <v>20</v>
      </c>
      <c r="O854" t="s">
        <v>16</v>
      </c>
      <c r="P854" t="s">
        <v>303</v>
      </c>
      <c r="Q854">
        <v>7.5</v>
      </c>
      <c r="R854">
        <v>10</v>
      </c>
    </row>
    <row r="855" spans="1:21" x14ac:dyDescent="0.25">
      <c r="A855">
        <v>5</v>
      </c>
      <c r="B855">
        <v>100</v>
      </c>
      <c r="C855">
        <v>1</v>
      </c>
      <c r="D855">
        <v>3</v>
      </c>
      <c r="E855">
        <v>4</v>
      </c>
      <c r="F855" t="s">
        <v>21</v>
      </c>
      <c r="G855" t="s">
        <v>22</v>
      </c>
      <c r="H855" t="s">
        <v>283</v>
      </c>
      <c r="I855">
        <v>30</v>
      </c>
      <c r="J855">
        <v>9.5492965855137211</v>
      </c>
      <c r="K855">
        <v>7</v>
      </c>
      <c r="L855">
        <v>13</v>
      </c>
      <c r="N855" t="s">
        <v>20</v>
      </c>
      <c r="O855" t="s">
        <v>16</v>
      </c>
      <c r="P855" t="s">
        <v>303</v>
      </c>
      <c r="Q855">
        <v>12.5</v>
      </c>
      <c r="R855">
        <v>10</v>
      </c>
    </row>
    <row r="856" spans="1:21" x14ac:dyDescent="0.25">
      <c r="A856">
        <v>6</v>
      </c>
      <c r="B856">
        <v>100</v>
      </c>
      <c r="C856">
        <v>1</v>
      </c>
      <c r="D856">
        <v>4</v>
      </c>
      <c r="E856">
        <v>4</v>
      </c>
      <c r="F856" t="s">
        <v>21</v>
      </c>
      <c r="G856" t="s">
        <v>22</v>
      </c>
      <c r="H856" t="s">
        <v>283</v>
      </c>
      <c r="I856">
        <v>20</v>
      </c>
      <c r="J856">
        <v>6.366197723675814</v>
      </c>
      <c r="K856">
        <v>3.5</v>
      </c>
      <c r="L856">
        <v>7.5</v>
      </c>
      <c r="N856" t="s">
        <v>20</v>
      </c>
      <c r="O856" t="s">
        <v>16</v>
      </c>
      <c r="P856" t="s">
        <v>303</v>
      </c>
      <c r="Q856">
        <v>7.5</v>
      </c>
      <c r="R856">
        <v>5</v>
      </c>
    </row>
    <row r="857" spans="1:21" x14ac:dyDescent="0.25">
      <c r="A857">
        <v>10</v>
      </c>
      <c r="B857">
        <v>100</v>
      </c>
      <c r="C857">
        <v>1</v>
      </c>
      <c r="D857">
        <v>4</v>
      </c>
      <c r="E857">
        <v>4</v>
      </c>
      <c r="F857" t="s">
        <v>21</v>
      </c>
      <c r="G857" t="s">
        <v>22</v>
      </c>
      <c r="H857" t="s">
        <v>283</v>
      </c>
      <c r="I857">
        <v>31</v>
      </c>
      <c r="J857">
        <v>9.8676064716975116</v>
      </c>
      <c r="K857">
        <v>7</v>
      </c>
      <c r="L857">
        <v>12</v>
      </c>
      <c r="N857" t="s">
        <v>20</v>
      </c>
      <c r="O857" t="s">
        <v>16</v>
      </c>
      <c r="P857" t="s">
        <v>303</v>
      </c>
      <c r="Q857">
        <v>12.5</v>
      </c>
      <c r="R857">
        <v>10</v>
      </c>
    </row>
    <row r="858" spans="1:21" x14ac:dyDescent="0.25">
      <c r="A858">
        <v>11</v>
      </c>
      <c r="B858">
        <v>5</v>
      </c>
      <c r="D858">
        <v>4</v>
      </c>
      <c r="E858">
        <v>4</v>
      </c>
      <c r="F858" t="s">
        <v>21</v>
      </c>
      <c r="G858" t="s">
        <v>22</v>
      </c>
      <c r="H858" t="s">
        <v>283</v>
      </c>
      <c r="L858">
        <v>1.6</v>
      </c>
      <c r="M858" t="e">
        <v>#REF!</v>
      </c>
      <c r="O858" t="s">
        <v>16</v>
      </c>
      <c r="P858" t="s">
        <v>303</v>
      </c>
      <c r="Q858">
        <v>2.5</v>
      </c>
      <c r="R858">
        <v>5</v>
      </c>
    </row>
    <row r="859" spans="1:21" x14ac:dyDescent="0.25">
      <c r="A859">
        <v>11</v>
      </c>
      <c r="B859">
        <v>5</v>
      </c>
      <c r="D859">
        <v>5</v>
      </c>
      <c r="E859">
        <v>5</v>
      </c>
      <c r="F859" t="s">
        <v>30</v>
      </c>
      <c r="G859" t="s">
        <v>31</v>
      </c>
      <c r="H859" t="s">
        <v>32</v>
      </c>
      <c r="L859">
        <v>1.2</v>
      </c>
      <c r="M859" t="e">
        <v>#REF!</v>
      </c>
      <c r="O859" t="s">
        <v>16</v>
      </c>
      <c r="P859" t="s">
        <v>303</v>
      </c>
      <c r="Q859">
        <v>2.5</v>
      </c>
      <c r="R859">
        <v>5</v>
      </c>
    </row>
    <row r="860" spans="1:21" x14ac:dyDescent="0.25">
      <c r="A860">
        <v>4</v>
      </c>
      <c r="B860">
        <v>500</v>
      </c>
      <c r="C860">
        <v>1</v>
      </c>
      <c r="D860">
        <v>5</v>
      </c>
      <c r="E860">
        <v>5</v>
      </c>
      <c r="F860" t="s">
        <v>21</v>
      </c>
      <c r="G860" t="s">
        <v>22</v>
      </c>
      <c r="H860" t="s">
        <v>283</v>
      </c>
      <c r="I860">
        <v>48.5</v>
      </c>
      <c r="J860">
        <v>15.438029479913848</v>
      </c>
      <c r="K860">
        <v>6</v>
      </c>
      <c r="L860">
        <v>11</v>
      </c>
      <c r="N860" t="s">
        <v>20</v>
      </c>
      <c r="O860" t="s">
        <v>16</v>
      </c>
      <c r="P860" t="s">
        <v>303</v>
      </c>
      <c r="Q860">
        <v>10</v>
      </c>
      <c r="R860">
        <v>15</v>
      </c>
      <c r="S860">
        <v>17</v>
      </c>
      <c r="T860" t="s">
        <v>273</v>
      </c>
      <c r="U860">
        <v>0.12440565313674383</v>
      </c>
    </row>
    <row r="861" spans="1:21" x14ac:dyDescent="0.25">
      <c r="A861">
        <v>5</v>
      </c>
      <c r="B861">
        <v>500</v>
      </c>
      <c r="C861">
        <v>1</v>
      </c>
      <c r="D861">
        <v>5</v>
      </c>
      <c r="E861">
        <v>5</v>
      </c>
      <c r="F861" t="s">
        <v>21</v>
      </c>
      <c r="G861" t="s">
        <v>22</v>
      </c>
      <c r="H861" t="s">
        <v>283</v>
      </c>
      <c r="I861">
        <v>37</v>
      </c>
      <c r="J861">
        <v>11.777465788800255</v>
      </c>
      <c r="K861">
        <v>5.5</v>
      </c>
      <c r="L861">
        <v>10</v>
      </c>
      <c r="N861" t="s">
        <v>20</v>
      </c>
      <c r="O861" t="s">
        <v>16</v>
      </c>
      <c r="P861" t="s">
        <v>303</v>
      </c>
      <c r="Q861">
        <v>10</v>
      </c>
      <c r="R861">
        <v>10</v>
      </c>
      <c r="S861">
        <v>17</v>
      </c>
      <c r="T861" t="s">
        <v>273</v>
      </c>
      <c r="U861">
        <v>6.8991137736137118E-2</v>
      </c>
    </row>
    <row r="862" spans="1:21" x14ac:dyDescent="0.25">
      <c r="A862">
        <v>7</v>
      </c>
      <c r="B862">
        <v>500</v>
      </c>
      <c r="C862">
        <v>1</v>
      </c>
      <c r="D862" t="s">
        <v>192</v>
      </c>
      <c r="E862">
        <v>5</v>
      </c>
      <c r="F862" t="s">
        <v>21</v>
      </c>
      <c r="G862" t="s">
        <v>22</v>
      </c>
      <c r="H862" t="s">
        <v>283</v>
      </c>
      <c r="I862">
        <v>39</v>
      </c>
      <c r="J862">
        <v>12.414085561167836</v>
      </c>
      <c r="K862">
        <v>6.5</v>
      </c>
      <c r="L862">
        <v>10</v>
      </c>
      <c r="N862" t="s">
        <v>20</v>
      </c>
      <c r="O862" t="s">
        <v>16</v>
      </c>
      <c r="P862" t="e">
        <v>#VALUE!</v>
      </c>
      <c r="Q862">
        <v>10</v>
      </c>
      <c r="R862">
        <v>10</v>
      </c>
      <c r="S862">
        <v>17</v>
      </c>
      <c r="T862" t="s">
        <v>273</v>
      </c>
      <c r="U862">
        <v>7.5910406574124872E-2</v>
      </c>
    </row>
    <row r="863" spans="1:21" x14ac:dyDescent="0.25">
      <c r="A863">
        <v>1</v>
      </c>
      <c r="B863">
        <v>100</v>
      </c>
      <c r="C863">
        <v>1</v>
      </c>
      <c r="D863">
        <v>5</v>
      </c>
      <c r="E863">
        <v>5</v>
      </c>
      <c r="F863" t="s">
        <v>21</v>
      </c>
      <c r="G863" t="s">
        <v>22</v>
      </c>
      <c r="H863" t="s">
        <v>283</v>
      </c>
      <c r="I863">
        <v>16</v>
      </c>
      <c r="J863">
        <v>5.0929581789406511</v>
      </c>
      <c r="K863">
        <v>2</v>
      </c>
      <c r="L863">
        <v>4</v>
      </c>
      <c r="N863" t="s">
        <v>20</v>
      </c>
      <c r="O863" t="s">
        <v>39</v>
      </c>
      <c r="P863" t="s">
        <v>303</v>
      </c>
      <c r="Q863">
        <v>5</v>
      </c>
      <c r="R863">
        <v>5</v>
      </c>
    </row>
    <row r="864" spans="1:21" x14ac:dyDescent="0.25">
      <c r="A864">
        <v>4</v>
      </c>
      <c r="B864">
        <v>100</v>
      </c>
      <c r="C864">
        <v>1</v>
      </c>
      <c r="D864">
        <v>5</v>
      </c>
      <c r="E864">
        <v>5</v>
      </c>
      <c r="F864" t="s">
        <v>21</v>
      </c>
      <c r="G864" t="s">
        <v>22</v>
      </c>
      <c r="H864" t="s">
        <v>283</v>
      </c>
      <c r="I864">
        <v>24.5</v>
      </c>
      <c r="J864">
        <v>7.7985922115028714</v>
      </c>
      <c r="K864">
        <v>6</v>
      </c>
      <c r="L864">
        <v>9</v>
      </c>
      <c r="N864" t="s">
        <v>29</v>
      </c>
      <c r="O864" t="s">
        <v>16</v>
      </c>
      <c r="P864" t="s">
        <v>303</v>
      </c>
      <c r="Q864">
        <v>10</v>
      </c>
      <c r="R864">
        <v>10</v>
      </c>
    </row>
    <row r="865" spans="1:18" x14ac:dyDescent="0.25">
      <c r="A865">
        <v>6</v>
      </c>
      <c r="B865">
        <v>100</v>
      </c>
      <c r="C865">
        <v>1</v>
      </c>
      <c r="D865">
        <v>5</v>
      </c>
      <c r="E865">
        <v>5</v>
      </c>
      <c r="F865" t="s">
        <v>21</v>
      </c>
      <c r="G865" t="s">
        <v>22</v>
      </c>
      <c r="H865" t="s">
        <v>283</v>
      </c>
      <c r="I865">
        <v>23.5</v>
      </c>
      <c r="J865">
        <v>7.4802823253190809</v>
      </c>
      <c r="K865">
        <v>6</v>
      </c>
      <c r="L865">
        <v>9</v>
      </c>
      <c r="N865" t="s">
        <v>20</v>
      </c>
      <c r="O865" t="s">
        <v>16</v>
      </c>
      <c r="P865" t="s">
        <v>303</v>
      </c>
      <c r="Q865">
        <v>10</v>
      </c>
      <c r="R865">
        <v>5</v>
      </c>
    </row>
    <row r="866" spans="1:18" x14ac:dyDescent="0.25">
      <c r="A866">
        <v>11</v>
      </c>
      <c r="B866">
        <v>5</v>
      </c>
      <c r="D866">
        <v>6</v>
      </c>
      <c r="E866">
        <v>6</v>
      </c>
      <c r="F866" t="s">
        <v>21</v>
      </c>
      <c r="G866" t="s">
        <v>22</v>
      </c>
      <c r="H866" t="s">
        <v>283</v>
      </c>
      <c r="L866">
        <v>1.5</v>
      </c>
      <c r="M866" t="e">
        <v>#REF!</v>
      </c>
      <c r="O866" t="s">
        <v>16</v>
      </c>
      <c r="P866" t="s">
        <v>303</v>
      </c>
      <c r="Q866">
        <v>2.5</v>
      </c>
      <c r="R866">
        <v>5</v>
      </c>
    </row>
    <row r="867" spans="1:18" x14ac:dyDescent="0.25">
      <c r="A867">
        <v>8</v>
      </c>
      <c r="B867">
        <v>100</v>
      </c>
      <c r="C867">
        <v>1</v>
      </c>
      <c r="D867">
        <v>6</v>
      </c>
      <c r="E867">
        <v>6</v>
      </c>
      <c r="F867" t="s">
        <v>198</v>
      </c>
      <c r="G867" t="s">
        <v>199</v>
      </c>
      <c r="H867" t="s">
        <v>200</v>
      </c>
      <c r="I867">
        <v>17.5</v>
      </c>
      <c r="J867">
        <v>5.5704230082163368</v>
      </c>
      <c r="K867">
        <v>1.6</v>
      </c>
      <c r="L867">
        <v>7</v>
      </c>
      <c r="N867" t="s">
        <v>20</v>
      </c>
      <c r="O867" t="s">
        <v>16</v>
      </c>
      <c r="P867" t="s">
        <v>303</v>
      </c>
      <c r="Q867">
        <v>7.5</v>
      </c>
      <c r="R867">
        <v>5</v>
      </c>
    </row>
    <row r="868" spans="1:18" x14ac:dyDescent="0.25">
      <c r="A868">
        <v>8</v>
      </c>
      <c r="B868">
        <v>100</v>
      </c>
      <c r="C868">
        <v>1</v>
      </c>
      <c r="D868">
        <v>8</v>
      </c>
      <c r="E868">
        <v>8</v>
      </c>
      <c r="F868" t="s">
        <v>198</v>
      </c>
      <c r="G868" t="s">
        <v>199</v>
      </c>
      <c r="H868" t="s">
        <v>200</v>
      </c>
      <c r="I868">
        <v>29</v>
      </c>
      <c r="J868">
        <v>9.2309866993299305</v>
      </c>
      <c r="K868">
        <v>6</v>
      </c>
      <c r="L868">
        <v>10</v>
      </c>
      <c r="N868" t="s">
        <v>20</v>
      </c>
      <c r="O868" t="s">
        <v>16</v>
      </c>
      <c r="P868" t="s">
        <v>303</v>
      </c>
      <c r="Q868">
        <v>10</v>
      </c>
      <c r="R868">
        <v>10</v>
      </c>
    </row>
    <row r="869" spans="1:18" x14ac:dyDescent="0.25">
      <c r="A869">
        <v>3</v>
      </c>
      <c r="B869">
        <v>100</v>
      </c>
      <c r="C869">
        <v>2</v>
      </c>
      <c r="D869">
        <v>10</v>
      </c>
      <c r="E869">
        <v>10</v>
      </c>
      <c r="F869" t="s">
        <v>43</v>
      </c>
      <c r="G869" t="s">
        <v>128</v>
      </c>
      <c r="H869" t="s">
        <v>185</v>
      </c>
      <c r="I869">
        <v>17</v>
      </c>
      <c r="J869">
        <v>5.4112680651244416</v>
      </c>
      <c r="K869">
        <v>5</v>
      </c>
      <c r="L869">
        <v>8</v>
      </c>
      <c r="N869" t="s">
        <v>20</v>
      </c>
      <c r="O869" t="s">
        <v>16</v>
      </c>
      <c r="P869" t="s">
        <v>303</v>
      </c>
      <c r="Q869">
        <v>7.5</v>
      </c>
      <c r="R869">
        <v>5</v>
      </c>
    </row>
    <row r="870" spans="1:18" x14ac:dyDescent="0.25">
      <c r="A870">
        <v>7</v>
      </c>
      <c r="B870">
        <v>100</v>
      </c>
      <c r="C870">
        <v>3</v>
      </c>
      <c r="D870">
        <v>4</v>
      </c>
      <c r="E870">
        <v>4</v>
      </c>
      <c r="F870" t="s">
        <v>43</v>
      </c>
      <c r="G870" t="s">
        <v>128</v>
      </c>
      <c r="H870" t="s">
        <v>185</v>
      </c>
      <c r="I870">
        <v>16</v>
      </c>
      <c r="J870">
        <v>5.0929581789406511</v>
      </c>
      <c r="K870">
        <v>5.5</v>
      </c>
      <c r="L870">
        <v>9</v>
      </c>
      <c r="N870" t="s">
        <v>20</v>
      </c>
      <c r="O870" t="s">
        <v>16</v>
      </c>
      <c r="P870" t="s">
        <v>303</v>
      </c>
      <c r="Q870">
        <v>10</v>
      </c>
      <c r="R870">
        <v>5</v>
      </c>
    </row>
    <row r="871" spans="1:18" x14ac:dyDescent="0.25">
      <c r="A871">
        <v>7</v>
      </c>
      <c r="B871">
        <v>100</v>
      </c>
      <c r="C871">
        <v>3</v>
      </c>
      <c r="D871">
        <v>7</v>
      </c>
      <c r="E871">
        <v>7</v>
      </c>
      <c r="F871" t="s">
        <v>43</v>
      </c>
      <c r="G871" t="s">
        <v>128</v>
      </c>
      <c r="H871" t="s">
        <v>185</v>
      </c>
      <c r="I871">
        <v>18.5</v>
      </c>
      <c r="J871">
        <v>5.8887328944001274</v>
      </c>
      <c r="K871">
        <v>3</v>
      </c>
      <c r="L871">
        <v>9</v>
      </c>
      <c r="N871" t="s">
        <v>20</v>
      </c>
      <c r="O871" t="s">
        <v>16</v>
      </c>
      <c r="P871" t="s">
        <v>303</v>
      </c>
      <c r="Q871">
        <v>10</v>
      </c>
      <c r="R871">
        <v>5</v>
      </c>
    </row>
    <row r="872" spans="1:18" x14ac:dyDescent="0.25">
      <c r="A872">
        <v>11</v>
      </c>
      <c r="B872">
        <v>5</v>
      </c>
      <c r="D872">
        <v>7</v>
      </c>
      <c r="E872">
        <v>7</v>
      </c>
      <c r="F872" t="s">
        <v>26</v>
      </c>
      <c r="G872" t="s">
        <v>27</v>
      </c>
      <c r="H872" t="s">
        <v>28</v>
      </c>
      <c r="L872">
        <v>0.9</v>
      </c>
      <c r="M872" t="e">
        <v>#REF!</v>
      </c>
      <c r="O872" t="s">
        <v>16</v>
      </c>
      <c r="P872" t="s">
        <v>303</v>
      </c>
      <c r="Q872">
        <v>2.5</v>
      </c>
      <c r="R872">
        <v>5</v>
      </c>
    </row>
    <row r="873" spans="1:18" x14ac:dyDescent="0.25">
      <c r="A873">
        <v>11</v>
      </c>
      <c r="B873">
        <v>5</v>
      </c>
      <c r="D873">
        <v>8</v>
      </c>
      <c r="E873">
        <v>8</v>
      </c>
      <c r="F873" t="s">
        <v>87</v>
      </c>
      <c r="G873" t="s">
        <v>88</v>
      </c>
      <c r="H873" t="s">
        <v>89</v>
      </c>
      <c r="L873">
        <v>1.2</v>
      </c>
      <c r="M873" t="e">
        <v>#REF!</v>
      </c>
      <c r="O873" t="s">
        <v>16</v>
      </c>
      <c r="P873" t="s">
        <v>303</v>
      </c>
      <c r="Q873">
        <v>2.5</v>
      </c>
      <c r="R873">
        <v>5</v>
      </c>
    </row>
    <row r="874" spans="1:18" x14ac:dyDescent="0.25">
      <c r="A874">
        <v>11</v>
      </c>
      <c r="B874">
        <v>5</v>
      </c>
      <c r="D874">
        <v>9</v>
      </c>
      <c r="E874">
        <v>9</v>
      </c>
      <c r="F874" t="s">
        <v>13</v>
      </c>
      <c r="G874" t="s">
        <v>14</v>
      </c>
      <c r="H874" t="s">
        <v>15</v>
      </c>
      <c r="L874">
        <v>0.7</v>
      </c>
      <c r="M874" t="e">
        <v>#REF!</v>
      </c>
      <c r="O874" t="s">
        <v>16</v>
      </c>
      <c r="P874" t="s">
        <v>303</v>
      </c>
      <c r="Q874">
        <v>2.5</v>
      </c>
      <c r="R874">
        <v>5</v>
      </c>
    </row>
    <row r="875" spans="1:18" x14ac:dyDescent="0.25">
      <c r="A875">
        <v>11</v>
      </c>
      <c r="B875">
        <v>5</v>
      </c>
      <c r="D875">
        <v>10</v>
      </c>
      <c r="E875">
        <v>10</v>
      </c>
      <c r="F875" t="s">
        <v>87</v>
      </c>
      <c r="G875" t="s">
        <v>88</v>
      </c>
      <c r="H875" t="s">
        <v>89</v>
      </c>
      <c r="L875">
        <v>0.8</v>
      </c>
      <c r="M875" t="e">
        <v>#REF!</v>
      </c>
      <c r="O875" t="s">
        <v>16</v>
      </c>
      <c r="P875" t="s">
        <v>303</v>
      </c>
      <c r="Q875">
        <v>2.5</v>
      </c>
      <c r="R875">
        <v>5</v>
      </c>
    </row>
    <row r="876" spans="1:18" x14ac:dyDescent="0.25">
      <c r="A876">
        <v>11</v>
      </c>
      <c r="B876">
        <v>5</v>
      </c>
      <c r="D876">
        <v>11</v>
      </c>
      <c r="E876">
        <v>11</v>
      </c>
      <c r="F876" t="s">
        <v>87</v>
      </c>
      <c r="G876" t="s">
        <v>88</v>
      </c>
      <c r="H876" t="s">
        <v>89</v>
      </c>
      <c r="L876">
        <v>0.9</v>
      </c>
      <c r="M876" t="e">
        <v>#REF!</v>
      </c>
      <c r="O876" t="s">
        <v>16</v>
      </c>
      <c r="P876" t="s">
        <v>303</v>
      </c>
      <c r="Q876">
        <v>2.5</v>
      </c>
      <c r="R876">
        <v>5</v>
      </c>
    </row>
    <row r="877" spans="1:18" x14ac:dyDescent="0.25">
      <c r="A877">
        <v>2</v>
      </c>
      <c r="B877">
        <v>100</v>
      </c>
      <c r="C877">
        <v>3</v>
      </c>
      <c r="D877">
        <v>11</v>
      </c>
      <c r="E877">
        <v>11</v>
      </c>
      <c r="F877" t="s">
        <v>43</v>
      </c>
      <c r="G877" t="s">
        <v>99</v>
      </c>
      <c r="H877" t="s">
        <v>100</v>
      </c>
      <c r="I877">
        <v>19</v>
      </c>
      <c r="J877">
        <v>6.0478878374920226</v>
      </c>
      <c r="K877">
        <v>1.3</v>
      </c>
      <c r="L877">
        <v>3.5</v>
      </c>
      <c r="N877" t="s">
        <v>20</v>
      </c>
      <c r="O877" t="s">
        <v>16</v>
      </c>
      <c r="P877" t="s">
        <v>303</v>
      </c>
      <c r="Q877">
        <v>2.5</v>
      </c>
      <c r="R877">
        <v>5</v>
      </c>
    </row>
    <row r="878" spans="1:18" x14ac:dyDescent="0.25">
      <c r="A878">
        <v>11</v>
      </c>
      <c r="B878">
        <v>5</v>
      </c>
      <c r="D878">
        <v>12</v>
      </c>
      <c r="E878">
        <v>12</v>
      </c>
      <c r="F878" t="s">
        <v>87</v>
      </c>
      <c r="G878" t="s">
        <v>88</v>
      </c>
      <c r="H878" t="s">
        <v>89</v>
      </c>
      <c r="L878">
        <v>4</v>
      </c>
      <c r="M878" t="e">
        <v>#REF!</v>
      </c>
      <c r="O878" t="s">
        <v>16</v>
      </c>
      <c r="P878" t="s">
        <v>303</v>
      </c>
      <c r="Q878">
        <v>5</v>
      </c>
      <c r="R878">
        <v>5</v>
      </c>
    </row>
    <row r="879" spans="1:18" x14ac:dyDescent="0.25">
      <c r="A879">
        <v>11</v>
      </c>
      <c r="B879">
        <v>5</v>
      </c>
      <c r="D879">
        <v>13</v>
      </c>
      <c r="E879">
        <v>13</v>
      </c>
      <c r="F879" t="s">
        <v>90</v>
      </c>
      <c r="G879" t="s">
        <v>91</v>
      </c>
      <c r="H879" t="s">
        <v>92</v>
      </c>
      <c r="L879">
        <v>1.2</v>
      </c>
      <c r="M879" t="e">
        <v>#REF!</v>
      </c>
      <c r="O879" t="s">
        <v>16</v>
      </c>
      <c r="P879" t="s">
        <v>303</v>
      </c>
      <c r="Q879">
        <v>2.5</v>
      </c>
      <c r="R879">
        <v>5</v>
      </c>
    </row>
    <row r="880" spans="1:18" x14ac:dyDescent="0.25">
      <c r="A880">
        <v>11</v>
      </c>
      <c r="B880">
        <v>5</v>
      </c>
      <c r="D880">
        <v>14</v>
      </c>
      <c r="E880">
        <v>14</v>
      </c>
      <c r="F880" t="s">
        <v>87</v>
      </c>
      <c r="G880" t="s">
        <v>88</v>
      </c>
      <c r="H880" t="s">
        <v>89</v>
      </c>
      <c r="L880">
        <v>4</v>
      </c>
      <c r="M880" t="e">
        <v>#REF!</v>
      </c>
      <c r="O880" t="s">
        <v>16</v>
      </c>
      <c r="P880" t="s">
        <v>303</v>
      </c>
      <c r="Q880">
        <v>5</v>
      </c>
      <c r="R880">
        <v>5</v>
      </c>
    </row>
    <row r="881" spans="1:21" x14ac:dyDescent="0.25">
      <c r="A881">
        <v>11</v>
      </c>
      <c r="B881">
        <v>5</v>
      </c>
      <c r="D881">
        <v>15</v>
      </c>
      <c r="E881">
        <v>15</v>
      </c>
      <c r="F881" t="s">
        <v>168</v>
      </c>
      <c r="G881" t="s">
        <v>224</v>
      </c>
      <c r="H881" t="s">
        <v>225</v>
      </c>
      <c r="L881">
        <v>12</v>
      </c>
      <c r="M881" t="e">
        <v>#REF!</v>
      </c>
      <c r="O881" t="s">
        <v>16</v>
      </c>
      <c r="P881" t="s">
        <v>303</v>
      </c>
      <c r="Q881">
        <v>12.5</v>
      </c>
      <c r="R881">
        <v>5</v>
      </c>
    </row>
    <row r="882" spans="1:21" x14ac:dyDescent="0.25">
      <c r="A882">
        <v>1</v>
      </c>
      <c r="B882">
        <v>500</v>
      </c>
      <c r="C882">
        <v>2</v>
      </c>
      <c r="D882">
        <v>14</v>
      </c>
      <c r="E882">
        <v>17</v>
      </c>
      <c r="F882" t="s">
        <v>62</v>
      </c>
      <c r="G882" t="s">
        <v>292</v>
      </c>
      <c r="H882" t="s">
        <v>70</v>
      </c>
      <c r="I882">
        <v>34</v>
      </c>
      <c r="J882">
        <v>10.822536130248883</v>
      </c>
      <c r="K882">
        <v>3</v>
      </c>
      <c r="L882">
        <v>10</v>
      </c>
      <c r="N882" t="s">
        <v>20</v>
      </c>
      <c r="O882" t="s">
        <v>16</v>
      </c>
      <c r="P882" t="s">
        <v>303</v>
      </c>
      <c r="Q882">
        <v>10</v>
      </c>
      <c r="R882">
        <v>10</v>
      </c>
      <c r="S882">
        <v>5</v>
      </c>
      <c r="T882" t="s">
        <v>271</v>
      </c>
      <c r="U882">
        <v>5.581297126300383E-2</v>
      </c>
    </row>
    <row r="883" spans="1:21" x14ac:dyDescent="0.25">
      <c r="A883">
        <v>4</v>
      </c>
      <c r="B883">
        <v>500</v>
      </c>
      <c r="C883">
        <v>1</v>
      </c>
      <c r="D883">
        <v>10</v>
      </c>
      <c r="E883">
        <v>10</v>
      </c>
      <c r="F883" t="s">
        <v>155</v>
      </c>
      <c r="G883" t="s">
        <v>156</v>
      </c>
      <c r="H883" t="s">
        <v>157</v>
      </c>
      <c r="I883">
        <v>36.5</v>
      </c>
      <c r="J883">
        <v>11.618310845708359</v>
      </c>
      <c r="K883">
        <v>7</v>
      </c>
      <c r="L883">
        <v>13</v>
      </c>
      <c r="N883" t="s">
        <v>20</v>
      </c>
      <c r="O883" t="s">
        <v>16</v>
      </c>
      <c r="P883" t="s">
        <v>303</v>
      </c>
      <c r="Q883">
        <v>12.5</v>
      </c>
      <c r="R883">
        <v>10</v>
      </c>
      <c r="S883">
        <v>17</v>
      </c>
      <c r="T883" t="s">
        <v>273</v>
      </c>
      <c r="U883">
        <v>8.8200646686277084E-2</v>
      </c>
    </row>
    <row r="884" spans="1:21" x14ac:dyDescent="0.25">
      <c r="A884">
        <v>10</v>
      </c>
      <c r="B884">
        <v>100</v>
      </c>
      <c r="C884">
        <v>3</v>
      </c>
      <c r="D884">
        <v>29</v>
      </c>
      <c r="E884">
        <v>29</v>
      </c>
      <c r="F884" t="s">
        <v>155</v>
      </c>
      <c r="G884" t="s">
        <v>156</v>
      </c>
      <c r="H884" t="s">
        <v>157</v>
      </c>
      <c r="I884">
        <v>17</v>
      </c>
      <c r="J884">
        <v>5.4112680651244416</v>
      </c>
      <c r="K884">
        <v>8</v>
      </c>
      <c r="L884">
        <v>10</v>
      </c>
      <c r="N884" t="s">
        <v>20</v>
      </c>
      <c r="O884" t="s">
        <v>16</v>
      </c>
      <c r="P884" t="s">
        <v>303</v>
      </c>
      <c r="Q884">
        <v>10</v>
      </c>
      <c r="R884">
        <v>5</v>
      </c>
    </row>
    <row r="885" spans="1:21" x14ac:dyDescent="0.25">
      <c r="A885">
        <v>11</v>
      </c>
      <c r="B885">
        <v>5</v>
      </c>
      <c r="D885">
        <v>16</v>
      </c>
      <c r="E885">
        <v>16</v>
      </c>
      <c r="F885" t="s">
        <v>17</v>
      </c>
      <c r="G885" t="s">
        <v>65</v>
      </c>
      <c r="H885" t="s">
        <v>66</v>
      </c>
      <c r="L885">
        <v>7</v>
      </c>
      <c r="M885" t="e">
        <v>#REF!</v>
      </c>
      <c r="O885" t="s">
        <v>16</v>
      </c>
      <c r="P885" t="s">
        <v>303</v>
      </c>
      <c r="Q885">
        <v>7.5</v>
      </c>
      <c r="R885">
        <v>5</v>
      </c>
    </row>
    <row r="886" spans="1:21" x14ac:dyDescent="0.25">
      <c r="A886">
        <v>11</v>
      </c>
      <c r="B886">
        <v>5</v>
      </c>
      <c r="D886">
        <v>17</v>
      </c>
      <c r="E886">
        <v>17</v>
      </c>
      <c r="F886" t="s">
        <v>17</v>
      </c>
      <c r="G886" t="s">
        <v>65</v>
      </c>
      <c r="H886" t="s">
        <v>66</v>
      </c>
      <c r="L886">
        <v>1.7</v>
      </c>
      <c r="M886" t="e">
        <v>#REF!</v>
      </c>
      <c r="O886" t="s">
        <v>16</v>
      </c>
      <c r="P886" t="s">
        <v>303</v>
      </c>
      <c r="Q886">
        <v>2.5</v>
      </c>
      <c r="R886">
        <v>5</v>
      </c>
    </row>
    <row r="887" spans="1:21" x14ac:dyDescent="0.25">
      <c r="A887">
        <v>11</v>
      </c>
      <c r="B887">
        <v>5</v>
      </c>
      <c r="D887">
        <v>18</v>
      </c>
      <c r="E887">
        <v>18</v>
      </c>
      <c r="F887" t="s">
        <v>90</v>
      </c>
      <c r="G887" t="s">
        <v>91</v>
      </c>
      <c r="H887" t="s">
        <v>92</v>
      </c>
      <c r="L887">
        <v>2</v>
      </c>
      <c r="M887" t="e">
        <v>#REF!</v>
      </c>
      <c r="O887" t="s">
        <v>16</v>
      </c>
      <c r="P887" t="s">
        <v>303</v>
      </c>
      <c r="Q887">
        <v>2.5</v>
      </c>
      <c r="R887">
        <v>5</v>
      </c>
    </row>
    <row r="888" spans="1:21" x14ac:dyDescent="0.25">
      <c r="A888">
        <v>2</v>
      </c>
      <c r="B888">
        <v>100</v>
      </c>
      <c r="C888">
        <v>1</v>
      </c>
      <c r="D888">
        <v>7</v>
      </c>
      <c r="E888">
        <v>7</v>
      </c>
      <c r="F888" t="s">
        <v>93</v>
      </c>
      <c r="G888" t="s">
        <v>94</v>
      </c>
      <c r="H888" t="s">
        <v>95</v>
      </c>
      <c r="I888">
        <v>16</v>
      </c>
      <c r="J888">
        <v>5.0929581789406511</v>
      </c>
      <c r="K888">
        <v>4</v>
      </c>
      <c r="L888">
        <v>8</v>
      </c>
      <c r="N888" t="s">
        <v>20</v>
      </c>
      <c r="O888" t="s">
        <v>16</v>
      </c>
      <c r="P888" t="s">
        <v>303</v>
      </c>
      <c r="Q888">
        <v>7.5</v>
      </c>
      <c r="R888">
        <v>5</v>
      </c>
    </row>
    <row r="889" spans="1:21" x14ac:dyDescent="0.25">
      <c r="A889">
        <v>11</v>
      </c>
      <c r="B889">
        <v>5</v>
      </c>
      <c r="D889">
        <v>19</v>
      </c>
      <c r="E889">
        <v>19</v>
      </c>
      <c r="F889" t="s">
        <v>90</v>
      </c>
      <c r="G889" t="s">
        <v>91</v>
      </c>
      <c r="H889" t="s">
        <v>92</v>
      </c>
      <c r="L889">
        <v>2</v>
      </c>
      <c r="M889" t="e">
        <v>#REF!</v>
      </c>
      <c r="O889" t="s">
        <v>16</v>
      </c>
      <c r="P889" t="s">
        <v>303</v>
      </c>
      <c r="Q889">
        <v>2.5</v>
      </c>
      <c r="R889">
        <v>5</v>
      </c>
    </row>
    <row r="890" spans="1:21" x14ac:dyDescent="0.25">
      <c r="A890">
        <v>3</v>
      </c>
      <c r="B890">
        <v>500</v>
      </c>
      <c r="C890">
        <v>2</v>
      </c>
      <c r="D890">
        <v>19</v>
      </c>
      <c r="E890">
        <v>19</v>
      </c>
      <c r="F890" t="s">
        <v>129</v>
      </c>
      <c r="G890" t="s">
        <v>130</v>
      </c>
      <c r="H890" t="s">
        <v>131</v>
      </c>
      <c r="I890">
        <v>34.5</v>
      </c>
      <c r="J890">
        <v>10.981691073340778</v>
      </c>
      <c r="K890">
        <v>8</v>
      </c>
      <c r="L890">
        <v>13</v>
      </c>
      <c r="N890" t="s">
        <v>20</v>
      </c>
      <c r="O890" t="s">
        <v>16</v>
      </c>
      <c r="P890" t="s">
        <v>303</v>
      </c>
      <c r="Q890">
        <v>12.5</v>
      </c>
      <c r="R890">
        <v>10</v>
      </c>
      <c r="S890">
        <v>17</v>
      </c>
      <c r="T890" t="s">
        <v>273</v>
      </c>
      <c r="U890">
        <v>7.9623114841205614E-2</v>
      </c>
    </row>
    <row r="891" spans="1:21" x14ac:dyDescent="0.25">
      <c r="A891">
        <v>8</v>
      </c>
      <c r="B891">
        <v>100</v>
      </c>
      <c r="C891">
        <v>4</v>
      </c>
      <c r="D891">
        <v>24</v>
      </c>
      <c r="E891">
        <v>24</v>
      </c>
      <c r="F891" t="s">
        <v>129</v>
      </c>
      <c r="G891" t="s">
        <v>130</v>
      </c>
      <c r="H891" t="s">
        <v>131</v>
      </c>
      <c r="I891">
        <v>18</v>
      </c>
      <c r="J891">
        <v>5.7295779513082321</v>
      </c>
      <c r="K891">
        <v>3</v>
      </c>
      <c r="L891">
        <v>7</v>
      </c>
      <c r="N891" t="s">
        <v>20</v>
      </c>
      <c r="O891" t="s">
        <v>16</v>
      </c>
      <c r="P891" t="s">
        <v>303</v>
      </c>
      <c r="Q891">
        <v>7.5</v>
      </c>
      <c r="R891">
        <v>5</v>
      </c>
    </row>
    <row r="892" spans="1:21" x14ac:dyDescent="0.25">
      <c r="A892">
        <v>8</v>
      </c>
      <c r="B892">
        <v>100</v>
      </c>
      <c r="C892">
        <v>4</v>
      </c>
      <c r="D892">
        <v>25</v>
      </c>
      <c r="E892">
        <v>25</v>
      </c>
      <c r="F892" t="s">
        <v>129</v>
      </c>
      <c r="G892" t="s">
        <v>130</v>
      </c>
      <c r="H892" t="s">
        <v>131</v>
      </c>
      <c r="I892">
        <v>16</v>
      </c>
      <c r="J892">
        <v>5.0929581789406511</v>
      </c>
      <c r="K892">
        <v>3</v>
      </c>
      <c r="L892">
        <v>7</v>
      </c>
      <c r="N892" t="s">
        <v>20</v>
      </c>
      <c r="O892" t="s">
        <v>16</v>
      </c>
      <c r="P892" t="s">
        <v>303</v>
      </c>
      <c r="Q892">
        <v>7.5</v>
      </c>
      <c r="R892">
        <v>5</v>
      </c>
    </row>
    <row r="893" spans="1:21" x14ac:dyDescent="0.25">
      <c r="A893">
        <v>7</v>
      </c>
      <c r="B893">
        <v>500</v>
      </c>
      <c r="C893">
        <v>4</v>
      </c>
      <c r="D893">
        <v>39</v>
      </c>
      <c r="E893">
        <v>42</v>
      </c>
      <c r="F893" t="s">
        <v>129</v>
      </c>
      <c r="G893" t="s">
        <v>130</v>
      </c>
      <c r="H893" t="s">
        <v>131</v>
      </c>
      <c r="I893">
        <v>32</v>
      </c>
      <c r="J893">
        <v>10.185916357881302</v>
      </c>
      <c r="K893">
        <v>8</v>
      </c>
      <c r="L893">
        <v>12</v>
      </c>
      <c r="N893" t="s">
        <v>20</v>
      </c>
      <c r="O893" t="s">
        <v>16</v>
      </c>
      <c r="P893" t="s">
        <v>303</v>
      </c>
      <c r="Q893">
        <v>12.5</v>
      </c>
      <c r="R893">
        <v>10</v>
      </c>
      <c r="S893">
        <v>17</v>
      </c>
      <c r="T893" t="s">
        <v>273</v>
      </c>
      <c r="U893">
        <v>6.3960111229385122E-2</v>
      </c>
    </row>
    <row r="894" spans="1:21" x14ac:dyDescent="0.25">
      <c r="A894">
        <v>8</v>
      </c>
      <c r="B894">
        <v>100</v>
      </c>
      <c r="C894">
        <v>1</v>
      </c>
      <c r="D894">
        <v>2</v>
      </c>
      <c r="E894">
        <v>2</v>
      </c>
      <c r="F894" t="s">
        <v>90</v>
      </c>
      <c r="G894" t="s">
        <v>282</v>
      </c>
      <c r="H894" t="s">
        <v>124</v>
      </c>
      <c r="I894">
        <v>23</v>
      </c>
      <c r="J894">
        <v>7.3211273822271856</v>
      </c>
      <c r="K894">
        <v>7</v>
      </c>
      <c r="L894">
        <v>10</v>
      </c>
      <c r="N894" t="s">
        <v>20</v>
      </c>
      <c r="O894" t="s">
        <v>16</v>
      </c>
      <c r="P894" t="s">
        <v>303</v>
      </c>
      <c r="Q894">
        <v>10</v>
      </c>
      <c r="R894">
        <v>5</v>
      </c>
    </row>
    <row r="895" spans="1:21" x14ac:dyDescent="0.25">
      <c r="A895">
        <v>11</v>
      </c>
      <c r="B895">
        <v>5</v>
      </c>
      <c r="D895">
        <v>20</v>
      </c>
      <c r="E895">
        <v>20</v>
      </c>
      <c r="F895" t="s">
        <v>90</v>
      </c>
      <c r="G895" t="s">
        <v>91</v>
      </c>
      <c r="H895" t="s">
        <v>92</v>
      </c>
      <c r="L895">
        <v>2</v>
      </c>
      <c r="M895" t="e">
        <v>#REF!</v>
      </c>
      <c r="O895" t="s">
        <v>16</v>
      </c>
      <c r="P895" t="s">
        <v>303</v>
      </c>
      <c r="Q895">
        <v>2.5</v>
      </c>
      <c r="R895">
        <v>5</v>
      </c>
    </row>
    <row r="896" spans="1:21" x14ac:dyDescent="0.25">
      <c r="A896">
        <v>11</v>
      </c>
      <c r="B896">
        <v>5</v>
      </c>
      <c r="D896">
        <v>21</v>
      </c>
      <c r="E896">
        <v>21</v>
      </c>
      <c r="F896" t="s">
        <v>90</v>
      </c>
      <c r="G896" t="s">
        <v>91</v>
      </c>
      <c r="H896" t="s">
        <v>92</v>
      </c>
      <c r="L896">
        <v>2</v>
      </c>
      <c r="M896" t="e">
        <v>#REF!</v>
      </c>
      <c r="O896" t="s">
        <v>16</v>
      </c>
      <c r="P896" t="s">
        <v>303</v>
      </c>
      <c r="Q896">
        <v>2.5</v>
      </c>
      <c r="R896">
        <v>5</v>
      </c>
    </row>
    <row r="897" spans="1:21" x14ac:dyDescent="0.25">
      <c r="A897">
        <v>11</v>
      </c>
      <c r="B897">
        <v>5</v>
      </c>
      <c r="D897">
        <v>22</v>
      </c>
      <c r="E897">
        <v>22</v>
      </c>
      <c r="F897" t="s">
        <v>90</v>
      </c>
      <c r="G897" t="s">
        <v>91</v>
      </c>
      <c r="H897" t="s">
        <v>92</v>
      </c>
      <c r="L897">
        <v>2</v>
      </c>
      <c r="M897" t="e">
        <v>#REF!</v>
      </c>
      <c r="O897" t="s">
        <v>16</v>
      </c>
      <c r="P897" t="s">
        <v>303</v>
      </c>
      <c r="Q897">
        <v>2.5</v>
      </c>
      <c r="R897">
        <v>5</v>
      </c>
    </row>
    <row r="898" spans="1:21" x14ac:dyDescent="0.25">
      <c r="A898">
        <v>11</v>
      </c>
      <c r="B898">
        <v>5</v>
      </c>
      <c r="D898">
        <v>23</v>
      </c>
      <c r="E898">
        <v>23</v>
      </c>
      <c r="F898" t="s">
        <v>90</v>
      </c>
      <c r="G898" t="s">
        <v>91</v>
      </c>
      <c r="H898" t="s">
        <v>92</v>
      </c>
      <c r="L898">
        <v>2</v>
      </c>
      <c r="M898" t="e">
        <v>#REF!</v>
      </c>
      <c r="O898" t="s">
        <v>16</v>
      </c>
      <c r="P898" t="s">
        <v>303</v>
      </c>
      <c r="Q898">
        <v>2.5</v>
      </c>
      <c r="R898">
        <v>5</v>
      </c>
    </row>
    <row r="899" spans="1:21" x14ac:dyDescent="0.25">
      <c r="A899">
        <v>3</v>
      </c>
      <c r="B899">
        <v>100</v>
      </c>
      <c r="C899">
        <v>1</v>
      </c>
      <c r="D899">
        <v>5</v>
      </c>
      <c r="E899">
        <v>5</v>
      </c>
      <c r="F899" t="s">
        <v>90</v>
      </c>
      <c r="G899" t="s">
        <v>282</v>
      </c>
      <c r="H899" t="s">
        <v>124</v>
      </c>
      <c r="I899">
        <v>21.5</v>
      </c>
      <c r="J899">
        <v>6.8436625529514998</v>
      </c>
      <c r="K899">
        <v>5</v>
      </c>
      <c r="L899">
        <v>8</v>
      </c>
      <c r="N899" t="s">
        <v>20</v>
      </c>
      <c r="O899" t="s">
        <v>16</v>
      </c>
      <c r="P899" t="s">
        <v>303</v>
      </c>
      <c r="Q899">
        <v>7.5</v>
      </c>
      <c r="R899">
        <v>5</v>
      </c>
    </row>
    <row r="900" spans="1:21" x14ac:dyDescent="0.25">
      <c r="A900">
        <v>3</v>
      </c>
      <c r="B900">
        <v>100</v>
      </c>
      <c r="C900">
        <v>2</v>
      </c>
      <c r="D900">
        <v>7</v>
      </c>
      <c r="E900">
        <v>7</v>
      </c>
      <c r="F900" t="s">
        <v>90</v>
      </c>
      <c r="G900" t="s">
        <v>282</v>
      </c>
      <c r="H900" t="s">
        <v>124</v>
      </c>
      <c r="I900">
        <v>17</v>
      </c>
      <c r="J900">
        <v>5.4112680651244416</v>
      </c>
      <c r="K900">
        <v>4</v>
      </c>
      <c r="L900">
        <v>6</v>
      </c>
      <c r="N900" t="s">
        <v>20</v>
      </c>
      <c r="O900" t="s">
        <v>16</v>
      </c>
      <c r="P900" t="s">
        <v>303</v>
      </c>
      <c r="Q900">
        <v>5</v>
      </c>
      <c r="R900">
        <v>5</v>
      </c>
    </row>
    <row r="901" spans="1:21" x14ac:dyDescent="0.25">
      <c r="A901">
        <v>4</v>
      </c>
      <c r="B901">
        <v>100</v>
      </c>
      <c r="C901">
        <v>1</v>
      </c>
      <c r="D901">
        <v>6</v>
      </c>
      <c r="E901">
        <v>7</v>
      </c>
      <c r="F901" t="s">
        <v>90</v>
      </c>
      <c r="G901" t="s">
        <v>282</v>
      </c>
      <c r="H901" t="s">
        <v>124</v>
      </c>
      <c r="I901">
        <v>27</v>
      </c>
      <c r="J901">
        <v>8.5943669269623477</v>
      </c>
      <c r="K901">
        <v>6</v>
      </c>
      <c r="L901">
        <v>9</v>
      </c>
      <c r="N901" t="s">
        <v>20</v>
      </c>
      <c r="O901" t="s">
        <v>16</v>
      </c>
      <c r="P901" t="s">
        <v>303</v>
      </c>
      <c r="Q901">
        <v>10</v>
      </c>
      <c r="R901">
        <v>10</v>
      </c>
    </row>
    <row r="902" spans="1:21" x14ac:dyDescent="0.25">
      <c r="A902">
        <v>4</v>
      </c>
      <c r="B902">
        <v>500</v>
      </c>
      <c r="C902">
        <v>1</v>
      </c>
      <c r="D902">
        <v>8</v>
      </c>
      <c r="E902">
        <v>8</v>
      </c>
      <c r="F902" t="s">
        <v>90</v>
      </c>
      <c r="G902" t="s">
        <v>282</v>
      </c>
      <c r="H902" t="s">
        <v>124</v>
      </c>
      <c r="I902">
        <v>31.5</v>
      </c>
      <c r="J902">
        <v>10.026761414789407</v>
      </c>
      <c r="K902">
        <v>6</v>
      </c>
      <c r="L902">
        <v>10</v>
      </c>
      <c r="N902" t="s">
        <v>20</v>
      </c>
      <c r="O902" t="s">
        <v>16</v>
      </c>
      <c r="P902" t="s">
        <v>303</v>
      </c>
      <c r="Q902">
        <v>10</v>
      </c>
      <c r="R902">
        <v>10</v>
      </c>
      <c r="S902">
        <v>17</v>
      </c>
      <c r="T902" t="s">
        <v>273</v>
      </c>
      <c r="U902">
        <v>5.1511538639336003E-2</v>
      </c>
    </row>
    <row r="903" spans="1:21" x14ac:dyDescent="0.25">
      <c r="A903">
        <v>3</v>
      </c>
      <c r="B903">
        <v>100</v>
      </c>
      <c r="C903">
        <v>2</v>
      </c>
      <c r="D903">
        <v>9</v>
      </c>
      <c r="E903">
        <v>9</v>
      </c>
      <c r="F903" t="s">
        <v>90</v>
      </c>
      <c r="G903" t="s">
        <v>282</v>
      </c>
      <c r="H903" t="s">
        <v>124</v>
      </c>
      <c r="I903">
        <v>16.5</v>
      </c>
      <c r="J903">
        <v>5.2521131220325463</v>
      </c>
      <c r="K903">
        <v>3.5</v>
      </c>
      <c r="L903">
        <v>7</v>
      </c>
      <c r="N903" t="s">
        <v>20</v>
      </c>
      <c r="O903" t="s">
        <v>16</v>
      </c>
      <c r="P903" t="s">
        <v>303</v>
      </c>
      <c r="Q903">
        <v>7.5</v>
      </c>
      <c r="R903">
        <v>5</v>
      </c>
    </row>
    <row r="904" spans="1:21" x14ac:dyDescent="0.25">
      <c r="A904">
        <v>4</v>
      </c>
      <c r="B904">
        <v>100</v>
      </c>
      <c r="C904">
        <v>2</v>
      </c>
      <c r="D904">
        <v>9</v>
      </c>
      <c r="E904">
        <v>10</v>
      </c>
      <c r="F904" t="s">
        <v>90</v>
      </c>
      <c r="G904" t="s">
        <v>282</v>
      </c>
      <c r="H904" t="s">
        <v>124</v>
      </c>
      <c r="I904">
        <v>26.5</v>
      </c>
      <c r="J904">
        <v>8.4352119838704525</v>
      </c>
      <c r="K904">
        <v>5</v>
      </c>
      <c r="L904">
        <v>9</v>
      </c>
      <c r="N904" t="s">
        <v>20</v>
      </c>
      <c r="O904" t="s">
        <v>16</v>
      </c>
      <c r="P904" t="s">
        <v>303</v>
      </c>
      <c r="Q904">
        <v>10</v>
      </c>
      <c r="R904">
        <v>10</v>
      </c>
    </row>
    <row r="905" spans="1:21" x14ac:dyDescent="0.25">
      <c r="A905">
        <v>11</v>
      </c>
      <c r="B905">
        <v>5</v>
      </c>
      <c r="D905">
        <v>24</v>
      </c>
      <c r="E905">
        <v>24</v>
      </c>
      <c r="F905" t="s">
        <v>43</v>
      </c>
      <c r="G905" t="s">
        <v>146</v>
      </c>
      <c r="H905" t="s">
        <v>147</v>
      </c>
      <c r="L905">
        <v>8</v>
      </c>
      <c r="M905" t="e">
        <v>#REF!</v>
      </c>
      <c r="O905" t="s">
        <v>16</v>
      </c>
      <c r="P905" t="s">
        <v>303</v>
      </c>
      <c r="Q905">
        <v>7.5</v>
      </c>
      <c r="R905">
        <v>5</v>
      </c>
    </row>
    <row r="906" spans="1:21" x14ac:dyDescent="0.25">
      <c r="A906">
        <v>8</v>
      </c>
      <c r="B906">
        <v>100</v>
      </c>
      <c r="C906">
        <v>2</v>
      </c>
      <c r="D906">
        <v>12</v>
      </c>
      <c r="E906">
        <v>12</v>
      </c>
      <c r="F906" t="s">
        <v>90</v>
      </c>
      <c r="G906" t="s">
        <v>282</v>
      </c>
      <c r="H906" t="s">
        <v>124</v>
      </c>
      <c r="I906">
        <v>17</v>
      </c>
      <c r="J906">
        <v>5.4112680651244416</v>
      </c>
      <c r="K906">
        <v>3.5</v>
      </c>
      <c r="L906">
        <v>6</v>
      </c>
      <c r="N906" t="s">
        <v>20</v>
      </c>
      <c r="O906" t="s">
        <v>16</v>
      </c>
      <c r="P906" t="s">
        <v>303</v>
      </c>
      <c r="Q906">
        <v>5</v>
      </c>
      <c r="R906">
        <v>5</v>
      </c>
    </row>
    <row r="907" spans="1:21" x14ac:dyDescent="0.25">
      <c r="A907">
        <v>4</v>
      </c>
      <c r="B907">
        <v>500</v>
      </c>
      <c r="C907">
        <v>2</v>
      </c>
      <c r="D907">
        <v>17</v>
      </c>
      <c r="E907">
        <v>17</v>
      </c>
      <c r="F907" t="s">
        <v>90</v>
      </c>
      <c r="G907" t="s">
        <v>282</v>
      </c>
      <c r="H907" t="s">
        <v>124</v>
      </c>
      <c r="I907">
        <v>32</v>
      </c>
      <c r="J907">
        <v>10.185916357881302</v>
      </c>
      <c r="K907">
        <v>6</v>
      </c>
      <c r="L907">
        <v>13</v>
      </c>
      <c r="N907" t="s">
        <v>20</v>
      </c>
      <c r="O907" t="s">
        <v>16</v>
      </c>
      <c r="P907" t="s">
        <v>303</v>
      </c>
      <c r="Q907">
        <v>12.5</v>
      </c>
      <c r="R907">
        <v>10</v>
      </c>
      <c r="S907">
        <v>17</v>
      </c>
      <c r="T907" t="s">
        <v>273</v>
      </c>
      <c r="U907">
        <v>6.9458874789219013E-2</v>
      </c>
    </row>
    <row r="908" spans="1:21" x14ac:dyDescent="0.25">
      <c r="A908">
        <v>5</v>
      </c>
      <c r="B908">
        <v>100</v>
      </c>
      <c r="C908">
        <v>2</v>
      </c>
      <c r="D908">
        <v>16</v>
      </c>
      <c r="E908">
        <v>17</v>
      </c>
      <c r="F908" t="s">
        <v>90</v>
      </c>
      <c r="G908" t="s">
        <v>282</v>
      </c>
      <c r="H908" t="s">
        <v>124</v>
      </c>
      <c r="I908">
        <v>21</v>
      </c>
      <c r="J908">
        <v>6.6845076098596046</v>
      </c>
      <c r="K908">
        <v>3</v>
      </c>
      <c r="L908">
        <v>9</v>
      </c>
      <c r="N908" t="s">
        <v>20</v>
      </c>
      <c r="O908" t="s">
        <v>16</v>
      </c>
      <c r="P908" t="s">
        <v>303</v>
      </c>
      <c r="Q908">
        <v>10</v>
      </c>
      <c r="R908">
        <v>5</v>
      </c>
    </row>
    <row r="909" spans="1:21" x14ac:dyDescent="0.25">
      <c r="A909">
        <v>5</v>
      </c>
      <c r="B909">
        <v>100</v>
      </c>
      <c r="C909">
        <v>3</v>
      </c>
      <c r="D909">
        <v>17</v>
      </c>
      <c r="E909">
        <v>18</v>
      </c>
      <c r="F909" t="s">
        <v>90</v>
      </c>
      <c r="G909" t="s">
        <v>282</v>
      </c>
      <c r="H909" t="s">
        <v>124</v>
      </c>
      <c r="I909">
        <v>20</v>
      </c>
      <c r="J909">
        <v>6.366197723675814</v>
      </c>
      <c r="K909">
        <v>5</v>
      </c>
      <c r="L909">
        <v>9</v>
      </c>
      <c r="N909" t="s">
        <v>20</v>
      </c>
      <c r="O909" t="s">
        <v>16</v>
      </c>
      <c r="P909" t="s">
        <v>303</v>
      </c>
      <c r="Q909">
        <v>10</v>
      </c>
      <c r="R909">
        <v>5</v>
      </c>
    </row>
    <row r="910" spans="1:21" x14ac:dyDescent="0.25">
      <c r="A910">
        <v>11</v>
      </c>
      <c r="B910">
        <v>5</v>
      </c>
      <c r="D910">
        <v>25</v>
      </c>
      <c r="E910">
        <v>25</v>
      </c>
      <c r="F910" t="s">
        <v>108</v>
      </c>
      <c r="G910" t="s">
        <v>122</v>
      </c>
      <c r="H910" t="s">
        <v>123</v>
      </c>
      <c r="L910">
        <v>1</v>
      </c>
      <c r="M910" t="e">
        <v>#REF!</v>
      </c>
      <c r="O910" t="s">
        <v>16</v>
      </c>
      <c r="P910" t="s">
        <v>303</v>
      </c>
      <c r="Q910">
        <v>2.5</v>
      </c>
      <c r="R910">
        <v>5</v>
      </c>
    </row>
    <row r="911" spans="1:21" x14ac:dyDescent="0.25">
      <c r="A911">
        <v>5</v>
      </c>
      <c r="B911">
        <v>100</v>
      </c>
      <c r="C911">
        <v>3</v>
      </c>
      <c r="D911">
        <v>19</v>
      </c>
      <c r="E911">
        <v>20</v>
      </c>
      <c r="F911" t="s">
        <v>90</v>
      </c>
      <c r="G911" t="s">
        <v>282</v>
      </c>
      <c r="H911" t="s">
        <v>124</v>
      </c>
      <c r="I911">
        <v>16.5</v>
      </c>
      <c r="J911">
        <v>5.2521131220325463</v>
      </c>
      <c r="K911">
        <v>5</v>
      </c>
      <c r="L911">
        <v>9</v>
      </c>
      <c r="N911" t="s">
        <v>20</v>
      </c>
      <c r="O911" t="s">
        <v>16</v>
      </c>
      <c r="P911" t="s">
        <v>303</v>
      </c>
      <c r="Q911">
        <v>10</v>
      </c>
      <c r="R911">
        <v>5</v>
      </c>
    </row>
    <row r="912" spans="1:21" x14ac:dyDescent="0.25">
      <c r="A912">
        <v>6</v>
      </c>
      <c r="B912">
        <v>100</v>
      </c>
      <c r="C912">
        <v>3</v>
      </c>
      <c r="D912">
        <v>18</v>
      </c>
      <c r="E912">
        <v>21</v>
      </c>
      <c r="F912" t="s">
        <v>90</v>
      </c>
      <c r="G912" t="s">
        <v>282</v>
      </c>
      <c r="H912" t="s">
        <v>124</v>
      </c>
      <c r="I912">
        <v>20</v>
      </c>
      <c r="J912">
        <v>6.366197723675814</v>
      </c>
      <c r="K912">
        <v>2.7</v>
      </c>
      <c r="L912">
        <v>7</v>
      </c>
      <c r="N912" t="s">
        <v>20</v>
      </c>
      <c r="O912" t="s">
        <v>16</v>
      </c>
      <c r="P912" t="s">
        <v>303</v>
      </c>
      <c r="Q912">
        <v>7.5</v>
      </c>
      <c r="R912">
        <v>5</v>
      </c>
    </row>
    <row r="913" spans="1:21" x14ac:dyDescent="0.25">
      <c r="A913">
        <v>10</v>
      </c>
      <c r="B913">
        <v>100</v>
      </c>
      <c r="C913">
        <v>2</v>
      </c>
      <c r="D913">
        <v>23</v>
      </c>
      <c r="E913">
        <v>23</v>
      </c>
      <c r="F913" t="s">
        <v>90</v>
      </c>
      <c r="G913" t="s">
        <v>282</v>
      </c>
      <c r="H913" t="s">
        <v>124</v>
      </c>
      <c r="I913">
        <v>23</v>
      </c>
      <c r="J913">
        <v>7.3211273822271856</v>
      </c>
      <c r="K913">
        <v>5</v>
      </c>
      <c r="L913">
        <v>9</v>
      </c>
      <c r="N913" t="s">
        <v>20</v>
      </c>
      <c r="O913" t="s">
        <v>16</v>
      </c>
      <c r="P913" t="s">
        <v>303</v>
      </c>
      <c r="Q913">
        <v>10</v>
      </c>
      <c r="R913">
        <v>5</v>
      </c>
    </row>
    <row r="914" spans="1:21" x14ac:dyDescent="0.25">
      <c r="A914">
        <v>10</v>
      </c>
      <c r="B914">
        <v>100</v>
      </c>
      <c r="C914">
        <v>3</v>
      </c>
      <c r="D914">
        <v>27</v>
      </c>
      <c r="E914">
        <v>27</v>
      </c>
      <c r="F914" t="s">
        <v>90</v>
      </c>
      <c r="G914" t="s">
        <v>282</v>
      </c>
      <c r="H914" t="s">
        <v>124</v>
      </c>
      <c r="I914">
        <v>18</v>
      </c>
      <c r="J914">
        <v>5.7295779513082321</v>
      </c>
      <c r="K914">
        <v>4</v>
      </c>
      <c r="L914">
        <v>8</v>
      </c>
      <c r="N914" t="s">
        <v>20</v>
      </c>
      <c r="O914" t="s">
        <v>16</v>
      </c>
      <c r="P914" t="s">
        <v>303</v>
      </c>
      <c r="Q914">
        <v>7.5</v>
      </c>
      <c r="R914">
        <v>5</v>
      </c>
    </row>
    <row r="915" spans="1:21" x14ac:dyDescent="0.25">
      <c r="A915">
        <v>4</v>
      </c>
      <c r="B915">
        <v>500</v>
      </c>
      <c r="C915">
        <v>2</v>
      </c>
      <c r="D915">
        <v>29</v>
      </c>
      <c r="E915">
        <v>30</v>
      </c>
      <c r="F915" t="s">
        <v>90</v>
      </c>
      <c r="G915" t="s">
        <v>282</v>
      </c>
      <c r="H915" t="s">
        <v>124</v>
      </c>
      <c r="I915">
        <v>32</v>
      </c>
      <c r="J915">
        <v>10.185916357881302</v>
      </c>
      <c r="K915">
        <v>7.5</v>
      </c>
      <c r="L915">
        <v>12</v>
      </c>
      <c r="N915" t="s">
        <v>20</v>
      </c>
      <c r="O915" t="s">
        <v>16</v>
      </c>
      <c r="P915" t="s">
        <v>303</v>
      </c>
      <c r="Q915">
        <v>12.5</v>
      </c>
      <c r="R915">
        <v>10</v>
      </c>
      <c r="S915">
        <v>17</v>
      </c>
      <c r="T915" t="s">
        <v>273</v>
      </c>
      <c r="U915">
        <v>6.3960111229385122E-2</v>
      </c>
    </row>
    <row r="916" spans="1:21" x14ac:dyDescent="0.25">
      <c r="A916">
        <v>10</v>
      </c>
      <c r="B916">
        <v>100</v>
      </c>
      <c r="C916">
        <v>3</v>
      </c>
      <c r="D916">
        <v>32</v>
      </c>
      <c r="E916">
        <v>32</v>
      </c>
      <c r="F916" t="s">
        <v>90</v>
      </c>
      <c r="G916" t="s">
        <v>282</v>
      </c>
      <c r="H916" t="s">
        <v>124</v>
      </c>
      <c r="I916">
        <v>19.5</v>
      </c>
      <c r="J916">
        <v>6.2070427805839179</v>
      </c>
      <c r="K916">
        <v>3.5</v>
      </c>
      <c r="L916">
        <v>8</v>
      </c>
      <c r="N916" t="s">
        <v>20</v>
      </c>
      <c r="O916" t="s">
        <v>16</v>
      </c>
      <c r="P916" t="s">
        <v>303</v>
      </c>
      <c r="Q916">
        <v>7.5</v>
      </c>
      <c r="R916">
        <v>5</v>
      </c>
    </row>
    <row r="917" spans="1:21" x14ac:dyDescent="0.25">
      <c r="A917">
        <v>11</v>
      </c>
      <c r="B917">
        <v>5</v>
      </c>
      <c r="D917">
        <v>26</v>
      </c>
      <c r="E917">
        <v>26</v>
      </c>
      <c r="F917" t="s">
        <v>168</v>
      </c>
      <c r="G917" t="s">
        <v>169</v>
      </c>
      <c r="H917" t="s">
        <v>170</v>
      </c>
      <c r="L917">
        <v>0.6</v>
      </c>
      <c r="M917" t="e">
        <v>#REF!</v>
      </c>
      <c r="O917" t="s">
        <v>16</v>
      </c>
      <c r="P917" t="s">
        <v>303</v>
      </c>
      <c r="Q917">
        <v>2.5</v>
      </c>
      <c r="R917">
        <v>5</v>
      </c>
    </row>
    <row r="918" spans="1:21" x14ac:dyDescent="0.25">
      <c r="A918">
        <v>11</v>
      </c>
      <c r="B918">
        <v>5</v>
      </c>
      <c r="D918">
        <v>27</v>
      </c>
      <c r="E918">
        <v>27</v>
      </c>
      <c r="F918" t="s">
        <v>168</v>
      </c>
      <c r="G918" t="s">
        <v>169</v>
      </c>
      <c r="H918" t="s">
        <v>170</v>
      </c>
      <c r="L918">
        <v>0.6</v>
      </c>
      <c r="M918" t="e">
        <v>#REF!</v>
      </c>
      <c r="O918" t="s">
        <v>16</v>
      </c>
      <c r="P918" t="s">
        <v>303</v>
      </c>
      <c r="Q918">
        <v>2.5</v>
      </c>
      <c r="R918">
        <v>5</v>
      </c>
    </row>
    <row r="919" spans="1:21" x14ac:dyDescent="0.25">
      <c r="A919">
        <v>11</v>
      </c>
      <c r="B919">
        <v>5</v>
      </c>
      <c r="D919">
        <v>28</v>
      </c>
      <c r="E919">
        <v>28</v>
      </c>
      <c r="F919" t="s">
        <v>168</v>
      </c>
      <c r="G919" t="s">
        <v>169</v>
      </c>
      <c r="H919" t="s">
        <v>170</v>
      </c>
      <c r="L919">
        <v>0.6</v>
      </c>
      <c r="M919" t="e">
        <v>#REF!</v>
      </c>
      <c r="O919" t="s">
        <v>16</v>
      </c>
      <c r="P919" t="s">
        <v>303</v>
      </c>
      <c r="Q919">
        <v>2.5</v>
      </c>
      <c r="R919">
        <v>5</v>
      </c>
    </row>
    <row r="920" spans="1:21" x14ac:dyDescent="0.25">
      <c r="A920">
        <v>12</v>
      </c>
      <c r="B920">
        <v>5</v>
      </c>
      <c r="D920">
        <v>1</v>
      </c>
      <c r="E920">
        <v>1</v>
      </c>
      <c r="F920" t="s">
        <v>13</v>
      </c>
      <c r="G920" t="s">
        <v>14</v>
      </c>
      <c r="H920" t="s">
        <v>15</v>
      </c>
      <c r="L920">
        <v>8</v>
      </c>
      <c r="M920" t="e">
        <v>#REF!</v>
      </c>
      <c r="O920" t="s">
        <v>16</v>
      </c>
      <c r="P920" t="s">
        <v>303</v>
      </c>
      <c r="Q920">
        <v>7.5</v>
      </c>
      <c r="R920">
        <v>5</v>
      </c>
    </row>
    <row r="921" spans="1:21" x14ac:dyDescent="0.25">
      <c r="A921">
        <v>12</v>
      </c>
      <c r="B921">
        <v>5</v>
      </c>
      <c r="D921">
        <v>2</v>
      </c>
      <c r="E921">
        <v>2</v>
      </c>
      <c r="F921" t="s">
        <v>13</v>
      </c>
      <c r="G921" t="s">
        <v>14</v>
      </c>
      <c r="H921" t="s">
        <v>15</v>
      </c>
      <c r="L921">
        <v>7</v>
      </c>
      <c r="M921" t="e">
        <v>#REF!</v>
      </c>
      <c r="O921" t="s">
        <v>16</v>
      </c>
      <c r="P921" t="s">
        <v>303</v>
      </c>
      <c r="Q921">
        <v>7.5</v>
      </c>
      <c r="R921">
        <v>5</v>
      </c>
    </row>
    <row r="922" spans="1:21" x14ac:dyDescent="0.25">
      <c r="A922">
        <v>12</v>
      </c>
      <c r="B922">
        <v>5</v>
      </c>
      <c r="D922">
        <v>3</v>
      </c>
      <c r="E922">
        <v>3</v>
      </c>
      <c r="F922" t="s">
        <v>13</v>
      </c>
      <c r="G922" t="s">
        <v>14</v>
      </c>
      <c r="H922" t="s">
        <v>15</v>
      </c>
      <c r="L922">
        <v>2.5</v>
      </c>
      <c r="M922" t="e">
        <v>#REF!</v>
      </c>
      <c r="O922" t="s">
        <v>16</v>
      </c>
      <c r="P922" t="s">
        <v>303</v>
      </c>
      <c r="Q922">
        <v>2.5</v>
      </c>
      <c r="R922">
        <v>5</v>
      </c>
    </row>
    <row r="923" spans="1:21" x14ac:dyDescent="0.25">
      <c r="A923">
        <v>12</v>
      </c>
      <c r="B923">
        <v>5</v>
      </c>
      <c r="D923">
        <v>4</v>
      </c>
      <c r="E923">
        <v>4</v>
      </c>
      <c r="F923" t="s">
        <v>26</v>
      </c>
      <c r="G923" t="s">
        <v>27</v>
      </c>
      <c r="H923" t="s">
        <v>28</v>
      </c>
      <c r="L923">
        <v>5.5</v>
      </c>
      <c r="M923" t="e">
        <v>#REF!</v>
      </c>
      <c r="O923" t="s">
        <v>16</v>
      </c>
      <c r="P923" t="s">
        <v>303</v>
      </c>
      <c r="Q923">
        <v>5</v>
      </c>
      <c r="R923">
        <v>5</v>
      </c>
    </row>
    <row r="924" spans="1:21" x14ac:dyDescent="0.25">
      <c r="A924">
        <v>8</v>
      </c>
      <c r="B924">
        <v>500</v>
      </c>
      <c r="C924">
        <v>3</v>
      </c>
      <c r="D924">
        <v>42</v>
      </c>
      <c r="E924">
        <v>47</v>
      </c>
      <c r="F924" t="s">
        <v>17</v>
      </c>
      <c r="G924" t="s">
        <v>210</v>
      </c>
      <c r="H924" t="s">
        <v>211</v>
      </c>
      <c r="I924">
        <v>32</v>
      </c>
      <c r="J924">
        <v>10.185916357881302</v>
      </c>
      <c r="K924">
        <v>8</v>
      </c>
      <c r="L924">
        <v>12</v>
      </c>
      <c r="N924" t="s">
        <v>20</v>
      </c>
      <c r="O924" t="s">
        <v>16</v>
      </c>
      <c r="P924" t="s">
        <v>303</v>
      </c>
      <c r="Q924">
        <v>12.5</v>
      </c>
      <c r="R924">
        <v>10</v>
      </c>
      <c r="S924">
        <v>17</v>
      </c>
      <c r="T924" t="s">
        <v>273</v>
      </c>
      <c r="U924">
        <v>6.3960111229385122E-2</v>
      </c>
    </row>
    <row r="925" spans="1:21" x14ac:dyDescent="0.25">
      <c r="A925">
        <v>8</v>
      </c>
      <c r="B925">
        <v>500</v>
      </c>
      <c r="C925">
        <v>3</v>
      </c>
      <c r="D925">
        <v>43</v>
      </c>
      <c r="E925">
        <v>48</v>
      </c>
      <c r="F925" t="s">
        <v>17</v>
      </c>
      <c r="G925" t="s">
        <v>210</v>
      </c>
      <c r="H925" t="s">
        <v>211</v>
      </c>
      <c r="I925">
        <v>31.5</v>
      </c>
      <c r="J925">
        <v>10.026761414789407</v>
      </c>
      <c r="K925">
        <v>5</v>
      </c>
      <c r="L925">
        <v>12</v>
      </c>
      <c r="N925" t="s">
        <v>20</v>
      </c>
      <c r="O925" t="s">
        <v>16</v>
      </c>
      <c r="P925" t="s">
        <v>303</v>
      </c>
      <c r="Q925">
        <v>12.5</v>
      </c>
      <c r="R925">
        <v>10</v>
      </c>
      <c r="S925">
        <v>17</v>
      </c>
      <c r="T925" t="s">
        <v>273</v>
      </c>
      <c r="U925">
        <v>6.2157294315506713E-2</v>
      </c>
    </row>
    <row r="926" spans="1:21" x14ac:dyDescent="0.25">
      <c r="A926">
        <v>12</v>
      </c>
      <c r="B926">
        <v>5</v>
      </c>
      <c r="D926">
        <v>5</v>
      </c>
      <c r="E926">
        <v>5</v>
      </c>
      <c r="F926" t="s">
        <v>26</v>
      </c>
      <c r="G926" t="s">
        <v>27</v>
      </c>
      <c r="H926" t="s">
        <v>28</v>
      </c>
      <c r="L926">
        <v>4.5</v>
      </c>
      <c r="M926" t="e">
        <v>#REF!</v>
      </c>
      <c r="O926" t="s">
        <v>16</v>
      </c>
      <c r="P926" t="s">
        <v>303</v>
      </c>
      <c r="Q926">
        <v>5</v>
      </c>
      <c r="R926">
        <v>5</v>
      </c>
    </row>
    <row r="927" spans="1:21" x14ac:dyDescent="0.25">
      <c r="A927">
        <v>6</v>
      </c>
      <c r="B927">
        <v>500</v>
      </c>
      <c r="C927">
        <v>1</v>
      </c>
      <c r="D927">
        <v>1</v>
      </c>
      <c r="E927">
        <v>1</v>
      </c>
      <c r="F927" t="s">
        <v>17</v>
      </c>
      <c r="G927" t="s">
        <v>60</v>
      </c>
      <c r="H927" t="s">
        <v>61</v>
      </c>
      <c r="I927">
        <v>48.5</v>
      </c>
      <c r="J927">
        <v>15.438029479913848</v>
      </c>
      <c r="K927">
        <v>2.6</v>
      </c>
      <c r="L927">
        <v>12</v>
      </c>
      <c r="N927" t="s">
        <v>20</v>
      </c>
      <c r="O927" t="s">
        <v>16</v>
      </c>
      <c r="P927" t="s">
        <v>303</v>
      </c>
      <c r="Q927">
        <v>12.5</v>
      </c>
      <c r="R927">
        <v>15</v>
      </c>
      <c r="S927">
        <v>3</v>
      </c>
      <c r="T927" t="s">
        <v>278</v>
      </c>
      <c r="U927">
        <v>0.12003226734670126</v>
      </c>
    </row>
    <row r="928" spans="1:21" x14ac:dyDescent="0.25">
      <c r="A928">
        <v>7</v>
      </c>
      <c r="B928">
        <v>500</v>
      </c>
      <c r="C928">
        <v>1</v>
      </c>
      <c r="D928">
        <v>1</v>
      </c>
      <c r="E928">
        <v>1</v>
      </c>
      <c r="F928" t="s">
        <v>17</v>
      </c>
      <c r="G928" t="s">
        <v>60</v>
      </c>
      <c r="H928" t="s">
        <v>61</v>
      </c>
      <c r="I928">
        <v>96</v>
      </c>
      <c r="J928">
        <v>30.557749073643905</v>
      </c>
      <c r="K928">
        <v>3</v>
      </c>
      <c r="L928">
        <v>14</v>
      </c>
      <c r="N928" t="s">
        <v>20</v>
      </c>
      <c r="O928" t="s">
        <v>16</v>
      </c>
      <c r="P928" t="s">
        <v>303</v>
      </c>
      <c r="Q928">
        <v>15</v>
      </c>
      <c r="R928">
        <v>30</v>
      </c>
      <c r="S928">
        <v>3</v>
      </c>
      <c r="T928" t="s">
        <v>278</v>
      </c>
      <c r="U928">
        <v>0.52926497995563737</v>
      </c>
    </row>
    <row r="929" spans="1:21" x14ac:dyDescent="0.25">
      <c r="A929">
        <v>10</v>
      </c>
      <c r="B929">
        <v>500</v>
      </c>
      <c r="C929">
        <v>1</v>
      </c>
      <c r="D929">
        <v>1</v>
      </c>
      <c r="E929">
        <v>1</v>
      </c>
      <c r="F929" t="s">
        <v>17</v>
      </c>
      <c r="G929" t="s">
        <v>60</v>
      </c>
      <c r="H929" t="s">
        <v>61</v>
      </c>
      <c r="I929">
        <v>35</v>
      </c>
      <c r="J929">
        <v>11.140846016432674</v>
      </c>
      <c r="K929">
        <v>3</v>
      </c>
      <c r="L929">
        <v>10</v>
      </c>
      <c r="N929" t="s">
        <v>20</v>
      </c>
      <c r="O929" t="s">
        <v>16</v>
      </c>
      <c r="P929" t="s">
        <v>303</v>
      </c>
      <c r="Q929">
        <v>10</v>
      </c>
      <c r="R929">
        <v>10</v>
      </c>
      <c r="S929">
        <v>3</v>
      </c>
      <c r="T929" t="s">
        <v>278</v>
      </c>
      <c r="U929">
        <v>5.2553575416116598E-2</v>
      </c>
    </row>
    <row r="930" spans="1:21" x14ac:dyDescent="0.25">
      <c r="A930">
        <v>12</v>
      </c>
      <c r="B930">
        <v>500</v>
      </c>
      <c r="C930">
        <v>1</v>
      </c>
      <c r="D930">
        <v>1</v>
      </c>
      <c r="E930">
        <v>1</v>
      </c>
      <c r="F930" t="s">
        <v>17</v>
      </c>
      <c r="G930" t="s">
        <v>60</v>
      </c>
      <c r="H930" t="s">
        <v>61</v>
      </c>
      <c r="I930">
        <v>42</v>
      </c>
      <c r="J930">
        <v>13.369015219719209</v>
      </c>
      <c r="K930">
        <v>2.2999999999999998</v>
      </c>
      <c r="L930">
        <v>9</v>
      </c>
      <c r="N930" t="s">
        <v>20</v>
      </c>
      <c r="O930" t="s">
        <v>16</v>
      </c>
      <c r="P930" t="s">
        <v>303</v>
      </c>
      <c r="Q930">
        <v>10</v>
      </c>
      <c r="R930">
        <v>15</v>
      </c>
      <c r="S930">
        <v>3</v>
      </c>
      <c r="T930" t="s">
        <v>278</v>
      </c>
      <c r="U930">
        <v>6.6701012410433178E-2</v>
      </c>
    </row>
    <row r="931" spans="1:21" x14ac:dyDescent="0.25">
      <c r="A931">
        <v>12</v>
      </c>
      <c r="B931">
        <v>100</v>
      </c>
      <c r="C931">
        <v>1</v>
      </c>
      <c r="D931">
        <v>1</v>
      </c>
      <c r="E931">
        <v>1</v>
      </c>
      <c r="F931" t="s">
        <v>17</v>
      </c>
      <c r="G931" t="s">
        <v>60</v>
      </c>
      <c r="H931" t="s">
        <v>61</v>
      </c>
      <c r="I931">
        <v>20.5</v>
      </c>
      <c r="J931">
        <v>6.5253526667677093</v>
      </c>
      <c r="K931">
        <v>2.7</v>
      </c>
      <c r="L931">
        <v>9</v>
      </c>
      <c r="N931" t="s">
        <v>29</v>
      </c>
      <c r="O931" t="s">
        <v>16</v>
      </c>
      <c r="P931" t="s">
        <v>303</v>
      </c>
      <c r="Q931">
        <v>10</v>
      </c>
      <c r="R931">
        <v>5</v>
      </c>
    </row>
    <row r="932" spans="1:21" x14ac:dyDescent="0.25">
      <c r="A932">
        <v>8</v>
      </c>
      <c r="B932">
        <v>500</v>
      </c>
      <c r="C932">
        <v>1</v>
      </c>
      <c r="D932">
        <v>2</v>
      </c>
      <c r="E932">
        <v>2</v>
      </c>
      <c r="F932" t="s">
        <v>17</v>
      </c>
      <c r="G932" t="s">
        <v>60</v>
      </c>
      <c r="H932" t="s">
        <v>61</v>
      </c>
      <c r="I932">
        <v>57</v>
      </c>
      <c r="J932">
        <v>18.143663512476071</v>
      </c>
      <c r="K932">
        <v>8</v>
      </c>
      <c r="L932">
        <v>13</v>
      </c>
      <c r="N932" t="s">
        <v>20</v>
      </c>
      <c r="O932" t="s">
        <v>16</v>
      </c>
      <c r="P932" t="s">
        <v>303</v>
      </c>
      <c r="Q932">
        <v>12.5</v>
      </c>
      <c r="R932">
        <v>20</v>
      </c>
      <c r="S932">
        <v>3</v>
      </c>
      <c r="T932" t="s">
        <v>278</v>
      </c>
      <c r="U932">
        <v>0.17868469143083901</v>
      </c>
    </row>
    <row r="933" spans="1:21" x14ac:dyDescent="0.25">
      <c r="A933">
        <v>12</v>
      </c>
      <c r="B933">
        <v>500</v>
      </c>
      <c r="C933">
        <v>1</v>
      </c>
      <c r="D933">
        <v>2</v>
      </c>
      <c r="E933">
        <v>2</v>
      </c>
      <c r="F933" t="s">
        <v>17</v>
      </c>
      <c r="G933" t="s">
        <v>60</v>
      </c>
      <c r="H933" t="s">
        <v>61</v>
      </c>
      <c r="I933">
        <v>34</v>
      </c>
      <c r="J933">
        <v>10.822536130248883</v>
      </c>
      <c r="K933">
        <v>1.4</v>
      </c>
      <c r="L933">
        <v>12</v>
      </c>
      <c r="N933" t="s">
        <v>20</v>
      </c>
      <c r="O933" t="s">
        <v>16</v>
      </c>
      <c r="P933" t="s">
        <v>303</v>
      </c>
      <c r="Q933">
        <v>12.5</v>
      </c>
      <c r="R933">
        <v>10</v>
      </c>
      <c r="S933">
        <v>3</v>
      </c>
      <c r="T933" t="s">
        <v>278</v>
      </c>
      <c r="U933">
        <v>6.0476443880539972E-2</v>
      </c>
    </row>
    <row r="934" spans="1:21" x14ac:dyDescent="0.25">
      <c r="A934">
        <v>12</v>
      </c>
      <c r="B934">
        <v>100</v>
      </c>
      <c r="C934">
        <v>1</v>
      </c>
      <c r="D934" t="s">
        <v>172</v>
      </c>
      <c r="E934">
        <v>2</v>
      </c>
      <c r="F934" t="s">
        <v>17</v>
      </c>
      <c r="G934" t="s">
        <v>60</v>
      </c>
      <c r="H934" t="s">
        <v>61</v>
      </c>
      <c r="I934">
        <v>19</v>
      </c>
      <c r="J934">
        <v>6.0478878374920226</v>
      </c>
      <c r="K934">
        <v>2.4</v>
      </c>
      <c r="L934">
        <v>7</v>
      </c>
      <c r="N934" t="s">
        <v>20</v>
      </c>
      <c r="O934" t="s">
        <v>16</v>
      </c>
      <c r="P934" t="e">
        <v>#VALUE!</v>
      </c>
      <c r="Q934">
        <v>7.5</v>
      </c>
      <c r="R934">
        <v>5</v>
      </c>
    </row>
    <row r="935" spans="1:21" x14ac:dyDescent="0.25">
      <c r="A935">
        <v>12</v>
      </c>
      <c r="B935">
        <v>500</v>
      </c>
      <c r="C935">
        <v>1</v>
      </c>
      <c r="D935">
        <v>3</v>
      </c>
      <c r="E935">
        <v>3</v>
      </c>
      <c r="F935" t="s">
        <v>17</v>
      </c>
      <c r="G935" t="s">
        <v>60</v>
      </c>
      <c r="H935" t="s">
        <v>61</v>
      </c>
      <c r="I935">
        <v>35</v>
      </c>
      <c r="J935">
        <v>11.140846016432674</v>
      </c>
      <c r="K935">
        <v>3.2</v>
      </c>
      <c r="L935">
        <v>10</v>
      </c>
      <c r="N935" t="s">
        <v>20</v>
      </c>
      <c r="O935" t="s">
        <v>16</v>
      </c>
      <c r="P935" t="s">
        <v>303</v>
      </c>
      <c r="Q935">
        <v>10</v>
      </c>
      <c r="R935">
        <v>10</v>
      </c>
      <c r="S935">
        <v>3</v>
      </c>
      <c r="T935" t="s">
        <v>278</v>
      </c>
      <c r="U935">
        <v>5.2553575416116598E-2</v>
      </c>
    </row>
    <row r="936" spans="1:21" x14ac:dyDescent="0.25">
      <c r="A936">
        <v>12</v>
      </c>
      <c r="B936">
        <v>100</v>
      </c>
      <c r="C936">
        <v>1</v>
      </c>
      <c r="D936">
        <v>2</v>
      </c>
      <c r="E936">
        <v>3</v>
      </c>
      <c r="F936" t="s">
        <v>17</v>
      </c>
      <c r="G936" t="s">
        <v>60</v>
      </c>
      <c r="H936" t="s">
        <v>61</v>
      </c>
      <c r="I936">
        <v>17</v>
      </c>
      <c r="J936">
        <v>5.4112680651244416</v>
      </c>
      <c r="K936">
        <v>2.2000000000000002</v>
      </c>
      <c r="L936">
        <v>9</v>
      </c>
      <c r="N936" t="s">
        <v>20</v>
      </c>
      <c r="O936" t="s">
        <v>16</v>
      </c>
      <c r="P936" t="s">
        <v>303</v>
      </c>
      <c r="Q936">
        <v>10</v>
      </c>
      <c r="R936">
        <v>5</v>
      </c>
    </row>
    <row r="937" spans="1:21" x14ac:dyDescent="0.25">
      <c r="A937">
        <v>8</v>
      </c>
      <c r="B937">
        <v>500</v>
      </c>
      <c r="C937">
        <v>1</v>
      </c>
      <c r="D937">
        <v>4</v>
      </c>
      <c r="E937">
        <v>4</v>
      </c>
      <c r="F937" t="s">
        <v>17</v>
      </c>
      <c r="G937" t="s">
        <v>60</v>
      </c>
      <c r="H937" t="s">
        <v>61</v>
      </c>
      <c r="I937">
        <v>87.5</v>
      </c>
      <c r="J937">
        <v>27.852115041081685</v>
      </c>
      <c r="K937">
        <v>8</v>
      </c>
      <c r="L937">
        <v>14</v>
      </c>
      <c r="N937" t="s">
        <v>29</v>
      </c>
      <c r="O937" t="s">
        <v>16</v>
      </c>
      <c r="P937" t="s">
        <v>303</v>
      </c>
      <c r="Q937">
        <v>15</v>
      </c>
      <c r="R937">
        <v>30</v>
      </c>
      <c r="S937">
        <v>3</v>
      </c>
      <c r="T937" t="s">
        <v>278</v>
      </c>
      <c r="U937">
        <v>0.44255704867997447</v>
      </c>
    </row>
    <row r="938" spans="1:21" x14ac:dyDescent="0.25">
      <c r="A938">
        <v>12</v>
      </c>
      <c r="B938">
        <v>500</v>
      </c>
      <c r="C938">
        <v>2</v>
      </c>
      <c r="D938">
        <v>4</v>
      </c>
      <c r="E938">
        <v>4</v>
      </c>
      <c r="F938" t="s">
        <v>17</v>
      </c>
      <c r="G938" t="s">
        <v>60</v>
      </c>
      <c r="H938" t="s">
        <v>61</v>
      </c>
      <c r="I938">
        <v>38</v>
      </c>
      <c r="J938">
        <v>12.095775674984045</v>
      </c>
      <c r="K938">
        <v>3</v>
      </c>
      <c r="L938">
        <v>9</v>
      </c>
      <c r="N938" t="s">
        <v>29</v>
      </c>
      <c r="O938" t="s">
        <v>16</v>
      </c>
      <c r="P938" t="s">
        <v>303</v>
      </c>
      <c r="Q938">
        <v>10</v>
      </c>
      <c r="R938">
        <v>10</v>
      </c>
      <c r="S938">
        <v>3</v>
      </c>
      <c r="T938" t="s">
        <v>278</v>
      </c>
      <c r="U938">
        <v>5.4985477270311188E-2</v>
      </c>
    </row>
    <row r="939" spans="1:21" x14ac:dyDescent="0.25">
      <c r="A939">
        <v>12</v>
      </c>
      <c r="B939">
        <v>100</v>
      </c>
      <c r="C939">
        <v>1</v>
      </c>
      <c r="D939">
        <v>3</v>
      </c>
      <c r="E939">
        <v>4</v>
      </c>
      <c r="F939" t="s">
        <v>17</v>
      </c>
      <c r="G939" t="s">
        <v>60</v>
      </c>
      <c r="H939" t="s">
        <v>61</v>
      </c>
      <c r="I939">
        <v>19</v>
      </c>
      <c r="J939">
        <v>6.0478878374920226</v>
      </c>
      <c r="K939">
        <v>7.5</v>
      </c>
      <c r="L939">
        <v>10</v>
      </c>
      <c r="N939" t="s">
        <v>20</v>
      </c>
      <c r="O939" t="s">
        <v>16</v>
      </c>
      <c r="P939" t="s">
        <v>303</v>
      </c>
      <c r="Q939">
        <v>10</v>
      </c>
      <c r="R939">
        <v>5</v>
      </c>
    </row>
    <row r="940" spans="1:21" x14ac:dyDescent="0.25">
      <c r="A940">
        <v>8</v>
      </c>
      <c r="B940">
        <v>500</v>
      </c>
      <c r="C940">
        <v>1</v>
      </c>
      <c r="D940" t="s">
        <v>192</v>
      </c>
      <c r="E940">
        <v>5</v>
      </c>
      <c r="F940" t="s">
        <v>17</v>
      </c>
      <c r="G940" t="s">
        <v>60</v>
      </c>
      <c r="H940" t="s">
        <v>61</v>
      </c>
      <c r="I940">
        <v>72</v>
      </c>
      <c r="J940">
        <v>22.918311805232928</v>
      </c>
      <c r="K940">
        <v>8</v>
      </c>
      <c r="L940">
        <v>14</v>
      </c>
      <c r="N940" t="s">
        <v>20</v>
      </c>
      <c r="O940" t="s">
        <v>16</v>
      </c>
      <c r="P940" t="e">
        <v>#VALUE!</v>
      </c>
      <c r="Q940">
        <v>15</v>
      </c>
      <c r="R940">
        <v>25</v>
      </c>
      <c r="S940">
        <v>3</v>
      </c>
      <c r="T940" t="s">
        <v>278</v>
      </c>
      <c r="U940">
        <v>0.30377633353897893</v>
      </c>
    </row>
    <row r="941" spans="1:21" x14ac:dyDescent="0.25">
      <c r="A941">
        <v>12</v>
      </c>
      <c r="B941">
        <v>500</v>
      </c>
      <c r="C941">
        <v>2</v>
      </c>
      <c r="D941" t="s">
        <v>192</v>
      </c>
      <c r="E941">
        <v>5</v>
      </c>
      <c r="F941" t="s">
        <v>17</v>
      </c>
      <c r="G941" t="s">
        <v>60</v>
      </c>
      <c r="H941" t="s">
        <v>61</v>
      </c>
      <c r="I941">
        <v>37.5</v>
      </c>
      <c r="J941">
        <v>11.93662073189215</v>
      </c>
      <c r="K941">
        <v>1.8</v>
      </c>
      <c r="L941">
        <v>9</v>
      </c>
      <c r="N941" t="s">
        <v>20</v>
      </c>
      <c r="O941" t="s">
        <v>16</v>
      </c>
      <c r="P941" t="e">
        <v>#VALUE!</v>
      </c>
      <c r="Q941">
        <v>10</v>
      </c>
      <c r="R941">
        <v>10</v>
      </c>
      <c r="S941">
        <v>3</v>
      </c>
      <c r="T941" t="s">
        <v>278</v>
      </c>
      <c r="U941">
        <v>5.3597752830722822E-2</v>
      </c>
    </row>
    <row r="942" spans="1:21" x14ac:dyDescent="0.25">
      <c r="A942">
        <v>12</v>
      </c>
      <c r="B942">
        <v>100</v>
      </c>
      <c r="C942">
        <v>1</v>
      </c>
      <c r="D942">
        <v>4</v>
      </c>
      <c r="E942">
        <v>5</v>
      </c>
      <c r="F942" t="s">
        <v>17</v>
      </c>
      <c r="G942" t="s">
        <v>60</v>
      </c>
      <c r="H942" t="s">
        <v>61</v>
      </c>
      <c r="I942">
        <v>19.5</v>
      </c>
      <c r="J942">
        <v>6.2070427805839179</v>
      </c>
      <c r="K942">
        <v>4</v>
      </c>
      <c r="L942">
        <v>8</v>
      </c>
      <c r="N942" t="s">
        <v>20</v>
      </c>
      <c r="O942" t="s">
        <v>16</v>
      </c>
      <c r="P942" t="s">
        <v>303</v>
      </c>
      <c r="Q942">
        <v>7.5</v>
      </c>
      <c r="R942">
        <v>5</v>
      </c>
    </row>
    <row r="943" spans="1:21" x14ac:dyDescent="0.25">
      <c r="A943">
        <v>5</v>
      </c>
      <c r="B943">
        <v>500</v>
      </c>
      <c r="C943">
        <v>1</v>
      </c>
      <c r="D943">
        <v>6</v>
      </c>
      <c r="E943">
        <v>6</v>
      </c>
      <c r="F943" t="s">
        <v>17</v>
      </c>
      <c r="G943" t="s">
        <v>60</v>
      </c>
      <c r="H943" t="s">
        <v>61</v>
      </c>
      <c r="I943">
        <v>57.5</v>
      </c>
      <c r="J943">
        <v>18.302818455567966</v>
      </c>
      <c r="K943">
        <v>6</v>
      </c>
      <c r="L943">
        <v>12</v>
      </c>
      <c r="N943" t="s">
        <v>20</v>
      </c>
      <c r="O943" t="s">
        <v>16</v>
      </c>
      <c r="P943" t="s">
        <v>303</v>
      </c>
      <c r="Q943">
        <v>12.5</v>
      </c>
      <c r="R943">
        <v>20</v>
      </c>
      <c r="S943">
        <v>3</v>
      </c>
      <c r="T943" t="s">
        <v>278</v>
      </c>
      <c r="U943">
        <v>0.16671242749319176</v>
      </c>
    </row>
    <row r="944" spans="1:21" x14ac:dyDescent="0.25">
      <c r="A944">
        <v>11</v>
      </c>
      <c r="B944">
        <v>500</v>
      </c>
      <c r="C944">
        <v>1</v>
      </c>
      <c r="D944">
        <v>5</v>
      </c>
      <c r="E944">
        <v>6</v>
      </c>
      <c r="F944" t="s">
        <v>17</v>
      </c>
      <c r="G944" t="s">
        <v>60</v>
      </c>
      <c r="H944" t="s">
        <v>61</v>
      </c>
      <c r="I944">
        <v>56.5</v>
      </c>
      <c r="J944">
        <v>17.984508569384175</v>
      </c>
      <c r="K944">
        <v>2</v>
      </c>
      <c r="L944">
        <v>11</v>
      </c>
      <c r="N944" t="s">
        <v>20</v>
      </c>
      <c r="O944" t="s">
        <v>16</v>
      </c>
      <c r="P944" t="s">
        <v>303</v>
      </c>
      <c r="Q944">
        <v>10</v>
      </c>
      <c r="R944">
        <v>20</v>
      </c>
      <c r="S944">
        <v>3</v>
      </c>
      <c r="T944" t="s">
        <v>278</v>
      </c>
      <c r="U944">
        <v>0.1467453318250006</v>
      </c>
    </row>
    <row r="945" spans="1:21" x14ac:dyDescent="0.25">
      <c r="A945">
        <v>12</v>
      </c>
      <c r="B945">
        <v>500</v>
      </c>
      <c r="C945">
        <v>2</v>
      </c>
      <c r="D945">
        <v>5</v>
      </c>
      <c r="E945">
        <v>6</v>
      </c>
      <c r="F945" t="s">
        <v>17</v>
      </c>
      <c r="G945" t="s">
        <v>60</v>
      </c>
      <c r="H945" t="s">
        <v>61</v>
      </c>
      <c r="I945">
        <v>34</v>
      </c>
      <c r="J945">
        <v>10.822536130248883</v>
      </c>
      <c r="K945">
        <v>5</v>
      </c>
      <c r="L945">
        <v>10</v>
      </c>
      <c r="N945" t="s">
        <v>20</v>
      </c>
      <c r="O945" t="s">
        <v>16</v>
      </c>
      <c r="P945" t="s">
        <v>303</v>
      </c>
      <c r="Q945">
        <v>10</v>
      </c>
      <c r="R945">
        <v>10</v>
      </c>
      <c r="S945">
        <v>3</v>
      </c>
      <c r="T945" t="s">
        <v>278</v>
      </c>
      <c r="U945">
        <v>4.9694292943476354E-2</v>
      </c>
    </row>
    <row r="946" spans="1:21" x14ac:dyDescent="0.25">
      <c r="A946">
        <v>9</v>
      </c>
      <c r="B946">
        <v>500</v>
      </c>
      <c r="C946">
        <v>2</v>
      </c>
      <c r="D946">
        <v>7</v>
      </c>
      <c r="E946">
        <v>7</v>
      </c>
      <c r="F946" t="s">
        <v>17</v>
      </c>
      <c r="G946" t="s">
        <v>60</v>
      </c>
      <c r="H946" t="s">
        <v>61</v>
      </c>
      <c r="I946">
        <v>55</v>
      </c>
      <c r="J946">
        <v>17.507043740108486</v>
      </c>
      <c r="K946">
        <v>2.2999999999999998</v>
      </c>
      <c r="L946">
        <v>11</v>
      </c>
      <c r="N946" t="s">
        <v>20</v>
      </c>
      <c r="O946" t="s">
        <v>16</v>
      </c>
      <c r="P946" t="s">
        <v>303</v>
      </c>
      <c r="Q946">
        <v>10</v>
      </c>
      <c r="R946">
        <v>20</v>
      </c>
      <c r="S946">
        <v>3</v>
      </c>
      <c r="T946" t="s">
        <v>278</v>
      </c>
      <c r="U946">
        <v>0.13931951497347062</v>
      </c>
    </row>
    <row r="947" spans="1:21" x14ac:dyDescent="0.25">
      <c r="A947">
        <v>10</v>
      </c>
      <c r="B947">
        <v>500</v>
      </c>
      <c r="C947">
        <v>2</v>
      </c>
      <c r="D947">
        <v>7</v>
      </c>
      <c r="E947">
        <v>7</v>
      </c>
      <c r="F947" t="s">
        <v>17</v>
      </c>
      <c r="G947" t="s">
        <v>60</v>
      </c>
      <c r="H947" t="s">
        <v>61</v>
      </c>
      <c r="I947">
        <v>48.5</v>
      </c>
      <c r="J947">
        <v>15.438029479913848</v>
      </c>
      <c r="K947">
        <v>4</v>
      </c>
      <c r="L947">
        <v>11</v>
      </c>
      <c r="N947" t="s">
        <v>20</v>
      </c>
      <c r="O947" t="s">
        <v>16</v>
      </c>
      <c r="P947" t="s">
        <v>303</v>
      </c>
      <c r="Q947">
        <v>10</v>
      </c>
      <c r="R947">
        <v>15</v>
      </c>
      <c r="S947">
        <v>3</v>
      </c>
      <c r="T947" t="s">
        <v>278</v>
      </c>
      <c r="U947">
        <v>0.10929467434213644</v>
      </c>
    </row>
    <row r="948" spans="1:21" x14ac:dyDescent="0.25">
      <c r="A948">
        <v>12</v>
      </c>
      <c r="B948">
        <v>500</v>
      </c>
      <c r="C948">
        <v>3</v>
      </c>
      <c r="D948">
        <v>6</v>
      </c>
      <c r="E948">
        <v>7</v>
      </c>
      <c r="F948" t="s">
        <v>17</v>
      </c>
      <c r="G948" t="s">
        <v>60</v>
      </c>
      <c r="H948" t="s">
        <v>61</v>
      </c>
      <c r="I948">
        <v>36</v>
      </c>
      <c r="J948">
        <v>11.459155902616464</v>
      </c>
      <c r="K948">
        <v>2.2000000000000002</v>
      </c>
      <c r="L948">
        <v>10</v>
      </c>
      <c r="N948" t="s">
        <v>20</v>
      </c>
      <c r="O948" t="s">
        <v>16</v>
      </c>
      <c r="P948" t="s">
        <v>303</v>
      </c>
      <c r="Q948">
        <v>10</v>
      </c>
      <c r="R948">
        <v>10</v>
      </c>
      <c r="S948">
        <v>3</v>
      </c>
      <c r="T948" t="s">
        <v>278</v>
      </c>
      <c r="U948">
        <v>5.5489848754045175E-2</v>
      </c>
    </row>
    <row r="949" spans="1:21" x14ac:dyDescent="0.25">
      <c r="A949">
        <v>12</v>
      </c>
      <c r="B949">
        <v>100</v>
      </c>
      <c r="C949">
        <v>1</v>
      </c>
      <c r="D949">
        <v>6</v>
      </c>
      <c r="E949">
        <v>7</v>
      </c>
      <c r="F949" t="s">
        <v>17</v>
      </c>
      <c r="G949" t="s">
        <v>60</v>
      </c>
      <c r="H949" t="s">
        <v>61</v>
      </c>
      <c r="I949">
        <v>19</v>
      </c>
      <c r="J949">
        <v>6.0478878374920226</v>
      </c>
      <c r="K949">
        <v>7</v>
      </c>
      <c r="L949">
        <v>9</v>
      </c>
      <c r="N949" t="s">
        <v>20</v>
      </c>
      <c r="O949" t="s">
        <v>16</v>
      </c>
      <c r="P949" t="s">
        <v>303</v>
      </c>
      <c r="Q949">
        <v>10</v>
      </c>
      <c r="R949">
        <v>5</v>
      </c>
    </row>
    <row r="950" spans="1:21" x14ac:dyDescent="0.25">
      <c r="A950">
        <v>9</v>
      </c>
      <c r="B950">
        <v>500</v>
      </c>
      <c r="C950">
        <v>2</v>
      </c>
      <c r="D950">
        <v>8</v>
      </c>
      <c r="E950">
        <v>8</v>
      </c>
      <c r="F950" t="s">
        <v>17</v>
      </c>
      <c r="G950" t="s">
        <v>60</v>
      </c>
      <c r="H950" t="s">
        <v>61</v>
      </c>
      <c r="I950">
        <v>56.5</v>
      </c>
      <c r="J950">
        <v>17.984508569384175</v>
      </c>
      <c r="K950">
        <v>3.5</v>
      </c>
      <c r="L950">
        <v>12</v>
      </c>
      <c r="N950" t="s">
        <v>20</v>
      </c>
      <c r="O950" t="s">
        <v>16</v>
      </c>
      <c r="P950" t="s">
        <v>303</v>
      </c>
      <c r="Q950">
        <v>12.5</v>
      </c>
      <c r="R950">
        <v>20</v>
      </c>
      <c r="S950">
        <v>3</v>
      </c>
      <c r="T950" t="s">
        <v>278</v>
      </c>
      <c r="U950">
        <v>0.16116224333455983</v>
      </c>
    </row>
    <row r="951" spans="1:21" x14ac:dyDescent="0.25">
      <c r="A951">
        <v>12</v>
      </c>
      <c r="B951">
        <v>100</v>
      </c>
      <c r="C951">
        <v>1</v>
      </c>
      <c r="D951">
        <v>7</v>
      </c>
      <c r="E951">
        <v>8</v>
      </c>
      <c r="F951" t="s">
        <v>17</v>
      </c>
      <c r="G951" t="s">
        <v>60</v>
      </c>
      <c r="H951" t="s">
        <v>61</v>
      </c>
      <c r="I951">
        <v>23.5</v>
      </c>
      <c r="J951">
        <v>7.4802823253190809</v>
      </c>
      <c r="K951">
        <v>8</v>
      </c>
      <c r="L951">
        <v>10</v>
      </c>
      <c r="N951" t="s">
        <v>20</v>
      </c>
      <c r="O951" t="s">
        <v>16</v>
      </c>
      <c r="P951" t="s">
        <v>303</v>
      </c>
      <c r="Q951">
        <v>10</v>
      </c>
      <c r="R951">
        <v>5</v>
      </c>
    </row>
    <row r="952" spans="1:21" x14ac:dyDescent="0.25">
      <c r="A952">
        <v>6</v>
      </c>
      <c r="B952">
        <v>500</v>
      </c>
      <c r="C952">
        <v>3</v>
      </c>
      <c r="D952">
        <v>8</v>
      </c>
      <c r="E952">
        <v>9</v>
      </c>
      <c r="F952" t="s">
        <v>17</v>
      </c>
      <c r="G952" t="s">
        <v>60</v>
      </c>
      <c r="H952" t="s">
        <v>61</v>
      </c>
      <c r="I952">
        <v>38</v>
      </c>
      <c r="J952">
        <v>12.095775674984045</v>
      </c>
      <c r="K952">
        <v>3</v>
      </c>
      <c r="L952">
        <v>10</v>
      </c>
      <c r="N952" t="s">
        <v>20</v>
      </c>
      <c r="O952" t="s">
        <v>16</v>
      </c>
      <c r="P952" t="s">
        <v>303</v>
      </c>
      <c r="Q952">
        <v>10</v>
      </c>
      <c r="R952">
        <v>10</v>
      </c>
      <c r="S952">
        <v>3</v>
      </c>
      <c r="T952" t="s">
        <v>278</v>
      </c>
      <c r="U952">
        <v>6.1592764828348724E-2</v>
      </c>
    </row>
    <row r="953" spans="1:21" x14ac:dyDescent="0.25">
      <c r="A953">
        <v>10</v>
      </c>
      <c r="B953">
        <v>500</v>
      </c>
      <c r="C953">
        <v>3</v>
      </c>
      <c r="D953">
        <v>9</v>
      </c>
      <c r="E953">
        <v>9</v>
      </c>
      <c r="F953" t="s">
        <v>17</v>
      </c>
      <c r="G953" t="s">
        <v>60</v>
      </c>
      <c r="H953" t="s">
        <v>61</v>
      </c>
      <c r="I953">
        <v>46.5</v>
      </c>
      <c r="J953">
        <v>14.801409707546267</v>
      </c>
      <c r="K953">
        <v>5</v>
      </c>
      <c r="L953">
        <v>13</v>
      </c>
      <c r="N953" t="s">
        <v>20</v>
      </c>
      <c r="O953" t="s">
        <v>16</v>
      </c>
      <c r="P953" t="s">
        <v>303</v>
      </c>
      <c r="Q953">
        <v>12.5</v>
      </c>
      <c r="R953">
        <v>15</v>
      </c>
      <c r="S953">
        <v>3</v>
      </c>
      <c r="T953" t="s">
        <v>278</v>
      </c>
      <c r="U953">
        <v>0.12062628371070527</v>
      </c>
    </row>
    <row r="954" spans="1:21" x14ac:dyDescent="0.25">
      <c r="A954">
        <v>12</v>
      </c>
      <c r="B954">
        <v>500</v>
      </c>
      <c r="C954">
        <v>3</v>
      </c>
      <c r="D954">
        <v>8</v>
      </c>
      <c r="E954">
        <v>9</v>
      </c>
      <c r="F954" t="s">
        <v>17</v>
      </c>
      <c r="G954" t="s">
        <v>60</v>
      </c>
      <c r="H954" t="s">
        <v>61</v>
      </c>
      <c r="I954">
        <v>31.5</v>
      </c>
      <c r="J954">
        <v>10.026761414789407</v>
      </c>
      <c r="K954">
        <v>3.5</v>
      </c>
      <c r="L954">
        <v>9</v>
      </c>
      <c r="N954" t="s">
        <v>20</v>
      </c>
      <c r="O954" t="s">
        <v>16</v>
      </c>
      <c r="P954" t="s">
        <v>303</v>
      </c>
      <c r="Q954">
        <v>10</v>
      </c>
      <c r="R954">
        <v>10</v>
      </c>
      <c r="S954">
        <v>3</v>
      </c>
      <c r="T954" t="s">
        <v>278</v>
      </c>
      <c r="U954">
        <v>3.8283638178890481E-2</v>
      </c>
    </row>
    <row r="955" spans="1:21" x14ac:dyDescent="0.25">
      <c r="A955">
        <v>12</v>
      </c>
      <c r="B955">
        <v>100</v>
      </c>
      <c r="C955">
        <v>2</v>
      </c>
      <c r="D955">
        <v>8</v>
      </c>
      <c r="E955">
        <v>9</v>
      </c>
      <c r="F955" t="s">
        <v>17</v>
      </c>
      <c r="G955" t="s">
        <v>60</v>
      </c>
      <c r="H955" t="s">
        <v>61</v>
      </c>
      <c r="I955">
        <v>24</v>
      </c>
      <c r="J955">
        <v>7.6394372684109761</v>
      </c>
      <c r="K955">
        <v>3.5</v>
      </c>
      <c r="L955">
        <v>9</v>
      </c>
      <c r="N955" t="s">
        <v>20</v>
      </c>
      <c r="O955" t="s">
        <v>16</v>
      </c>
      <c r="P955" t="s">
        <v>303</v>
      </c>
      <c r="Q955">
        <v>10</v>
      </c>
      <c r="R955">
        <v>10</v>
      </c>
    </row>
    <row r="956" spans="1:21" x14ac:dyDescent="0.25">
      <c r="A956">
        <v>8</v>
      </c>
      <c r="B956">
        <v>500</v>
      </c>
      <c r="C956">
        <v>1</v>
      </c>
      <c r="D956">
        <v>9</v>
      </c>
      <c r="E956">
        <v>10</v>
      </c>
      <c r="F956" t="s">
        <v>17</v>
      </c>
      <c r="G956" t="s">
        <v>60</v>
      </c>
      <c r="H956" t="s">
        <v>61</v>
      </c>
      <c r="I956">
        <v>48</v>
      </c>
      <c r="J956">
        <v>15.278874536821952</v>
      </c>
      <c r="K956">
        <v>5.5</v>
      </c>
      <c r="L956">
        <v>12</v>
      </c>
      <c r="N956" t="s">
        <v>20</v>
      </c>
      <c r="O956" t="s">
        <v>16</v>
      </c>
      <c r="P956" t="s">
        <v>303</v>
      </c>
      <c r="Q956">
        <v>12.5</v>
      </c>
      <c r="R956">
        <v>15</v>
      </c>
      <c r="S956">
        <v>3</v>
      </c>
      <c r="T956" t="s">
        <v>278</v>
      </c>
      <c r="U956">
        <v>0.11765557051225319</v>
      </c>
    </row>
    <row r="957" spans="1:21" x14ac:dyDescent="0.25">
      <c r="A957">
        <v>9</v>
      </c>
      <c r="B957">
        <v>500</v>
      </c>
      <c r="C957">
        <v>2</v>
      </c>
      <c r="D957">
        <v>10</v>
      </c>
      <c r="E957">
        <v>10</v>
      </c>
      <c r="F957" t="s">
        <v>17</v>
      </c>
      <c r="G957" t="s">
        <v>60</v>
      </c>
      <c r="H957" t="s">
        <v>61</v>
      </c>
      <c r="I957">
        <v>41</v>
      </c>
      <c r="J957">
        <v>13.050705333535419</v>
      </c>
      <c r="K957">
        <v>7.5</v>
      </c>
      <c r="L957">
        <v>11</v>
      </c>
      <c r="N957" t="s">
        <v>20</v>
      </c>
      <c r="O957" t="s">
        <v>16</v>
      </c>
      <c r="P957" t="s">
        <v>303</v>
      </c>
      <c r="Q957">
        <v>10</v>
      </c>
      <c r="R957">
        <v>15</v>
      </c>
      <c r="S957">
        <v>3</v>
      </c>
      <c r="T957" t="s">
        <v>278</v>
      </c>
      <c r="U957">
        <v>7.9031024235165448E-2</v>
      </c>
    </row>
    <row r="958" spans="1:21" x14ac:dyDescent="0.25">
      <c r="A958">
        <v>11</v>
      </c>
      <c r="B958">
        <v>500</v>
      </c>
      <c r="C958">
        <v>2</v>
      </c>
      <c r="D958">
        <v>9</v>
      </c>
      <c r="E958">
        <v>10</v>
      </c>
      <c r="F958" t="s">
        <v>17</v>
      </c>
      <c r="G958" t="s">
        <v>60</v>
      </c>
      <c r="H958" t="s">
        <v>61</v>
      </c>
      <c r="I958">
        <v>42.5</v>
      </c>
      <c r="J958">
        <v>13.528170162811104</v>
      </c>
      <c r="K958">
        <v>3.5</v>
      </c>
      <c r="L958">
        <v>9</v>
      </c>
      <c r="N958" t="s">
        <v>20</v>
      </c>
      <c r="O958" t="s">
        <v>16</v>
      </c>
      <c r="P958" t="s">
        <v>303</v>
      </c>
      <c r="Q958">
        <v>10</v>
      </c>
      <c r="R958">
        <v>15</v>
      </c>
      <c r="S958">
        <v>3</v>
      </c>
      <c r="T958" t="s">
        <v>278</v>
      </c>
      <c r="U958">
        <v>6.8241947852802673E-2</v>
      </c>
    </row>
    <row r="959" spans="1:21" x14ac:dyDescent="0.25">
      <c r="A959">
        <v>12</v>
      </c>
      <c r="B959">
        <v>100</v>
      </c>
      <c r="C959">
        <v>2</v>
      </c>
      <c r="D959">
        <v>9</v>
      </c>
      <c r="E959">
        <v>10</v>
      </c>
      <c r="F959" t="s">
        <v>17</v>
      </c>
      <c r="G959" t="s">
        <v>60</v>
      </c>
      <c r="H959" t="s">
        <v>61</v>
      </c>
      <c r="I959">
        <v>22.5</v>
      </c>
      <c r="J959">
        <v>7.1619724391352904</v>
      </c>
      <c r="K959">
        <v>2</v>
      </c>
      <c r="L959">
        <v>10</v>
      </c>
      <c r="N959" t="s">
        <v>20</v>
      </c>
      <c r="O959" t="s">
        <v>16</v>
      </c>
      <c r="P959" t="s">
        <v>303</v>
      </c>
      <c r="Q959">
        <v>10</v>
      </c>
      <c r="R959">
        <v>5</v>
      </c>
    </row>
    <row r="960" spans="1:21" x14ac:dyDescent="0.25">
      <c r="A960">
        <v>7</v>
      </c>
      <c r="B960">
        <v>500</v>
      </c>
      <c r="C960">
        <v>2</v>
      </c>
      <c r="D960">
        <v>8</v>
      </c>
      <c r="E960">
        <v>11</v>
      </c>
      <c r="F960" t="s">
        <v>17</v>
      </c>
      <c r="G960" t="s">
        <v>60</v>
      </c>
      <c r="H960" t="s">
        <v>61</v>
      </c>
      <c r="I960">
        <v>95</v>
      </c>
      <c r="J960">
        <v>30.239439187460114</v>
      </c>
      <c r="K960">
        <v>7</v>
      </c>
      <c r="L960">
        <v>14</v>
      </c>
      <c r="N960" t="s">
        <v>20</v>
      </c>
      <c r="O960" t="s">
        <v>16</v>
      </c>
      <c r="P960" t="s">
        <v>303</v>
      </c>
      <c r="Q960">
        <v>15</v>
      </c>
      <c r="R960">
        <v>30</v>
      </c>
      <c r="S960">
        <v>3</v>
      </c>
      <c r="T960" t="s">
        <v>278</v>
      </c>
      <c r="U960">
        <v>0.51867664581607975</v>
      </c>
    </row>
    <row r="961" spans="1:21" x14ac:dyDescent="0.25">
      <c r="A961">
        <v>12</v>
      </c>
      <c r="B961">
        <v>100</v>
      </c>
      <c r="C961">
        <v>2</v>
      </c>
      <c r="D961">
        <v>10</v>
      </c>
      <c r="E961">
        <v>11</v>
      </c>
      <c r="F961" t="s">
        <v>17</v>
      </c>
      <c r="G961" t="s">
        <v>60</v>
      </c>
      <c r="H961" t="s">
        <v>61</v>
      </c>
      <c r="I961">
        <v>21.5</v>
      </c>
      <c r="J961">
        <v>6.8436625529514998</v>
      </c>
      <c r="K961">
        <v>2.2000000000000002</v>
      </c>
      <c r="L961">
        <v>8</v>
      </c>
      <c r="N961" t="s">
        <v>29</v>
      </c>
      <c r="O961" t="s">
        <v>16</v>
      </c>
      <c r="P961" t="s">
        <v>303</v>
      </c>
      <c r="Q961">
        <v>7.5</v>
      </c>
      <c r="R961">
        <v>5</v>
      </c>
    </row>
    <row r="962" spans="1:21" x14ac:dyDescent="0.25">
      <c r="A962">
        <v>1</v>
      </c>
      <c r="B962">
        <v>500</v>
      </c>
      <c r="C962">
        <v>2</v>
      </c>
      <c r="D962">
        <v>11</v>
      </c>
      <c r="E962">
        <v>12</v>
      </c>
      <c r="F962" t="s">
        <v>17</v>
      </c>
      <c r="G962" t="s">
        <v>60</v>
      </c>
      <c r="H962" t="s">
        <v>61</v>
      </c>
      <c r="I962">
        <v>73</v>
      </c>
      <c r="J962">
        <v>23.236621691416719</v>
      </c>
      <c r="K962">
        <v>6</v>
      </c>
      <c r="L962">
        <v>13</v>
      </c>
      <c r="N962" t="s">
        <v>29</v>
      </c>
      <c r="O962" t="s">
        <v>16</v>
      </c>
      <c r="P962" t="s">
        <v>303</v>
      </c>
      <c r="Q962">
        <v>12.5</v>
      </c>
      <c r="R962">
        <v>25</v>
      </c>
      <c r="S962">
        <v>3</v>
      </c>
      <c r="T962" t="s">
        <v>278</v>
      </c>
      <c r="U962">
        <v>0.28803894503210853</v>
      </c>
    </row>
    <row r="963" spans="1:21" x14ac:dyDescent="0.25">
      <c r="A963">
        <v>12</v>
      </c>
      <c r="B963">
        <v>100</v>
      </c>
      <c r="C963">
        <v>2</v>
      </c>
      <c r="D963" t="s">
        <v>234</v>
      </c>
      <c r="E963">
        <v>12</v>
      </c>
      <c r="F963" t="s">
        <v>17</v>
      </c>
      <c r="G963" t="s">
        <v>60</v>
      </c>
      <c r="H963" t="s">
        <v>61</v>
      </c>
      <c r="I963">
        <v>19</v>
      </c>
      <c r="J963">
        <v>6.0478878374920226</v>
      </c>
      <c r="K963">
        <v>6</v>
      </c>
      <c r="L963">
        <v>8</v>
      </c>
      <c r="N963" t="s">
        <v>20</v>
      </c>
      <c r="O963" t="s">
        <v>16</v>
      </c>
      <c r="P963" t="e">
        <v>#VALUE!</v>
      </c>
      <c r="Q963">
        <v>7.5</v>
      </c>
      <c r="R963">
        <v>5</v>
      </c>
    </row>
    <row r="964" spans="1:21" x14ac:dyDescent="0.25">
      <c r="A964">
        <v>1</v>
      </c>
      <c r="B964">
        <v>500</v>
      </c>
      <c r="C964">
        <v>2</v>
      </c>
      <c r="D964" t="s">
        <v>84</v>
      </c>
      <c r="E964">
        <v>13</v>
      </c>
      <c r="F964" t="s">
        <v>17</v>
      </c>
      <c r="G964" t="s">
        <v>60</v>
      </c>
      <c r="H964" t="s">
        <v>61</v>
      </c>
      <c r="I964">
        <v>64</v>
      </c>
      <c r="J964">
        <v>20.371832715762604</v>
      </c>
      <c r="K964">
        <v>6</v>
      </c>
      <c r="L964">
        <v>13</v>
      </c>
      <c r="N964" t="s">
        <v>20</v>
      </c>
      <c r="O964" t="s">
        <v>16</v>
      </c>
      <c r="P964" t="e">
        <v>#VALUE!</v>
      </c>
      <c r="Q964">
        <v>12.5</v>
      </c>
      <c r="R964">
        <v>20</v>
      </c>
      <c r="S964">
        <v>3</v>
      </c>
      <c r="T964" t="s">
        <v>278</v>
      </c>
      <c r="U964">
        <v>0.22344527539885364</v>
      </c>
    </row>
    <row r="965" spans="1:21" x14ac:dyDescent="0.25">
      <c r="A965">
        <v>12</v>
      </c>
      <c r="B965">
        <v>100</v>
      </c>
      <c r="C965">
        <v>2</v>
      </c>
      <c r="D965">
        <v>11</v>
      </c>
      <c r="E965">
        <v>13</v>
      </c>
      <c r="F965" t="s">
        <v>17</v>
      </c>
      <c r="G965" t="s">
        <v>60</v>
      </c>
      <c r="H965" t="s">
        <v>61</v>
      </c>
      <c r="I965">
        <v>29.5</v>
      </c>
      <c r="J965">
        <v>9.3901416424218258</v>
      </c>
      <c r="K965">
        <v>7</v>
      </c>
      <c r="L965">
        <v>11</v>
      </c>
      <c r="N965" t="s">
        <v>29</v>
      </c>
      <c r="O965" t="s">
        <v>16</v>
      </c>
      <c r="P965" t="s">
        <v>303</v>
      </c>
      <c r="Q965">
        <v>10</v>
      </c>
      <c r="R965">
        <v>10</v>
      </c>
    </row>
    <row r="966" spans="1:21" x14ac:dyDescent="0.25">
      <c r="A966">
        <v>1</v>
      </c>
      <c r="B966">
        <v>500</v>
      </c>
      <c r="C966">
        <v>2</v>
      </c>
      <c r="D966" t="s">
        <v>85</v>
      </c>
      <c r="E966">
        <v>14</v>
      </c>
      <c r="F966" t="s">
        <v>17</v>
      </c>
      <c r="G966" t="s">
        <v>60</v>
      </c>
      <c r="H966" t="s">
        <v>61</v>
      </c>
      <c r="I966">
        <v>50</v>
      </c>
      <c r="J966">
        <v>15.915494309189533</v>
      </c>
      <c r="K966">
        <v>4</v>
      </c>
      <c r="L966">
        <v>11</v>
      </c>
      <c r="N966" t="s">
        <v>20</v>
      </c>
      <c r="O966" t="s">
        <v>16</v>
      </c>
      <c r="P966" t="e">
        <v>#VALUE!</v>
      </c>
      <c r="Q966">
        <v>10</v>
      </c>
      <c r="R966">
        <v>15</v>
      </c>
      <c r="S966">
        <v>3</v>
      </c>
      <c r="T966" t="s">
        <v>278</v>
      </c>
      <c r="U966">
        <v>0.11591195362313406</v>
      </c>
    </row>
    <row r="967" spans="1:21" x14ac:dyDescent="0.25">
      <c r="A967">
        <v>7</v>
      </c>
      <c r="B967">
        <v>500</v>
      </c>
      <c r="C967">
        <v>2</v>
      </c>
      <c r="D967">
        <v>11</v>
      </c>
      <c r="E967">
        <v>14</v>
      </c>
      <c r="F967" t="s">
        <v>17</v>
      </c>
      <c r="G967" t="s">
        <v>60</v>
      </c>
      <c r="H967" t="s">
        <v>61</v>
      </c>
      <c r="I967">
        <v>60</v>
      </c>
      <c r="J967">
        <v>19.098593171027442</v>
      </c>
      <c r="K967">
        <v>2.6</v>
      </c>
      <c r="L967">
        <v>14</v>
      </c>
      <c r="N967" t="s">
        <v>20</v>
      </c>
      <c r="O967" t="s">
        <v>16</v>
      </c>
      <c r="P967" t="s">
        <v>303</v>
      </c>
      <c r="Q967">
        <v>15</v>
      </c>
      <c r="R967">
        <v>20</v>
      </c>
      <c r="S967">
        <v>3</v>
      </c>
      <c r="T967" t="s">
        <v>278</v>
      </c>
      <c r="U967">
        <v>0.21366927568123606</v>
      </c>
    </row>
    <row r="968" spans="1:21" x14ac:dyDescent="0.25">
      <c r="A968">
        <v>11</v>
      </c>
      <c r="B968">
        <v>500</v>
      </c>
      <c r="C968">
        <v>3</v>
      </c>
      <c r="D968">
        <v>13</v>
      </c>
      <c r="E968">
        <v>14</v>
      </c>
      <c r="F968" t="s">
        <v>17</v>
      </c>
      <c r="G968" t="s">
        <v>60</v>
      </c>
      <c r="H968" t="s">
        <v>61</v>
      </c>
      <c r="I968">
        <v>51</v>
      </c>
      <c r="J968">
        <v>16.233804195373324</v>
      </c>
      <c r="K968">
        <v>4</v>
      </c>
      <c r="L968">
        <v>10</v>
      </c>
      <c r="N968" t="s">
        <v>20</v>
      </c>
      <c r="O968" t="s">
        <v>16</v>
      </c>
      <c r="P968" t="s">
        <v>303</v>
      </c>
      <c r="Q968">
        <v>10</v>
      </c>
      <c r="R968">
        <v>15</v>
      </c>
      <c r="S968">
        <v>3</v>
      </c>
      <c r="T968" t="s">
        <v>278</v>
      </c>
      <c r="U968">
        <v>0.10867883474040876</v>
      </c>
    </row>
    <row r="969" spans="1:21" x14ac:dyDescent="0.25">
      <c r="A969">
        <v>12</v>
      </c>
      <c r="B969">
        <v>100</v>
      </c>
      <c r="C969">
        <v>2</v>
      </c>
      <c r="D969" t="s">
        <v>84</v>
      </c>
      <c r="E969">
        <v>14</v>
      </c>
      <c r="F969" t="s">
        <v>17</v>
      </c>
      <c r="G969" t="s">
        <v>60</v>
      </c>
      <c r="H969" t="s">
        <v>61</v>
      </c>
      <c r="I969">
        <v>21.5</v>
      </c>
      <c r="J969">
        <v>6.8436625529514998</v>
      </c>
      <c r="K969">
        <v>6</v>
      </c>
      <c r="L969">
        <v>9</v>
      </c>
      <c r="N969" t="s">
        <v>20</v>
      </c>
      <c r="O969" t="s">
        <v>16</v>
      </c>
      <c r="P969" t="e">
        <v>#VALUE!</v>
      </c>
      <c r="Q969">
        <v>10</v>
      </c>
      <c r="R969">
        <v>5</v>
      </c>
    </row>
    <row r="970" spans="1:21" x14ac:dyDescent="0.25">
      <c r="A970">
        <v>7</v>
      </c>
      <c r="B970">
        <v>500</v>
      </c>
      <c r="C970">
        <v>2</v>
      </c>
      <c r="D970">
        <v>12</v>
      </c>
      <c r="E970">
        <v>15</v>
      </c>
      <c r="F970" t="s">
        <v>17</v>
      </c>
      <c r="G970" t="s">
        <v>60</v>
      </c>
      <c r="H970" t="s">
        <v>61</v>
      </c>
      <c r="I970">
        <v>66</v>
      </c>
      <c r="J970">
        <v>21.008452488130185</v>
      </c>
      <c r="K970">
        <v>6</v>
      </c>
      <c r="L970">
        <v>14</v>
      </c>
      <c r="N970" t="s">
        <v>20</v>
      </c>
      <c r="O970" t="s">
        <v>16</v>
      </c>
      <c r="P970" t="s">
        <v>303</v>
      </c>
      <c r="Q970">
        <v>15</v>
      </c>
      <c r="R970">
        <v>20</v>
      </c>
      <c r="S970">
        <v>3</v>
      </c>
      <c r="T970" t="s">
        <v>278</v>
      </c>
      <c r="U970">
        <v>0.25681820487150631</v>
      </c>
    </row>
    <row r="971" spans="1:21" x14ac:dyDescent="0.25">
      <c r="A971">
        <v>11</v>
      </c>
      <c r="B971">
        <v>500</v>
      </c>
      <c r="C971">
        <v>3</v>
      </c>
      <c r="D971">
        <v>14</v>
      </c>
      <c r="E971">
        <v>15</v>
      </c>
      <c r="F971" t="s">
        <v>17</v>
      </c>
      <c r="G971" t="s">
        <v>60</v>
      </c>
      <c r="H971" t="s">
        <v>61</v>
      </c>
      <c r="I971">
        <v>39.5</v>
      </c>
      <c r="J971">
        <v>12.573240504259733</v>
      </c>
      <c r="K971">
        <v>4.5</v>
      </c>
      <c r="L971">
        <v>13</v>
      </c>
      <c r="N971" t="s">
        <v>20</v>
      </c>
      <c r="O971" t="s">
        <v>16</v>
      </c>
      <c r="P971" t="s">
        <v>303</v>
      </c>
      <c r="Q971">
        <v>12.5</v>
      </c>
      <c r="R971">
        <v>15</v>
      </c>
      <c r="S971">
        <v>3</v>
      </c>
      <c r="T971" t="s">
        <v>278</v>
      </c>
      <c r="U971">
        <v>8.8043491073533861E-2</v>
      </c>
    </row>
    <row r="972" spans="1:21" x14ac:dyDescent="0.25">
      <c r="A972">
        <v>12</v>
      </c>
      <c r="B972">
        <v>100</v>
      </c>
      <c r="C972">
        <v>2</v>
      </c>
      <c r="D972" t="s">
        <v>84</v>
      </c>
      <c r="E972">
        <v>15</v>
      </c>
      <c r="F972" t="s">
        <v>17</v>
      </c>
      <c r="G972" t="s">
        <v>60</v>
      </c>
      <c r="H972" t="s">
        <v>61</v>
      </c>
      <c r="I972">
        <v>22</v>
      </c>
      <c r="J972">
        <v>7.0028174960433951</v>
      </c>
      <c r="K972">
        <v>2.5</v>
      </c>
      <c r="L972">
        <v>7</v>
      </c>
      <c r="N972" t="s">
        <v>20</v>
      </c>
      <c r="O972" t="s">
        <v>16</v>
      </c>
      <c r="P972" t="e">
        <v>#VALUE!</v>
      </c>
      <c r="Q972">
        <v>7.5</v>
      </c>
      <c r="R972">
        <v>5</v>
      </c>
    </row>
    <row r="973" spans="1:21" x14ac:dyDescent="0.25">
      <c r="A973">
        <v>7</v>
      </c>
      <c r="B973">
        <v>500</v>
      </c>
      <c r="C973">
        <v>2</v>
      </c>
      <c r="D973">
        <v>13</v>
      </c>
      <c r="E973">
        <v>16</v>
      </c>
      <c r="F973" t="s">
        <v>17</v>
      </c>
      <c r="G973" t="s">
        <v>60</v>
      </c>
      <c r="H973" t="s">
        <v>61</v>
      </c>
      <c r="I973">
        <v>66.5</v>
      </c>
      <c r="J973">
        <v>21.167607431222081</v>
      </c>
      <c r="K973">
        <v>8</v>
      </c>
      <c r="L973">
        <v>14</v>
      </c>
      <c r="N973" t="s">
        <v>20</v>
      </c>
      <c r="O973" t="s">
        <v>16</v>
      </c>
      <c r="P973" t="s">
        <v>303</v>
      </c>
      <c r="Q973">
        <v>15</v>
      </c>
      <c r="R973">
        <v>20</v>
      </c>
      <c r="S973">
        <v>3</v>
      </c>
      <c r="T973" t="s">
        <v>278</v>
      </c>
      <c r="U973">
        <v>0.26058622642796037</v>
      </c>
    </row>
    <row r="974" spans="1:21" x14ac:dyDescent="0.25">
      <c r="A974">
        <v>8</v>
      </c>
      <c r="B974">
        <v>500</v>
      </c>
      <c r="C974">
        <v>1</v>
      </c>
      <c r="D974">
        <v>15</v>
      </c>
      <c r="E974">
        <v>16</v>
      </c>
      <c r="F974" t="s">
        <v>17</v>
      </c>
      <c r="G974" t="s">
        <v>60</v>
      </c>
      <c r="H974" t="s">
        <v>61</v>
      </c>
      <c r="I974">
        <v>72</v>
      </c>
      <c r="J974">
        <v>22.918311805232928</v>
      </c>
      <c r="K974">
        <v>4.5</v>
      </c>
      <c r="L974">
        <v>12</v>
      </c>
      <c r="N974" t="s">
        <v>20</v>
      </c>
      <c r="O974" t="s">
        <v>16</v>
      </c>
      <c r="P974" t="s">
        <v>303</v>
      </c>
      <c r="Q974">
        <v>12.5</v>
      </c>
      <c r="R974">
        <v>25</v>
      </c>
      <c r="S974">
        <v>3</v>
      </c>
      <c r="T974" t="s">
        <v>278</v>
      </c>
      <c r="U974">
        <v>0.25730661503793956</v>
      </c>
    </row>
    <row r="975" spans="1:21" x14ac:dyDescent="0.25">
      <c r="A975">
        <v>9</v>
      </c>
      <c r="B975">
        <v>500</v>
      </c>
      <c r="C975">
        <v>4</v>
      </c>
      <c r="D975">
        <v>16</v>
      </c>
      <c r="E975">
        <v>16</v>
      </c>
      <c r="F975" t="s">
        <v>17</v>
      </c>
      <c r="G975" t="s">
        <v>60</v>
      </c>
      <c r="H975" t="s">
        <v>61</v>
      </c>
      <c r="I975">
        <v>51</v>
      </c>
      <c r="J975">
        <v>16.233804195373324</v>
      </c>
      <c r="K975">
        <v>5</v>
      </c>
      <c r="L975">
        <v>12</v>
      </c>
      <c r="N975" t="s">
        <v>20</v>
      </c>
      <c r="O975" t="s">
        <v>16</v>
      </c>
      <c r="P975" t="s">
        <v>303</v>
      </c>
      <c r="Q975">
        <v>12.5</v>
      </c>
      <c r="R975">
        <v>15</v>
      </c>
      <c r="S975">
        <v>3</v>
      </c>
      <c r="T975" t="s">
        <v>278</v>
      </c>
      <c r="U975">
        <v>0.13225883820616102</v>
      </c>
    </row>
    <row r="976" spans="1:21" x14ac:dyDescent="0.25">
      <c r="A976">
        <v>12</v>
      </c>
      <c r="B976">
        <v>100</v>
      </c>
      <c r="C976">
        <v>2</v>
      </c>
      <c r="D976">
        <v>12</v>
      </c>
      <c r="E976">
        <v>16</v>
      </c>
      <c r="F976" t="s">
        <v>17</v>
      </c>
      <c r="G976" t="s">
        <v>60</v>
      </c>
      <c r="H976" t="s">
        <v>61</v>
      </c>
      <c r="I976">
        <v>22</v>
      </c>
      <c r="J976">
        <v>7.0028174960433951</v>
      </c>
      <c r="K976">
        <v>6</v>
      </c>
      <c r="L976">
        <v>9</v>
      </c>
      <c r="N976" t="s">
        <v>29</v>
      </c>
      <c r="O976" t="s">
        <v>16</v>
      </c>
      <c r="P976" t="s">
        <v>303</v>
      </c>
      <c r="Q976">
        <v>10</v>
      </c>
      <c r="R976">
        <v>5</v>
      </c>
    </row>
    <row r="977" spans="1:21" x14ac:dyDescent="0.25">
      <c r="A977">
        <v>7</v>
      </c>
      <c r="B977">
        <v>500</v>
      </c>
      <c r="C977">
        <v>2</v>
      </c>
      <c r="D977">
        <v>14</v>
      </c>
      <c r="E977">
        <v>17</v>
      </c>
      <c r="F977" t="s">
        <v>17</v>
      </c>
      <c r="G977" t="s">
        <v>60</v>
      </c>
      <c r="H977" t="s">
        <v>61</v>
      </c>
      <c r="I977">
        <v>81</v>
      </c>
      <c r="J977">
        <v>25.783100780887047</v>
      </c>
      <c r="K977">
        <v>4</v>
      </c>
      <c r="L977">
        <v>12</v>
      </c>
      <c r="N977" t="s">
        <v>20</v>
      </c>
      <c r="O977" t="s">
        <v>16</v>
      </c>
      <c r="P977" t="s">
        <v>303</v>
      </c>
      <c r="Q977">
        <v>12.5</v>
      </c>
      <c r="R977">
        <v>25</v>
      </c>
      <c r="S977">
        <v>3</v>
      </c>
      <c r="T977" t="s">
        <v>278</v>
      </c>
      <c r="U977">
        <v>0.32297595137543411</v>
      </c>
    </row>
    <row r="978" spans="1:21" x14ac:dyDescent="0.25">
      <c r="A978">
        <v>8</v>
      </c>
      <c r="B978">
        <v>500</v>
      </c>
      <c r="C978">
        <v>2</v>
      </c>
      <c r="D978">
        <v>16</v>
      </c>
      <c r="E978">
        <v>17</v>
      </c>
      <c r="F978" t="s">
        <v>17</v>
      </c>
      <c r="G978" t="s">
        <v>60</v>
      </c>
      <c r="H978" t="s">
        <v>61</v>
      </c>
      <c r="I978">
        <v>64</v>
      </c>
      <c r="J978">
        <v>20.371832715762604</v>
      </c>
      <c r="K978">
        <v>7</v>
      </c>
      <c r="L978">
        <v>12</v>
      </c>
      <c r="N978" t="s">
        <v>29</v>
      </c>
      <c r="O978" t="s">
        <v>16</v>
      </c>
      <c r="P978" t="s">
        <v>303</v>
      </c>
      <c r="Q978">
        <v>12.5</v>
      </c>
      <c r="R978">
        <v>20</v>
      </c>
      <c r="S978">
        <v>3</v>
      </c>
      <c r="T978" t="s">
        <v>278</v>
      </c>
      <c r="U978">
        <v>0.20498954755093329</v>
      </c>
    </row>
    <row r="979" spans="1:21" x14ac:dyDescent="0.25">
      <c r="A979">
        <v>12</v>
      </c>
      <c r="B979">
        <v>100</v>
      </c>
      <c r="C979">
        <v>2</v>
      </c>
      <c r="D979" t="s">
        <v>171</v>
      </c>
      <c r="E979">
        <v>17</v>
      </c>
      <c r="F979" t="s">
        <v>17</v>
      </c>
      <c r="G979" t="s">
        <v>60</v>
      </c>
      <c r="H979" t="s">
        <v>61</v>
      </c>
      <c r="I979">
        <v>17</v>
      </c>
      <c r="J979">
        <v>5.4112680651244416</v>
      </c>
      <c r="K979">
        <v>6</v>
      </c>
      <c r="L979">
        <v>9</v>
      </c>
      <c r="N979" t="s">
        <v>20</v>
      </c>
      <c r="O979" t="s">
        <v>16</v>
      </c>
      <c r="P979" t="e">
        <v>#VALUE!</v>
      </c>
      <c r="Q979">
        <v>10</v>
      </c>
      <c r="R979">
        <v>5</v>
      </c>
    </row>
    <row r="980" spans="1:21" x14ac:dyDescent="0.25">
      <c r="A980">
        <v>8</v>
      </c>
      <c r="B980">
        <v>500</v>
      </c>
      <c r="C980">
        <v>2</v>
      </c>
      <c r="D980" t="s">
        <v>212</v>
      </c>
      <c r="E980">
        <v>18</v>
      </c>
      <c r="F980" t="s">
        <v>17</v>
      </c>
      <c r="G980" t="s">
        <v>60</v>
      </c>
      <c r="H980" t="s">
        <v>61</v>
      </c>
      <c r="I980">
        <v>42</v>
      </c>
      <c r="J980">
        <v>13.369015219719209</v>
      </c>
      <c r="K980">
        <v>5.5</v>
      </c>
      <c r="L980">
        <v>12</v>
      </c>
      <c r="N980" t="s">
        <v>20</v>
      </c>
      <c r="O980" t="s">
        <v>16</v>
      </c>
      <c r="P980" t="e">
        <v>#VALUE!</v>
      </c>
      <c r="Q980">
        <v>12.5</v>
      </c>
      <c r="R980">
        <v>15</v>
      </c>
      <c r="S980">
        <v>3</v>
      </c>
      <c r="T980" t="s">
        <v>278</v>
      </c>
      <c r="U980">
        <v>9.0927208121807365E-2</v>
      </c>
    </row>
    <row r="981" spans="1:21" x14ac:dyDescent="0.25">
      <c r="A981">
        <v>12</v>
      </c>
      <c r="B981">
        <v>100</v>
      </c>
      <c r="C981">
        <v>2</v>
      </c>
      <c r="D981">
        <v>13</v>
      </c>
      <c r="E981">
        <v>18</v>
      </c>
      <c r="F981" t="s">
        <v>17</v>
      </c>
      <c r="G981" t="s">
        <v>60</v>
      </c>
      <c r="H981" t="s">
        <v>61</v>
      </c>
      <c r="I981">
        <v>18.5</v>
      </c>
      <c r="J981">
        <v>5.8887328944001274</v>
      </c>
      <c r="K981">
        <v>3.5</v>
      </c>
      <c r="L981">
        <v>8</v>
      </c>
      <c r="N981" t="s">
        <v>20</v>
      </c>
      <c r="O981" t="s">
        <v>16</v>
      </c>
      <c r="P981" t="s">
        <v>303</v>
      </c>
      <c r="Q981">
        <v>7.5</v>
      </c>
      <c r="R981">
        <v>5</v>
      </c>
    </row>
    <row r="982" spans="1:21" x14ac:dyDescent="0.25">
      <c r="A982">
        <v>7</v>
      </c>
      <c r="B982">
        <v>500</v>
      </c>
      <c r="C982">
        <v>2</v>
      </c>
      <c r="D982">
        <v>16</v>
      </c>
      <c r="E982">
        <v>19</v>
      </c>
      <c r="F982" t="s">
        <v>17</v>
      </c>
      <c r="G982" t="s">
        <v>60</v>
      </c>
      <c r="H982" t="s">
        <v>61</v>
      </c>
      <c r="I982">
        <v>44</v>
      </c>
      <c r="J982">
        <v>14.00563499208679</v>
      </c>
      <c r="K982">
        <v>5</v>
      </c>
      <c r="L982">
        <v>12</v>
      </c>
      <c r="N982" t="s">
        <v>20</v>
      </c>
      <c r="O982" t="s">
        <v>16</v>
      </c>
      <c r="P982" t="s">
        <v>303</v>
      </c>
      <c r="Q982">
        <v>12.5</v>
      </c>
      <c r="R982">
        <v>15</v>
      </c>
      <c r="S982">
        <v>3</v>
      </c>
      <c r="T982" t="s">
        <v>278</v>
      </c>
      <c r="U982">
        <v>9.9468224071552369E-2</v>
      </c>
    </row>
    <row r="983" spans="1:21" x14ac:dyDescent="0.25">
      <c r="A983">
        <v>7</v>
      </c>
      <c r="B983">
        <v>500</v>
      </c>
      <c r="C983">
        <v>2</v>
      </c>
      <c r="D983">
        <v>17</v>
      </c>
      <c r="E983">
        <v>20</v>
      </c>
      <c r="F983" t="s">
        <v>17</v>
      </c>
      <c r="G983" t="s">
        <v>60</v>
      </c>
      <c r="H983" t="s">
        <v>61</v>
      </c>
      <c r="I983">
        <v>40</v>
      </c>
      <c r="J983">
        <v>12.732395447351628</v>
      </c>
      <c r="K983">
        <v>7</v>
      </c>
      <c r="L983">
        <v>13</v>
      </c>
      <c r="N983" t="s">
        <v>20</v>
      </c>
      <c r="O983" t="s">
        <v>16</v>
      </c>
      <c r="P983" t="s">
        <v>303</v>
      </c>
      <c r="Q983">
        <v>12.5</v>
      </c>
      <c r="R983">
        <v>15</v>
      </c>
      <c r="S983">
        <v>3</v>
      </c>
      <c r="T983" t="s">
        <v>278</v>
      </c>
      <c r="U983">
        <v>9.0206969962133579E-2</v>
      </c>
    </row>
    <row r="984" spans="1:21" x14ac:dyDescent="0.25">
      <c r="A984">
        <v>7</v>
      </c>
      <c r="B984">
        <v>500</v>
      </c>
      <c r="C984">
        <v>2</v>
      </c>
      <c r="D984">
        <v>18</v>
      </c>
      <c r="E984">
        <v>21</v>
      </c>
      <c r="F984" t="s">
        <v>17</v>
      </c>
      <c r="G984" t="s">
        <v>60</v>
      </c>
      <c r="H984" t="s">
        <v>61</v>
      </c>
      <c r="I984">
        <v>40</v>
      </c>
      <c r="J984">
        <v>12.732395447351628</v>
      </c>
      <c r="K984">
        <v>6.5</v>
      </c>
      <c r="L984">
        <v>12</v>
      </c>
      <c r="N984" t="s">
        <v>20</v>
      </c>
      <c r="O984" t="s">
        <v>16</v>
      </c>
      <c r="P984" t="s">
        <v>303</v>
      </c>
      <c r="Q984">
        <v>12.5</v>
      </c>
      <c r="R984">
        <v>15</v>
      </c>
      <c r="S984">
        <v>3</v>
      </c>
      <c r="T984" t="s">
        <v>278</v>
      </c>
      <c r="U984">
        <v>8.2756218163354642E-2</v>
      </c>
    </row>
    <row r="985" spans="1:21" x14ac:dyDescent="0.25">
      <c r="A985">
        <v>12</v>
      </c>
      <c r="B985">
        <v>100</v>
      </c>
      <c r="C985">
        <v>3</v>
      </c>
      <c r="D985">
        <v>16</v>
      </c>
      <c r="E985">
        <v>21</v>
      </c>
      <c r="F985" t="s">
        <v>17</v>
      </c>
      <c r="G985" t="s">
        <v>60</v>
      </c>
      <c r="H985" t="s">
        <v>61</v>
      </c>
      <c r="I985">
        <v>25.5</v>
      </c>
      <c r="J985">
        <v>8.1169020976866619</v>
      </c>
      <c r="K985">
        <v>1.8</v>
      </c>
      <c r="L985">
        <v>9</v>
      </c>
      <c r="N985" t="s">
        <v>29</v>
      </c>
      <c r="O985" t="s">
        <v>16</v>
      </c>
      <c r="P985" t="s">
        <v>303</v>
      </c>
      <c r="Q985">
        <v>10</v>
      </c>
      <c r="R985">
        <v>10</v>
      </c>
    </row>
    <row r="986" spans="1:21" x14ac:dyDescent="0.25">
      <c r="A986">
        <v>1</v>
      </c>
      <c r="B986">
        <v>500</v>
      </c>
      <c r="C986">
        <v>4</v>
      </c>
      <c r="D986">
        <v>19</v>
      </c>
      <c r="E986">
        <v>22</v>
      </c>
      <c r="F986" t="s">
        <v>17</v>
      </c>
      <c r="G986" t="s">
        <v>60</v>
      </c>
      <c r="H986" t="s">
        <v>61</v>
      </c>
      <c r="I986">
        <v>37</v>
      </c>
      <c r="J986">
        <v>11.777465788800255</v>
      </c>
      <c r="K986">
        <v>6.5</v>
      </c>
      <c r="L986">
        <v>12</v>
      </c>
      <c r="N986" t="s">
        <v>20</v>
      </c>
      <c r="O986" t="s">
        <v>16</v>
      </c>
      <c r="P986" t="s">
        <v>303</v>
      </c>
      <c r="Q986">
        <v>12.5</v>
      </c>
      <c r="R986">
        <v>10</v>
      </c>
      <c r="S986">
        <v>3</v>
      </c>
      <c r="T986" t="s">
        <v>278</v>
      </c>
      <c r="U986">
        <v>7.1196325189988363E-2</v>
      </c>
    </row>
    <row r="987" spans="1:21" x14ac:dyDescent="0.25">
      <c r="A987">
        <v>5</v>
      </c>
      <c r="B987">
        <v>500</v>
      </c>
      <c r="C987">
        <v>2</v>
      </c>
      <c r="D987">
        <v>20</v>
      </c>
      <c r="E987">
        <v>22</v>
      </c>
      <c r="F987" t="s">
        <v>17</v>
      </c>
      <c r="G987" t="s">
        <v>60</v>
      </c>
      <c r="H987" t="s">
        <v>61</v>
      </c>
      <c r="I987">
        <v>39.5</v>
      </c>
      <c r="J987">
        <v>12.573240504259733</v>
      </c>
      <c r="K987">
        <v>3</v>
      </c>
      <c r="L987">
        <v>12</v>
      </c>
      <c r="N987" t="s">
        <v>20</v>
      </c>
      <c r="O987" t="s">
        <v>16</v>
      </c>
      <c r="P987" t="s">
        <v>303</v>
      </c>
      <c r="Q987">
        <v>12.5</v>
      </c>
      <c r="R987">
        <v>15</v>
      </c>
      <c r="S987">
        <v>3</v>
      </c>
      <c r="T987" t="s">
        <v>278</v>
      </c>
      <c r="U987">
        <v>8.0771434382545651E-2</v>
      </c>
    </row>
    <row r="988" spans="1:21" x14ac:dyDescent="0.25">
      <c r="A988">
        <v>7</v>
      </c>
      <c r="B988">
        <v>500</v>
      </c>
      <c r="C988">
        <v>2</v>
      </c>
      <c r="D988">
        <v>19</v>
      </c>
      <c r="E988">
        <v>22</v>
      </c>
      <c r="F988" t="s">
        <v>17</v>
      </c>
      <c r="G988" t="s">
        <v>60</v>
      </c>
      <c r="H988" t="s">
        <v>61</v>
      </c>
      <c r="I988">
        <v>66.5</v>
      </c>
      <c r="J988">
        <v>21.167607431222081</v>
      </c>
      <c r="K988">
        <v>10</v>
      </c>
      <c r="L988">
        <v>15</v>
      </c>
      <c r="N988" t="s">
        <v>20</v>
      </c>
      <c r="O988" t="s">
        <v>16</v>
      </c>
      <c r="P988" t="s">
        <v>303</v>
      </c>
      <c r="Q988">
        <v>15</v>
      </c>
      <c r="R988">
        <v>20</v>
      </c>
      <c r="S988">
        <v>3</v>
      </c>
      <c r="T988" t="s">
        <v>278</v>
      </c>
      <c r="U988">
        <v>0.28068708269994885</v>
      </c>
    </row>
    <row r="989" spans="1:21" x14ac:dyDescent="0.25">
      <c r="A989">
        <v>12</v>
      </c>
      <c r="B989">
        <v>100</v>
      </c>
      <c r="C989">
        <v>3</v>
      </c>
      <c r="D989" t="s">
        <v>212</v>
      </c>
      <c r="E989">
        <v>22</v>
      </c>
      <c r="F989" t="s">
        <v>17</v>
      </c>
      <c r="G989" t="s">
        <v>60</v>
      </c>
      <c r="H989" t="s">
        <v>61</v>
      </c>
      <c r="I989">
        <v>20</v>
      </c>
      <c r="J989">
        <v>6.366197723675814</v>
      </c>
      <c r="K989">
        <v>2.2999999999999998</v>
      </c>
      <c r="L989">
        <v>9</v>
      </c>
      <c r="N989" t="s">
        <v>20</v>
      </c>
      <c r="O989" t="s">
        <v>16</v>
      </c>
      <c r="P989" t="e">
        <v>#VALUE!</v>
      </c>
      <c r="Q989">
        <v>10</v>
      </c>
      <c r="R989">
        <v>5</v>
      </c>
    </row>
    <row r="990" spans="1:21" x14ac:dyDescent="0.25">
      <c r="A990">
        <v>7</v>
      </c>
      <c r="B990">
        <v>500</v>
      </c>
      <c r="C990">
        <v>2</v>
      </c>
      <c r="D990">
        <v>20</v>
      </c>
      <c r="E990">
        <v>23</v>
      </c>
      <c r="F990" t="s">
        <v>17</v>
      </c>
      <c r="G990" t="s">
        <v>60</v>
      </c>
      <c r="H990" t="s">
        <v>61</v>
      </c>
      <c r="I990">
        <v>80</v>
      </c>
      <c r="J990">
        <v>25.464790894703256</v>
      </c>
      <c r="K990">
        <v>7</v>
      </c>
      <c r="L990">
        <v>13</v>
      </c>
      <c r="N990" t="s">
        <v>20</v>
      </c>
      <c r="O990" t="s">
        <v>16</v>
      </c>
      <c r="P990" t="s">
        <v>303</v>
      </c>
      <c r="Q990">
        <v>12.5</v>
      </c>
      <c r="R990">
        <v>25</v>
      </c>
      <c r="S990">
        <v>3</v>
      </c>
      <c r="T990" t="s">
        <v>278</v>
      </c>
      <c r="U990">
        <v>0.34371443802822454</v>
      </c>
    </row>
    <row r="991" spans="1:21" x14ac:dyDescent="0.25">
      <c r="A991">
        <v>12</v>
      </c>
      <c r="B991">
        <v>100</v>
      </c>
      <c r="C991">
        <v>3</v>
      </c>
      <c r="D991" t="s">
        <v>235</v>
      </c>
      <c r="E991">
        <v>23</v>
      </c>
      <c r="F991" t="s">
        <v>17</v>
      </c>
      <c r="G991" t="s">
        <v>60</v>
      </c>
      <c r="H991" t="s">
        <v>61</v>
      </c>
      <c r="I991">
        <v>17.5</v>
      </c>
      <c r="J991">
        <v>5.5704230082163368</v>
      </c>
      <c r="K991">
        <v>3</v>
      </c>
      <c r="L991">
        <v>7</v>
      </c>
      <c r="N991" t="s">
        <v>20</v>
      </c>
      <c r="O991" t="s">
        <v>16</v>
      </c>
      <c r="P991" t="e">
        <v>#VALUE!</v>
      </c>
      <c r="Q991">
        <v>7.5</v>
      </c>
      <c r="R991">
        <v>5</v>
      </c>
    </row>
    <row r="992" spans="1:21" x14ac:dyDescent="0.25">
      <c r="A992">
        <v>7</v>
      </c>
      <c r="B992">
        <v>500</v>
      </c>
      <c r="C992">
        <v>2</v>
      </c>
      <c r="D992">
        <v>21</v>
      </c>
      <c r="E992">
        <v>24</v>
      </c>
      <c r="F992" t="s">
        <v>17</v>
      </c>
      <c r="G992" t="s">
        <v>60</v>
      </c>
      <c r="H992" t="s">
        <v>61</v>
      </c>
      <c r="I992">
        <v>66</v>
      </c>
      <c r="J992">
        <v>21.008452488130185</v>
      </c>
      <c r="K992">
        <v>8</v>
      </c>
      <c r="L992">
        <v>13</v>
      </c>
      <c r="N992" t="s">
        <v>20</v>
      </c>
      <c r="O992" t="s">
        <v>16</v>
      </c>
      <c r="P992" t="s">
        <v>303</v>
      </c>
      <c r="Q992">
        <v>12.5</v>
      </c>
      <c r="R992">
        <v>20</v>
      </c>
      <c r="S992">
        <v>3</v>
      </c>
      <c r="T992" t="s">
        <v>278</v>
      </c>
      <c r="U992">
        <v>0.23711677569882433</v>
      </c>
    </row>
    <row r="993" spans="1:21" x14ac:dyDescent="0.25">
      <c r="A993">
        <v>12</v>
      </c>
      <c r="B993">
        <v>100</v>
      </c>
      <c r="C993">
        <v>3</v>
      </c>
      <c r="D993">
        <v>17</v>
      </c>
      <c r="E993">
        <v>24</v>
      </c>
      <c r="F993" t="s">
        <v>17</v>
      </c>
      <c r="G993" t="s">
        <v>60</v>
      </c>
      <c r="H993" t="s">
        <v>61</v>
      </c>
      <c r="I993">
        <v>26</v>
      </c>
      <c r="J993">
        <v>8.2760570407785572</v>
      </c>
      <c r="K993">
        <v>3.5</v>
      </c>
      <c r="L993">
        <v>9</v>
      </c>
      <c r="N993" t="s">
        <v>29</v>
      </c>
      <c r="O993" t="s">
        <v>16</v>
      </c>
      <c r="P993" t="s">
        <v>303</v>
      </c>
      <c r="Q993">
        <v>10</v>
      </c>
      <c r="R993">
        <v>10</v>
      </c>
    </row>
    <row r="994" spans="1:21" x14ac:dyDescent="0.25">
      <c r="A994">
        <v>12</v>
      </c>
      <c r="B994">
        <v>100</v>
      </c>
      <c r="C994">
        <v>3</v>
      </c>
      <c r="D994" t="s">
        <v>236</v>
      </c>
      <c r="E994">
        <v>25</v>
      </c>
      <c r="F994" t="s">
        <v>17</v>
      </c>
      <c r="G994" t="s">
        <v>60</v>
      </c>
      <c r="H994" t="s">
        <v>61</v>
      </c>
      <c r="I994">
        <v>23</v>
      </c>
      <c r="J994">
        <v>7.3211273822271856</v>
      </c>
      <c r="K994">
        <v>2</v>
      </c>
      <c r="L994">
        <v>9</v>
      </c>
      <c r="N994" t="s">
        <v>20</v>
      </c>
      <c r="O994" t="s">
        <v>16</v>
      </c>
      <c r="P994" t="e">
        <v>#VALUE!</v>
      </c>
      <c r="Q994">
        <v>10</v>
      </c>
      <c r="R994">
        <v>5</v>
      </c>
    </row>
    <row r="995" spans="1:21" x14ac:dyDescent="0.25">
      <c r="A995">
        <v>5</v>
      </c>
      <c r="B995">
        <v>500</v>
      </c>
      <c r="C995">
        <v>2</v>
      </c>
      <c r="D995">
        <v>24</v>
      </c>
      <c r="E995">
        <v>26</v>
      </c>
      <c r="F995" t="s">
        <v>17</v>
      </c>
      <c r="G995" t="s">
        <v>60</v>
      </c>
      <c r="H995" t="s">
        <v>61</v>
      </c>
      <c r="I995">
        <v>63</v>
      </c>
      <c r="J995">
        <v>20.053522829578814</v>
      </c>
      <c r="K995">
        <v>2.5</v>
      </c>
      <c r="L995">
        <v>12</v>
      </c>
      <c r="N995" t="s">
        <v>20</v>
      </c>
      <c r="O995" t="s">
        <v>16</v>
      </c>
      <c r="P995" t="s">
        <v>303</v>
      </c>
      <c r="Q995">
        <v>12.5</v>
      </c>
      <c r="R995">
        <v>20</v>
      </c>
      <c r="S995">
        <v>3</v>
      </c>
      <c r="T995" t="s">
        <v>278</v>
      </c>
      <c r="U995">
        <v>0.19885307627007709</v>
      </c>
    </row>
    <row r="996" spans="1:21" x14ac:dyDescent="0.25">
      <c r="A996">
        <v>12</v>
      </c>
      <c r="B996">
        <v>100</v>
      </c>
      <c r="C996">
        <v>3</v>
      </c>
      <c r="D996" t="s">
        <v>237</v>
      </c>
      <c r="E996">
        <v>26</v>
      </c>
      <c r="F996" t="s">
        <v>17</v>
      </c>
      <c r="G996" t="s">
        <v>60</v>
      </c>
      <c r="H996" t="s">
        <v>61</v>
      </c>
      <c r="I996">
        <v>21.5</v>
      </c>
      <c r="J996">
        <v>6.8436625529514998</v>
      </c>
      <c r="K996">
        <v>3</v>
      </c>
      <c r="L996">
        <v>9</v>
      </c>
      <c r="N996" t="s">
        <v>20</v>
      </c>
      <c r="O996" t="s">
        <v>16</v>
      </c>
      <c r="P996" t="e">
        <v>#VALUE!</v>
      </c>
      <c r="Q996">
        <v>10</v>
      </c>
      <c r="R996">
        <v>5</v>
      </c>
    </row>
    <row r="997" spans="1:21" x14ac:dyDescent="0.25">
      <c r="A997">
        <v>8</v>
      </c>
      <c r="B997">
        <v>500</v>
      </c>
      <c r="C997">
        <v>2</v>
      </c>
      <c r="D997">
        <v>25</v>
      </c>
      <c r="E997">
        <v>27</v>
      </c>
      <c r="F997" t="s">
        <v>17</v>
      </c>
      <c r="G997" t="s">
        <v>60</v>
      </c>
      <c r="H997" t="s">
        <v>61</v>
      </c>
      <c r="I997">
        <v>61</v>
      </c>
      <c r="J997">
        <v>19.416903057211233</v>
      </c>
      <c r="K997">
        <v>6.5</v>
      </c>
      <c r="L997">
        <v>12</v>
      </c>
      <c r="N997" t="s">
        <v>20</v>
      </c>
      <c r="O997" t="s">
        <v>16</v>
      </c>
      <c r="P997" t="s">
        <v>303</v>
      </c>
      <c r="Q997">
        <v>12.5</v>
      </c>
      <c r="R997">
        <v>20</v>
      </c>
      <c r="S997">
        <v>3</v>
      </c>
      <c r="T997" t="s">
        <v>278</v>
      </c>
      <c r="U997">
        <v>0.18684997375246193</v>
      </c>
    </row>
    <row r="998" spans="1:21" x14ac:dyDescent="0.25">
      <c r="A998">
        <v>12</v>
      </c>
      <c r="B998">
        <v>100</v>
      </c>
      <c r="C998">
        <v>3</v>
      </c>
      <c r="D998">
        <v>18</v>
      </c>
      <c r="E998">
        <v>27</v>
      </c>
      <c r="F998" t="s">
        <v>17</v>
      </c>
      <c r="G998" t="s">
        <v>60</v>
      </c>
      <c r="H998" t="s">
        <v>61</v>
      </c>
      <c r="I998">
        <v>30</v>
      </c>
      <c r="J998">
        <v>9.5492965855137211</v>
      </c>
      <c r="K998">
        <v>2</v>
      </c>
      <c r="L998">
        <v>9</v>
      </c>
      <c r="N998" t="s">
        <v>29</v>
      </c>
      <c r="O998" t="s">
        <v>16</v>
      </c>
      <c r="P998" t="s">
        <v>303</v>
      </c>
      <c r="Q998">
        <v>10</v>
      </c>
      <c r="R998">
        <v>10</v>
      </c>
    </row>
    <row r="999" spans="1:21" x14ac:dyDescent="0.25">
      <c r="A999">
        <v>7</v>
      </c>
      <c r="B999">
        <v>500</v>
      </c>
      <c r="C999">
        <v>3</v>
      </c>
      <c r="D999">
        <v>25</v>
      </c>
      <c r="E999">
        <v>28</v>
      </c>
      <c r="F999" t="s">
        <v>17</v>
      </c>
      <c r="G999" t="s">
        <v>60</v>
      </c>
      <c r="H999" t="s">
        <v>61</v>
      </c>
      <c r="I999">
        <v>60</v>
      </c>
      <c r="J999">
        <v>19.098593171027442</v>
      </c>
      <c r="K999">
        <v>8</v>
      </c>
      <c r="L999">
        <v>12</v>
      </c>
      <c r="N999" t="s">
        <v>20</v>
      </c>
      <c r="O999" t="s">
        <v>16</v>
      </c>
      <c r="P999" t="s">
        <v>303</v>
      </c>
      <c r="Q999">
        <v>12.5</v>
      </c>
      <c r="R999">
        <v>20</v>
      </c>
      <c r="S999">
        <v>3</v>
      </c>
      <c r="T999" t="s">
        <v>278</v>
      </c>
      <c r="U999">
        <v>0.18098354609343728</v>
      </c>
    </row>
    <row r="1000" spans="1:21" x14ac:dyDescent="0.25">
      <c r="A1000">
        <v>12</v>
      </c>
      <c r="B1000">
        <v>100</v>
      </c>
      <c r="C1000">
        <v>3</v>
      </c>
      <c r="D1000" t="s">
        <v>163</v>
      </c>
      <c r="E1000">
        <v>28</v>
      </c>
      <c r="F1000" t="s">
        <v>17</v>
      </c>
      <c r="G1000" t="s">
        <v>60</v>
      </c>
      <c r="H1000" t="s">
        <v>61</v>
      </c>
      <c r="I1000">
        <v>29.5</v>
      </c>
      <c r="J1000">
        <v>9.3901416424218258</v>
      </c>
      <c r="K1000">
        <v>3</v>
      </c>
      <c r="L1000">
        <v>9</v>
      </c>
      <c r="N1000" t="s">
        <v>20</v>
      </c>
      <c r="O1000" t="s">
        <v>16</v>
      </c>
      <c r="P1000" t="e">
        <v>#VALUE!</v>
      </c>
      <c r="Q1000">
        <v>10</v>
      </c>
      <c r="R1000">
        <v>10</v>
      </c>
    </row>
    <row r="1001" spans="1:21" x14ac:dyDescent="0.25">
      <c r="A1001">
        <v>5</v>
      </c>
      <c r="B1001">
        <v>500</v>
      </c>
      <c r="C1001">
        <v>3</v>
      </c>
      <c r="D1001">
        <v>27</v>
      </c>
      <c r="E1001">
        <v>29</v>
      </c>
      <c r="F1001" t="s">
        <v>17</v>
      </c>
      <c r="G1001" t="s">
        <v>60</v>
      </c>
      <c r="H1001" t="s">
        <v>61</v>
      </c>
      <c r="I1001">
        <v>76</v>
      </c>
      <c r="J1001">
        <v>24.191551349968091</v>
      </c>
      <c r="K1001">
        <v>3.5</v>
      </c>
      <c r="L1001">
        <v>10</v>
      </c>
      <c r="N1001" t="s">
        <v>20</v>
      </c>
      <c r="O1001" t="s">
        <v>16</v>
      </c>
      <c r="P1001" t="s">
        <v>303</v>
      </c>
      <c r="Q1001">
        <v>10</v>
      </c>
      <c r="R1001">
        <v>25</v>
      </c>
      <c r="S1001">
        <v>3</v>
      </c>
      <c r="T1001" t="s">
        <v>278</v>
      </c>
      <c r="U1001">
        <v>0.23468610638919787</v>
      </c>
    </row>
    <row r="1002" spans="1:21" x14ac:dyDescent="0.25">
      <c r="A1002">
        <v>7</v>
      </c>
      <c r="B1002">
        <v>500</v>
      </c>
      <c r="C1002">
        <v>3</v>
      </c>
      <c r="D1002">
        <v>26</v>
      </c>
      <c r="E1002">
        <v>29</v>
      </c>
      <c r="F1002" t="s">
        <v>17</v>
      </c>
      <c r="G1002" t="s">
        <v>60</v>
      </c>
      <c r="H1002" t="s">
        <v>61</v>
      </c>
      <c r="I1002">
        <v>103</v>
      </c>
      <c r="J1002">
        <v>32.785918276930438</v>
      </c>
      <c r="K1002">
        <v>7</v>
      </c>
      <c r="L1002">
        <v>14</v>
      </c>
      <c r="N1002" t="s">
        <v>20</v>
      </c>
      <c r="O1002" t="s">
        <v>16</v>
      </c>
      <c r="P1002" t="s">
        <v>303</v>
      </c>
      <c r="Q1002">
        <v>15</v>
      </c>
      <c r="R1002">
        <v>35</v>
      </c>
      <c r="S1002">
        <v>3</v>
      </c>
      <c r="T1002" t="s">
        <v>278</v>
      </c>
      <c r="U1002">
        <v>0.60626494171036427</v>
      </c>
    </row>
    <row r="1003" spans="1:21" x14ac:dyDescent="0.25">
      <c r="A1003">
        <v>8</v>
      </c>
      <c r="B1003">
        <v>500</v>
      </c>
      <c r="C1003">
        <v>2</v>
      </c>
      <c r="D1003">
        <v>27</v>
      </c>
      <c r="E1003">
        <v>29</v>
      </c>
      <c r="F1003" t="s">
        <v>17</v>
      </c>
      <c r="G1003" t="s">
        <v>60</v>
      </c>
      <c r="H1003" t="s">
        <v>61</v>
      </c>
      <c r="I1003">
        <v>59</v>
      </c>
      <c r="J1003">
        <v>18.780283284843652</v>
      </c>
      <c r="K1003">
        <v>5</v>
      </c>
      <c r="L1003">
        <v>13</v>
      </c>
      <c r="N1003" t="s">
        <v>29</v>
      </c>
      <c r="O1003" t="s">
        <v>16</v>
      </c>
      <c r="P1003" t="s">
        <v>303</v>
      </c>
      <c r="Q1003">
        <v>12.5</v>
      </c>
      <c r="R1003">
        <v>20</v>
      </c>
      <c r="S1003">
        <v>3</v>
      </c>
      <c r="T1003" t="s">
        <v>278</v>
      </c>
      <c r="U1003">
        <v>0.19098169981568194</v>
      </c>
    </row>
    <row r="1004" spans="1:21" x14ac:dyDescent="0.25">
      <c r="A1004">
        <v>12</v>
      </c>
      <c r="B1004">
        <v>100</v>
      </c>
      <c r="C1004">
        <v>3</v>
      </c>
      <c r="D1004" t="s">
        <v>238</v>
      </c>
      <c r="E1004">
        <v>29</v>
      </c>
      <c r="F1004" t="s">
        <v>17</v>
      </c>
      <c r="G1004" t="s">
        <v>60</v>
      </c>
      <c r="H1004" t="s">
        <v>61</v>
      </c>
      <c r="I1004">
        <v>26.5</v>
      </c>
      <c r="J1004">
        <v>8.4352119838704525</v>
      </c>
      <c r="K1004">
        <v>2</v>
      </c>
      <c r="L1004">
        <v>9</v>
      </c>
      <c r="N1004" t="s">
        <v>20</v>
      </c>
      <c r="O1004" t="s">
        <v>16</v>
      </c>
      <c r="P1004" t="e">
        <v>#VALUE!</v>
      </c>
      <c r="Q1004">
        <v>10</v>
      </c>
      <c r="R1004">
        <v>10</v>
      </c>
    </row>
    <row r="1005" spans="1:21" x14ac:dyDescent="0.25">
      <c r="A1005">
        <v>7</v>
      </c>
      <c r="B1005">
        <v>500</v>
      </c>
      <c r="C1005">
        <v>3</v>
      </c>
      <c r="D1005">
        <v>27</v>
      </c>
      <c r="E1005">
        <v>30</v>
      </c>
      <c r="F1005" t="s">
        <v>17</v>
      </c>
      <c r="G1005" t="s">
        <v>60</v>
      </c>
      <c r="H1005" t="s">
        <v>61</v>
      </c>
      <c r="I1005">
        <v>77.5</v>
      </c>
      <c r="J1005">
        <v>24.669016179243776</v>
      </c>
      <c r="K1005">
        <v>7</v>
      </c>
      <c r="L1005">
        <v>14</v>
      </c>
      <c r="N1005" t="s">
        <v>20</v>
      </c>
      <c r="O1005" t="s">
        <v>16</v>
      </c>
      <c r="P1005" t="s">
        <v>303</v>
      </c>
      <c r="Q1005">
        <v>15</v>
      </c>
      <c r="R1005">
        <v>25</v>
      </c>
      <c r="S1005">
        <v>3</v>
      </c>
      <c r="T1005" t="s">
        <v>278</v>
      </c>
      <c r="U1005">
        <v>0.35014771400572942</v>
      </c>
    </row>
    <row r="1006" spans="1:21" x14ac:dyDescent="0.25">
      <c r="A1006">
        <v>8</v>
      </c>
      <c r="B1006">
        <v>500</v>
      </c>
      <c r="C1006">
        <v>2</v>
      </c>
      <c r="D1006" t="s">
        <v>213</v>
      </c>
      <c r="E1006">
        <v>30</v>
      </c>
      <c r="F1006" t="s">
        <v>17</v>
      </c>
      <c r="G1006" t="s">
        <v>60</v>
      </c>
      <c r="H1006" t="s">
        <v>61</v>
      </c>
      <c r="I1006">
        <v>53</v>
      </c>
      <c r="J1006">
        <v>16.870423967740905</v>
      </c>
      <c r="K1006">
        <v>7</v>
      </c>
      <c r="L1006">
        <v>12</v>
      </c>
      <c r="N1006" t="s">
        <v>20</v>
      </c>
      <c r="O1006" t="s">
        <v>16</v>
      </c>
      <c r="P1006" t="e">
        <v>#VALUE!</v>
      </c>
      <c r="Q1006">
        <v>12.5</v>
      </c>
      <c r="R1006">
        <v>15</v>
      </c>
      <c r="S1006">
        <v>3</v>
      </c>
      <c r="T1006" t="s">
        <v>278</v>
      </c>
      <c r="U1006">
        <v>0.14245084026081012</v>
      </c>
    </row>
    <row r="1007" spans="1:21" x14ac:dyDescent="0.25">
      <c r="A1007">
        <v>12</v>
      </c>
      <c r="B1007">
        <v>100</v>
      </c>
      <c r="C1007">
        <v>3</v>
      </c>
      <c r="D1007">
        <v>19</v>
      </c>
      <c r="E1007">
        <v>30</v>
      </c>
      <c r="F1007" t="s">
        <v>17</v>
      </c>
      <c r="G1007" t="s">
        <v>60</v>
      </c>
      <c r="H1007" t="s">
        <v>61</v>
      </c>
      <c r="I1007">
        <v>22.5</v>
      </c>
      <c r="J1007">
        <v>7.1619724391352904</v>
      </c>
      <c r="K1007">
        <v>6</v>
      </c>
      <c r="L1007">
        <v>10</v>
      </c>
      <c r="N1007" t="s">
        <v>20</v>
      </c>
      <c r="O1007" t="s">
        <v>16</v>
      </c>
      <c r="P1007" t="s">
        <v>303</v>
      </c>
      <c r="Q1007">
        <v>10</v>
      </c>
      <c r="R1007">
        <v>5</v>
      </c>
    </row>
    <row r="1008" spans="1:21" x14ac:dyDescent="0.25">
      <c r="A1008">
        <v>7</v>
      </c>
      <c r="B1008">
        <v>500</v>
      </c>
      <c r="C1008">
        <v>3</v>
      </c>
      <c r="D1008">
        <v>28</v>
      </c>
      <c r="E1008">
        <v>31</v>
      </c>
      <c r="F1008" t="s">
        <v>17</v>
      </c>
      <c r="G1008" t="s">
        <v>60</v>
      </c>
      <c r="H1008" t="s">
        <v>61</v>
      </c>
      <c r="I1008">
        <v>54</v>
      </c>
      <c r="J1008">
        <v>17.188733853924695</v>
      </c>
      <c r="K1008">
        <v>7</v>
      </c>
      <c r="L1008">
        <v>13</v>
      </c>
      <c r="N1008" t="s">
        <v>20</v>
      </c>
      <c r="O1008" t="s">
        <v>16</v>
      </c>
      <c r="P1008" t="s">
        <v>303</v>
      </c>
      <c r="Q1008">
        <v>12.5</v>
      </c>
      <c r="R1008">
        <v>15</v>
      </c>
      <c r="S1008">
        <v>3</v>
      </c>
      <c r="T1008" t="s">
        <v>278</v>
      </c>
      <c r="U1008">
        <v>0.1609797275669124</v>
      </c>
    </row>
    <row r="1009" spans="1:21" x14ac:dyDescent="0.25">
      <c r="A1009">
        <v>8</v>
      </c>
      <c r="B1009">
        <v>500</v>
      </c>
      <c r="C1009">
        <v>3</v>
      </c>
      <c r="D1009">
        <v>28</v>
      </c>
      <c r="E1009">
        <v>31</v>
      </c>
      <c r="F1009" t="s">
        <v>17</v>
      </c>
      <c r="G1009" t="s">
        <v>60</v>
      </c>
      <c r="H1009" t="s">
        <v>61</v>
      </c>
      <c r="I1009">
        <v>34</v>
      </c>
      <c r="J1009">
        <v>10.822536130248883</v>
      </c>
      <c r="K1009">
        <v>4.5</v>
      </c>
      <c r="L1009">
        <v>10</v>
      </c>
      <c r="N1009" t="s">
        <v>20</v>
      </c>
      <c r="O1009" t="s">
        <v>16</v>
      </c>
      <c r="P1009" t="s">
        <v>303</v>
      </c>
      <c r="Q1009">
        <v>10</v>
      </c>
      <c r="R1009">
        <v>10</v>
      </c>
      <c r="S1009">
        <v>3</v>
      </c>
      <c r="T1009" t="s">
        <v>278</v>
      </c>
      <c r="U1009">
        <v>4.9694292943476354E-2</v>
      </c>
    </row>
    <row r="1010" spans="1:21" x14ac:dyDescent="0.25">
      <c r="A1010">
        <v>12</v>
      </c>
      <c r="B1010">
        <v>100</v>
      </c>
      <c r="C1010">
        <v>3</v>
      </c>
      <c r="D1010">
        <v>20</v>
      </c>
      <c r="E1010">
        <v>31</v>
      </c>
      <c r="F1010" t="s">
        <v>17</v>
      </c>
      <c r="G1010" t="s">
        <v>60</v>
      </c>
      <c r="H1010" t="s">
        <v>61</v>
      </c>
      <c r="I1010">
        <v>25.5</v>
      </c>
      <c r="J1010">
        <v>8.1169020976866619</v>
      </c>
      <c r="K1010">
        <v>6</v>
      </c>
      <c r="L1010">
        <v>9</v>
      </c>
      <c r="N1010" t="s">
        <v>29</v>
      </c>
      <c r="O1010" t="s">
        <v>16</v>
      </c>
      <c r="P1010" t="s">
        <v>303</v>
      </c>
      <c r="Q1010">
        <v>10</v>
      </c>
      <c r="R1010">
        <v>10</v>
      </c>
    </row>
    <row r="1011" spans="1:21" x14ac:dyDescent="0.25">
      <c r="A1011">
        <v>8</v>
      </c>
      <c r="B1011">
        <v>500</v>
      </c>
      <c r="C1011">
        <v>3</v>
      </c>
      <c r="D1011">
        <v>29</v>
      </c>
      <c r="E1011">
        <v>32</v>
      </c>
      <c r="F1011" t="s">
        <v>17</v>
      </c>
      <c r="G1011" t="s">
        <v>60</v>
      </c>
      <c r="H1011" t="s">
        <v>61</v>
      </c>
      <c r="I1011">
        <v>61</v>
      </c>
      <c r="J1011">
        <v>19.416903057211233</v>
      </c>
      <c r="K1011">
        <v>6</v>
      </c>
      <c r="L1011">
        <v>14</v>
      </c>
      <c r="N1011" t="s">
        <v>29</v>
      </c>
      <c r="O1011" t="s">
        <v>16</v>
      </c>
      <c r="P1011" t="s">
        <v>303</v>
      </c>
      <c r="Q1011">
        <v>15</v>
      </c>
      <c r="R1011">
        <v>20</v>
      </c>
      <c r="S1011">
        <v>3</v>
      </c>
      <c r="T1011" t="s">
        <v>278</v>
      </c>
      <c r="U1011">
        <v>0.22059518345460358</v>
      </c>
    </row>
    <row r="1012" spans="1:21" x14ac:dyDescent="0.25">
      <c r="A1012">
        <v>12</v>
      </c>
      <c r="B1012">
        <v>100</v>
      </c>
      <c r="C1012">
        <v>3</v>
      </c>
      <c r="D1012" t="s">
        <v>239</v>
      </c>
      <c r="E1012">
        <v>32</v>
      </c>
      <c r="F1012" t="s">
        <v>17</v>
      </c>
      <c r="G1012" t="s">
        <v>60</v>
      </c>
      <c r="H1012" t="s">
        <v>61</v>
      </c>
      <c r="I1012">
        <v>20.5</v>
      </c>
      <c r="J1012">
        <v>6.5253526667677093</v>
      </c>
      <c r="K1012">
        <v>4</v>
      </c>
      <c r="L1012">
        <v>9</v>
      </c>
      <c r="N1012" t="s">
        <v>20</v>
      </c>
      <c r="O1012" t="s">
        <v>16</v>
      </c>
      <c r="P1012" t="e">
        <v>#VALUE!</v>
      </c>
      <c r="Q1012">
        <v>10</v>
      </c>
      <c r="R1012">
        <v>5</v>
      </c>
    </row>
    <row r="1013" spans="1:21" x14ac:dyDescent="0.25">
      <c r="A1013">
        <v>5</v>
      </c>
      <c r="B1013">
        <v>500</v>
      </c>
      <c r="C1013">
        <v>3</v>
      </c>
      <c r="D1013">
        <v>31</v>
      </c>
      <c r="E1013">
        <v>33</v>
      </c>
      <c r="F1013" t="s">
        <v>17</v>
      </c>
      <c r="G1013" t="s">
        <v>60</v>
      </c>
      <c r="H1013" t="s">
        <v>61</v>
      </c>
      <c r="I1013">
        <v>57</v>
      </c>
      <c r="J1013">
        <v>18.143663512476071</v>
      </c>
      <c r="K1013">
        <v>6</v>
      </c>
      <c r="L1013">
        <v>13</v>
      </c>
      <c r="N1013" t="s">
        <v>20</v>
      </c>
      <c r="O1013" t="s">
        <v>16</v>
      </c>
      <c r="P1013" t="s">
        <v>303</v>
      </c>
      <c r="Q1013">
        <v>12.5</v>
      </c>
      <c r="R1013">
        <v>20</v>
      </c>
      <c r="S1013">
        <v>3</v>
      </c>
      <c r="T1013" t="s">
        <v>278</v>
      </c>
      <c r="U1013">
        <v>0.17868469143083901</v>
      </c>
    </row>
    <row r="1014" spans="1:21" x14ac:dyDescent="0.25">
      <c r="A1014">
        <v>8</v>
      </c>
      <c r="B1014">
        <v>500</v>
      </c>
      <c r="C1014">
        <v>3</v>
      </c>
      <c r="D1014" t="s">
        <v>214</v>
      </c>
      <c r="E1014">
        <v>33</v>
      </c>
      <c r="F1014" t="s">
        <v>17</v>
      </c>
      <c r="G1014" t="s">
        <v>60</v>
      </c>
      <c r="H1014" t="s">
        <v>61</v>
      </c>
      <c r="I1014">
        <v>50</v>
      </c>
      <c r="J1014">
        <v>15.915494309189533</v>
      </c>
      <c r="K1014">
        <v>6</v>
      </c>
      <c r="L1014">
        <v>14</v>
      </c>
      <c r="N1014" t="s">
        <v>20</v>
      </c>
      <c r="O1014" t="s">
        <v>16</v>
      </c>
      <c r="P1014" t="e">
        <v>#VALUE!</v>
      </c>
      <c r="Q1014">
        <v>15</v>
      </c>
      <c r="R1014">
        <v>15</v>
      </c>
      <c r="S1014">
        <v>3</v>
      </c>
      <c r="T1014" t="s">
        <v>278</v>
      </c>
      <c r="U1014">
        <v>0.15029004675338178</v>
      </c>
    </row>
    <row r="1015" spans="1:21" x14ac:dyDescent="0.25">
      <c r="A1015">
        <v>8</v>
      </c>
      <c r="B1015">
        <v>500</v>
      </c>
      <c r="C1015">
        <v>3</v>
      </c>
      <c r="D1015" t="s">
        <v>215</v>
      </c>
      <c r="E1015">
        <v>34</v>
      </c>
      <c r="F1015" t="s">
        <v>17</v>
      </c>
      <c r="G1015" t="s">
        <v>60</v>
      </c>
      <c r="H1015" t="s">
        <v>61</v>
      </c>
      <c r="I1015">
        <v>43</v>
      </c>
      <c r="J1015">
        <v>13.687325105903</v>
      </c>
      <c r="K1015">
        <v>6</v>
      </c>
      <c r="L1015">
        <v>14</v>
      </c>
      <c r="N1015" t="s">
        <v>20</v>
      </c>
      <c r="O1015" t="s">
        <v>16</v>
      </c>
      <c r="P1015" t="e">
        <v>#VALUE!</v>
      </c>
      <c r="Q1015">
        <v>15</v>
      </c>
      <c r="R1015">
        <v>15</v>
      </c>
      <c r="S1015">
        <v>3</v>
      </c>
      <c r="T1015" t="s">
        <v>278</v>
      </c>
      <c r="U1015">
        <v>0.11233596081230149</v>
      </c>
    </row>
    <row r="1016" spans="1:21" x14ac:dyDescent="0.25">
      <c r="A1016">
        <v>12</v>
      </c>
      <c r="B1016">
        <v>100</v>
      </c>
      <c r="C1016">
        <v>3</v>
      </c>
      <c r="D1016">
        <v>22</v>
      </c>
      <c r="E1016">
        <v>34</v>
      </c>
      <c r="F1016" t="s">
        <v>17</v>
      </c>
      <c r="G1016" t="s">
        <v>60</v>
      </c>
      <c r="H1016" t="s">
        <v>61</v>
      </c>
      <c r="I1016">
        <v>20.5</v>
      </c>
      <c r="J1016">
        <v>6.5253526667677093</v>
      </c>
      <c r="K1016">
        <v>7</v>
      </c>
      <c r="L1016">
        <v>10</v>
      </c>
      <c r="N1016" t="s">
        <v>20</v>
      </c>
      <c r="O1016" t="s">
        <v>16</v>
      </c>
      <c r="P1016" t="s">
        <v>303</v>
      </c>
      <c r="Q1016">
        <v>10</v>
      </c>
      <c r="R1016">
        <v>5</v>
      </c>
    </row>
    <row r="1017" spans="1:21" x14ac:dyDescent="0.25">
      <c r="A1017">
        <v>12</v>
      </c>
      <c r="B1017">
        <v>100</v>
      </c>
      <c r="C1017">
        <v>3</v>
      </c>
      <c r="D1017">
        <v>23</v>
      </c>
      <c r="E1017">
        <v>35</v>
      </c>
      <c r="F1017" t="s">
        <v>17</v>
      </c>
      <c r="G1017" t="s">
        <v>60</v>
      </c>
      <c r="H1017" t="s">
        <v>61</v>
      </c>
      <c r="I1017">
        <v>27.5</v>
      </c>
      <c r="J1017">
        <v>8.753521870054243</v>
      </c>
      <c r="K1017">
        <v>2.4</v>
      </c>
      <c r="L1017">
        <v>9</v>
      </c>
      <c r="N1017" t="s">
        <v>20</v>
      </c>
      <c r="O1017" t="s">
        <v>16</v>
      </c>
      <c r="P1017" t="s">
        <v>303</v>
      </c>
      <c r="Q1017">
        <v>10</v>
      </c>
      <c r="R1017">
        <v>10</v>
      </c>
    </row>
    <row r="1018" spans="1:21" x14ac:dyDescent="0.25">
      <c r="A1018">
        <v>7</v>
      </c>
      <c r="B1018">
        <v>500</v>
      </c>
      <c r="C1018">
        <v>3</v>
      </c>
      <c r="D1018">
        <v>33</v>
      </c>
      <c r="E1018">
        <v>36</v>
      </c>
      <c r="F1018" t="s">
        <v>17</v>
      </c>
      <c r="G1018" t="s">
        <v>60</v>
      </c>
      <c r="H1018" t="s">
        <v>61</v>
      </c>
      <c r="I1018">
        <v>62.5</v>
      </c>
      <c r="J1018">
        <v>19.894367886486918</v>
      </c>
      <c r="K1018">
        <v>7</v>
      </c>
      <c r="L1018">
        <v>14</v>
      </c>
      <c r="N1018" t="s">
        <v>20</v>
      </c>
      <c r="O1018" t="s">
        <v>16</v>
      </c>
      <c r="P1018" t="s">
        <v>303</v>
      </c>
      <c r="Q1018">
        <v>15</v>
      </c>
      <c r="R1018">
        <v>20</v>
      </c>
      <c r="S1018">
        <v>3</v>
      </c>
      <c r="T1018" t="s">
        <v>278</v>
      </c>
      <c r="U1018">
        <v>0.23118349165747989</v>
      </c>
    </row>
    <row r="1019" spans="1:21" x14ac:dyDescent="0.25">
      <c r="A1019">
        <v>12</v>
      </c>
      <c r="B1019">
        <v>100</v>
      </c>
      <c r="C1019">
        <v>3</v>
      </c>
      <c r="D1019">
        <v>24</v>
      </c>
      <c r="E1019">
        <v>36</v>
      </c>
      <c r="F1019" t="s">
        <v>17</v>
      </c>
      <c r="G1019" t="s">
        <v>60</v>
      </c>
      <c r="H1019" t="s">
        <v>61</v>
      </c>
      <c r="I1019">
        <v>29</v>
      </c>
      <c r="J1019">
        <v>9.2309866993299305</v>
      </c>
      <c r="K1019">
        <v>9</v>
      </c>
      <c r="L1019">
        <v>11</v>
      </c>
      <c r="N1019" t="s">
        <v>20</v>
      </c>
      <c r="O1019" t="s">
        <v>16</v>
      </c>
      <c r="P1019" t="s">
        <v>303</v>
      </c>
      <c r="Q1019">
        <v>10</v>
      </c>
      <c r="R1019">
        <v>10</v>
      </c>
    </row>
    <row r="1020" spans="1:21" x14ac:dyDescent="0.25">
      <c r="A1020">
        <v>7</v>
      </c>
      <c r="B1020">
        <v>500</v>
      </c>
      <c r="C1020">
        <v>3</v>
      </c>
      <c r="D1020">
        <v>34</v>
      </c>
      <c r="E1020">
        <v>37</v>
      </c>
      <c r="F1020" t="s">
        <v>17</v>
      </c>
      <c r="G1020" t="s">
        <v>60</v>
      </c>
      <c r="H1020" t="s">
        <v>61</v>
      </c>
      <c r="I1020">
        <v>62</v>
      </c>
      <c r="J1020">
        <v>19.735212943395023</v>
      </c>
      <c r="K1020">
        <v>6</v>
      </c>
      <c r="L1020">
        <v>14</v>
      </c>
      <c r="N1020" t="s">
        <v>20</v>
      </c>
      <c r="O1020" t="s">
        <v>16</v>
      </c>
      <c r="P1020" t="s">
        <v>303</v>
      </c>
      <c r="Q1020">
        <v>15</v>
      </c>
      <c r="R1020">
        <v>20</v>
      </c>
      <c r="S1020">
        <v>3</v>
      </c>
      <c r="T1020" t="s">
        <v>278</v>
      </c>
      <c r="U1020">
        <v>0.22762748296265814</v>
      </c>
    </row>
    <row r="1021" spans="1:21" x14ac:dyDescent="0.25">
      <c r="A1021">
        <v>12</v>
      </c>
      <c r="B1021">
        <v>100</v>
      </c>
      <c r="C1021">
        <v>4</v>
      </c>
      <c r="D1021">
        <v>26</v>
      </c>
      <c r="E1021">
        <v>38</v>
      </c>
      <c r="F1021" t="s">
        <v>17</v>
      </c>
      <c r="G1021" t="s">
        <v>60</v>
      </c>
      <c r="H1021" t="s">
        <v>61</v>
      </c>
      <c r="I1021">
        <v>17.5</v>
      </c>
      <c r="J1021">
        <v>5.5704230082163368</v>
      </c>
      <c r="K1021">
        <v>2.1</v>
      </c>
      <c r="L1021">
        <v>8</v>
      </c>
      <c r="N1021" t="s">
        <v>20</v>
      </c>
      <c r="O1021" t="s">
        <v>16</v>
      </c>
      <c r="P1021" t="s">
        <v>303</v>
      </c>
      <c r="Q1021">
        <v>7.5</v>
      </c>
      <c r="R1021">
        <v>5</v>
      </c>
    </row>
    <row r="1022" spans="1:21" x14ac:dyDescent="0.25">
      <c r="A1022">
        <v>8</v>
      </c>
      <c r="B1022">
        <v>500</v>
      </c>
      <c r="C1022">
        <v>3</v>
      </c>
      <c r="D1022">
        <v>36</v>
      </c>
      <c r="E1022">
        <v>41</v>
      </c>
      <c r="F1022" t="s">
        <v>17</v>
      </c>
      <c r="G1022" t="s">
        <v>60</v>
      </c>
      <c r="H1022" t="s">
        <v>61</v>
      </c>
      <c r="I1022">
        <v>62</v>
      </c>
      <c r="J1022">
        <v>19.735212943395023</v>
      </c>
      <c r="K1022">
        <v>5.5</v>
      </c>
      <c r="L1022">
        <v>12</v>
      </c>
      <c r="N1022" t="s">
        <v>20</v>
      </c>
      <c r="O1022" t="s">
        <v>16</v>
      </c>
      <c r="P1022" t="s">
        <v>303</v>
      </c>
      <c r="Q1022">
        <v>12.5</v>
      </c>
      <c r="R1022">
        <v>20</v>
      </c>
      <c r="S1022">
        <v>3</v>
      </c>
      <c r="T1022" t="s">
        <v>278</v>
      </c>
      <c r="U1022">
        <v>0.19280651803380999</v>
      </c>
    </row>
    <row r="1023" spans="1:21" x14ac:dyDescent="0.25">
      <c r="A1023">
        <v>12</v>
      </c>
      <c r="B1023">
        <v>100</v>
      </c>
      <c r="C1023">
        <v>4</v>
      </c>
      <c r="D1023">
        <v>29</v>
      </c>
      <c r="E1023">
        <v>41</v>
      </c>
      <c r="F1023" t="s">
        <v>17</v>
      </c>
      <c r="G1023" t="s">
        <v>60</v>
      </c>
      <c r="H1023" t="s">
        <v>61</v>
      </c>
      <c r="I1023">
        <v>19.5</v>
      </c>
      <c r="J1023">
        <v>6.2070427805839179</v>
      </c>
      <c r="K1023">
        <v>8</v>
      </c>
      <c r="L1023">
        <v>10</v>
      </c>
      <c r="N1023" t="s">
        <v>20</v>
      </c>
      <c r="O1023" t="s">
        <v>16</v>
      </c>
      <c r="P1023" t="s">
        <v>303</v>
      </c>
      <c r="Q1023">
        <v>10</v>
      </c>
      <c r="R1023">
        <v>5</v>
      </c>
    </row>
    <row r="1024" spans="1:21" x14ac:dyDescent="0.25">
      <c r="A1024">
        <v>12</v>
      </c>
      <c r="B1024">
        <v>100</v>
      </c>
      <c r="C1024">
        <v>4</v>
      </c>
      <c r="D1024">
        <v>30</v>
      </c>
      <c r="E1024">
        <v>42</v>
      </c>
      <c r="F1024" t="s">
        <v>17</v>
      </c>
      <c r="G1024" t="s">
        <v>60</v>
      </c>
      <c r="H1024" t="s">
        <v>61</v>
      </c>
      <c r="I1024">
        <v>25</v>
      </c>
      <c r="J1024">
        <v>7.9577471545947667</v>
      </c>
      <c r="K1024">
        <v>5</v>
      </c>
      <c r="L1024">
        <v>10</v>
      </c>
      <c r="N1024" t="s">
        <v>20</v>
      </c>
      <c r="O1024" t="s">
        <v>16</v>
      </c>
      <c r="P1024" t="s">
        <v>303</v>
      </c>
      <c r="Q1024">
        <v>10</v>
      </c>
      <c r="R1024">
        <v>10</v>
      </c>
    </row>
    <row r="1025" spans="1:21" x14ac:dyDescent="0.25">
      <c r="A1025">
        <v>12</v>
      </c>
      <c r="B1025">
        <v>100</v>
      </c>
      <c r="C1025">
        <v>4</v>
      </c>
      <c r="D1025">
        <v>31</v>
      </c>
      <c r="E1025">
        <v>43</v>
      </c>
      <c r="F1025" t="s">
        <v>17</v>
      </c>
      <c r="G1025" t="s">
        <v>60</v>
      </c>
      <c r="H1025" t="s">
        <v>61</v>
      </c>
      <c r="I1025">
        <v>17.5</v>
      </c>
      <c r="J1025">
        <v>5.5704230082163368</v>
      </c>
      <c r="K1025">
        <v>3.5</v>
      </c>
      <c r="L1025">
        <v>8</v>
      </c>
      <c r="N1025" t="s">
        <v>29</v>
      </c>
      <c r="O1025" t="s">
        <v>16</v>
      </c>
      <c r="P1025" t="s">
        <v>303</v>
      </c>
      <c r="Q1025">
        <v>7.5</v>
      </c>
      <c r="R1025">
        <v>5</v>
      </c>
    </row>
    <row r="1026" spans="1:21" x14ac:dyDescent="0.25">
      <c r="A1026">
        <v>12</v>
      </c>
      <c r="B1026">
        <v>100</v>
      </c>
      <c r="C1026">
        <v>4</v>
      </c>
      <c r="D1026" t="s">
        <v>240</v>
      </c>
      <c r="E1026">
        <v>44</v>
      </c>
      <c r="F1026" t="s">
        <v>17</v>
      </c>
      <c r="G1026" t="s">
        <v>60</v>
      </c>
      <c r="H1026" t="s">
        <v>61</v>
      </c>
      <c r="I1026">
        <v>17.5</v>
      </c>
      <c r="J1026">
        <v>5.5704230082163368</v>
      </c>
      <c r="K1026">
        <v>6</v>
      </c>
      <c r="L1026">
        <v>8</v>
      </c>
      <c r="N1026" t="s">
        <v>20</v>
      </c>
      <c r="O1026" t="s">
        <v>16</v>
      </c>
      <c r="P1026" t="e">
        <v>#VALUE!</v>
      </c>
      <c r="Q1026">
        <v>7.5</v>
      </c>
      <c r="R1026">
        <v>5</v>
      </c>
    </row>
    <row r="1027" spans="1:21" x14ac:dyDescent="0.25">
      <c r="A1027">
        <v>8</v>
      </c>
      <c r="B1027">
        <v>500</v>
      </c>
      <c r="C1027">
        <v>3</v>
      </c>
      <c r="D1027">
        <v>40</v>
      </c>
      <c r="E1027">
        <v>45</v>
      </c>
      <c r="F1027" t="s">
        <v>17</v>
      </c>
      <c r="G1027" t="s">
        <v>60</v>
      </c>
      <c r="H1027" t="s">
        <v>61</v>
      </c>
      <c r="I1027">
        <v>93</v>
      </c>
      <c r="J1027">
        <v>29.602819415092533</v>
      </c>
      <c r="K1027">
        <v>2</v>
      </c>
      <c r="L1027">
        <v>14</v>
      </c>
      <c r="N1027" t="s">
        <v>20</v>
      </c>
      <c r="O1027" t="s">
        <v>16</v>
      </c>
      <c r="P1027" t="s">
        <v>303</v>
      </c>
      <c r="Q1027">
        <v>15</v>
      </c>
      <c r="R1027">
        <v>30</v>
      </c>
      <c r="S1027">
        <v>3</v>
      </c>
      <c r="T1027" t="s">
        <v>278</v>
      </c>
      <c r="U1027">
        <v>0.49780946941758381</v>
      </c>
    </row>
    <row r="1028" spans="1:21" x14ac:dyDescent="0.25">
      <c r="A1028">
        <v>12</v>
      </c>
      <c r="B1028">
        <v>100</v>
      </c>
      <c r="C1028">
        <v>4</v>
      </c>
      <c r="D1028" t="s">
        <v>241</v>
      </c>
      <c r="E1028">
        <v>45</v>
      </c>
      <c r="F1028" t="s">
        <v>17</v>
      </c>
      <c r="G1028" t="s">
        <v>60</v>
      </c>
      <c r="H1028" t="s">
        <v>61</v>
      </c>
      <c r="I1028">
        <v>25.5</v>
      </c>
      <c r="J1028">
        <v>8.1169020976866619</v>
      </c>
      <c r="K1028">
        <v>5</v>
      </c>
      <c r="L1028">
        <v>9</v>
      </c>
      <c r="N1028" t="s">
        <v>20</v>
      </c>
      <c r="O1028" t="s">
        <v>16</v>
      </c>
      <c r="P1028" t="e">
        <v>#VALUE!</v>
      </c>
      <c r="Q1028">
        <v>10</v>
      </c>
      <c r="R1028">
        <v>10</v>
      </c>
    </row>
    <row r="1029" spans="1:21" x14ac:dyDescent="0.25">
      <c r="A1029">
        <v>12</v>
      </c>
      <c r="B1029">
        <v>100</v>
      </c>
      <c r="C1029">
        <v>4</v>
      </c>
      <c r="D1029" t="s">
        <v>242</v>
      </c>
      <c r="E1029">
        <v>46</v>
      </c>
      <c r="F1029" t="s">
        <v>17</v>
      </c>
      <c r="G1029" t="s">
        <v>60</v>
      </c>
      <c r="H1029" t="s">
        <v>61</v>
      </c>
      <c r="I1029">
        <v>27.5</v>
      </c>
      <c r="J1029">
        <v>8.753521870054243</v>
      </c>
      <c r="K1029">
        <v>5</v>
      </c>
      <c r="L1029">
        <v>8</v>
      </c>
      <c r="N1029" t="s">
        <v>20</v>
      </c>
      <c r="O1029" t="s">
        <v>16</v>
      </c>
      <c r="P1029" t="e">
        <v>#VALUE!</v>
      </c>
      <c r="Q1029">
        <v>7.5</v>
      </c>
      <c r="R1029">
        <v>10</v>
      </c>
    </row>
    <row r="1030" spans="1:21" x14ac:dyDescent="0.25">
      <c r="A1030">
        <v>12</v>
      </c>
      <c r="B1030">
        <v>100</v>
      </c>
      <c r="C1030">
        <v>4</v>
      </c>
      <c r="D1030" t="s">
        <v>243</v>
      </c>
      <c r="E1030">
        <v>47</v>
      </c>
      <c r="F1030" t="s">
        <v>17</v>
      </c>
      <c r="G1030" t="s">
        <v>60</v>
      </c>
      <c r="H1030" t="s">
        <v>61</v>
      </c>
      <c r="I1030">
        <v>25.5</v>
      </c>
      <c r="J1030">
        <v>8.1169020976866619</v>
      </c>
      <c r="K1030">
        <v>4</v>
      </c>
      <c r="L1030">
        <v>9</v>
      </c>
      <c r="N1030" t="s">
        <v>20</v>
      </c>
      <c r="O1030" t="s">
        <v>16</v>
      </c>
      <c r="P1030" t="e">
        <v>#VALUE!</v>
      </c>
      <c r="Q1030">
        <v>10</v>
      </c>
      <c r="R1030">
        <v>10</v>
      </c>
    </row>
    <row r="1031" spans="1:21" x14ac:dyDescent="0.25">
      <c r="A1031">
        <v>12</v>
      </c>
      <c r="B1031">
        <v>100</v>
      </c>
      <c r="C1031">
        <v>4</v>
      </c>
      <c r="D1031" t="s">
        <v>244</v>
      </c>
      <c r="E1031">
        <v>48</v>
      </c>
      <c r="F1031" t="s">
        <v>17</v>
      </c>
      <c r="G1031" t="s">
        <v>60</v>
      </c>
      <c r="H1031" t="s">
        <v>61</v>
      </c>
      <c r="I1031">
        <v>31</v>
      </c>
      <c r="J1031">
        <v>9.8676064716975116</v>
      </c>
      <c r="K1031">
        <v>2</v>
      </c>
      <c r="L1031">
        <v>9</v>
      </c>
      <c r="N1031" t="s">
        <v>20</v>
      </c>
      <c r="O1031" t="s">
        <v>16</v>
      </c>
      <c r="P1031" t="e">
        <v>#VALUE!</v>
      </c>
      <c r="Q1031">
        <v>10</v>
      </c>
      <c r="R1031">
        <v>10</v>
      </c>
    </row>
    <row r="1032" spans="1:21" x14ac:dyDescent="0.25">
      <c r="A1032">
        <v>8</v>
      </c>
      <c r="B1032">
        <v>500</v>
      </c>
      <c r="C1032">
        <v>3</v>
      </c>
      <c r="D1032">
        <v>44</v>
      </c>
      <c r="E1032">
        <v>49</v>
      </c>
      <c r="F1032" t="s">
        <v>17</v>
      </c>
      <c r="G1032" t="s">
        <v>60</v>
      </c>
      <c r="H1032" t="s">
        <v>61</v>
      </c>
      <c r="I1032">
        <v>41</v>
      </c>
      <c r="J1032">
        <v>13.050705333535419</v>
      </c>
      <c r="K1032">
        <v>8</v>
      </c>
      <c r="L1032">
        <v>13</v>
      </c>
      <c r="N1032" t="s">
        <v>20</v>
      </c>
      <c r="O1032" t="s">
        <v>16</v>
      </c>
      <c r="P1032" t="s">
        <v>303</v>
      </c>
      <c r="Q1032">
        <v>12.5</v>
      </c>
      <c r="R1032">
        <v>15</v>
      </c>
      <c r="S1032">
        <v>3</v>
      </c>
      <c r="T1032" t="s">
        <v>278</v>
      </c>
      <c r="U1032">
        <v>9.4609790138521777E-2</v>
      </c>
    </row>
    <row r="1033" spans="1:21" x14ac:dyDescent="0.25">
      <c r="A1033">
        <v>12</v>
      </c>
      <c r="B1033">
        <v>100</v>
      </c>
      <c r="C1033">
        <v>4</v>
      </c>
      <c r="D1033">
        <v>32</v>
      </c>
      <c r="E1033">
        <v>49</v>
      </c>
      <c r="F1033" t="s">
        <v>17</v>
      </c>
      <c r="G1033" t="s">
        <v>60</v>
      </c>
      <c r="H1033" t="s">
        <v>61</v>
      </c>
      <c r="I1033">
        <v>30</v>
      </c>
      <c r="J1033">
        <v>9.5492965855137211</v>
      </c>
      <c r="K1033">
        <v>4.5</v>
      </c>
      <c r="L1033">
        <v>9</v>
      </c>
      <c r="N1033" t="s">
        <v>20</v>
      </c>
      <c r="O1033" t="s">
        <v>16</v>
      </c>
      <c r="P1033" t="s">
        <v>303</v>
      </c>
      <c r="Q1033">
        <v>10</v>
      </c>
      <c r="R1033">
        <v>10</v>
      </c>
    </row>
    <row r="1034" spans="1:21" x14ac:dyDescent="0.25">
      <c r="A1034">
        <v>8</v>
      </c>
      <c r="B1034">
        <v>500</v>
      </c>
      <c r="C1034">
        <v>4</v>
      </c>
      <c r="D1034">
        <v>45</v>
      </c>
      <c r="E1034">
        <v>50</v>
      </c>
      <c r="F1034" t="s">
        <v>17</v>
      </c>
      <c r="G1034" t="s">
        <v>60</v>
      </c>
      <c r="H1034" t="s">
        <v>61</v>
      </c>
      <c r="I1034">
        <v>90</v>
      </c>
      <c r="J1034">
        <v>28.647889756541161</v>
      </c>
      <c r="K1034">
        <v>2.5</v>
      </c>
      <c r="L1034">
        <v>12</v>
      </c>
      <c r="N1034" t="s">
        <v>20</v>
      </c>
      <c r="O1034" t="s">
        <v>16</v>
      </c>
      <c r="P1034" t="s">
        <v>303</v>
      </c>
      <c r="Q1034">
        <v>12.5</v>
      </c>
      <c r="R1034">
        <v>30</v>
      </c>
      <c r="S1034">
        <v>3</v>
      </c>
      <c r="T1034" t="s">
        <v>278</v>
      </c>
      <c r="U1034">
        <v>0.39580160480387511</v>
      </c>
    </row>
    <row r="1035" spans="1:21" x14ac:dyDescent="0.25">
      <c r="A1035">
        <v>12</v>
      </c>
      <c r="B1035">
        <v>100</v>
      </c>
      <c r="C1035">
        <v>4</v>
      </c>
      <c r="D1035">
        <v>33</v>
      </c>
      <c r="E1035">
        <v>50</v>
      </c>
      <c r="F1035" t="s">
        <v>17</v>
      </c>
      <c r="G1035" t="s">
        <v>60</v>
      </c>
      <c r="H1035" t="s">
        <v>61</v>
      </c>
      <c r="I1035">
        <v>16</v>
      </c>
      <c r="J1035">
        <v>5.0929581789406511</v>
      </c>
      <c r="K1035">
        <v>5</v>
      </c>
      <c r="L1035">
        <v>8</v>
      </c>
      <c r="N1035" t="s">
        <v>20</v>
      </c>
      <c r="O1035" t="s">
        <v>16</v>
      </c>
      <c r="P1035" t="s">
        <v>303</v>
      </c>
      <c r="Q1035">
        <v>7.5</v>
      </c>
      <c r="R1035">
        <v>5</v>
      </c>
    </row>
    <row r="1036" spans="1:21" x14ac:dyDescent="0.25">
      <c r="A1036">
        <v>12</v>
      </c>
      <c r="B1036">
        <v>100</v>
      </c>
      <c r="C1036">
        <v>4</v>
      </c>
      <c r="D1036">
        <v>35</v>
      </c>
      <c r="E1036">
        <v>52</v>
      </c>
      <c r="F1036" t="s">
        <v>17</v>
      </c>
      <c r="G1036" t="s">
        <v>60</v>
      </c>
      <c r="H1036" t="s">
        <v>61</v>
      </c>
      <c r="I1036">
        <v>18</v>
      </c>
      <c r="J1036">
        <v>5.7295779513082321</v>
      </c>
      <c r="K1036">
        <v>2</v>
      </c>
      <c r="L1036">
        <v>9</v>
      </c>
      <c r="N1036" t="s">
        <v>29</v>
      </c>
      <c r="O1036" t="s">
        <v>16</v>
      </c>
      <c r="P1036" t="s">
        <v>303</v>
      </c>
      <c r="Q1036">
        <v>10</v>
      </c>
      <c r="R1036">
        <v>5</v>
      </c>
    </row>
    <row r="1037" spans="1:21" x14ac:dyDescent="0.25">
      <c r="A1037">
        <v>12</v>
      </c>
      <c r="B1037">
        <v>100</v>
      </c>
      <c r="C1037">
        <v>4</v>
      </c>
      <c r="D1037" t="s">
        <v>245</v>
      </c>
      <c r="E1037">
        <v>53</v>
      </c>
      <c r="F1037" t="s">
        <v>17</v>
      </c>
      <c r="G1037" t="s">
        <v>60</v>
      </c>
      <c r="H1037" t="s">
        <v>61</v>
      </c>
      <c r="I1037">
        <v>19.5</v>
      </c>
      <c r="J1037">
        <v>6.2070427805839179</v>
      </c>
      <c r="K1037">
        <v>4.5</v>
      </c>
      <c r="L1037">
        <v>10</v>
      </c>
      <c r="N1037" t="s">
        <v>20</v>
      </c>
      <c r="O1037" t="s">
        <v>16</v>
      </c>
      <c r="P1037" t="e">
        <v>#VALUE!</v>
      </c>
      <c r="Q1037">
        <v>10</v>
      </c>
      <c r="R1037">
        <v>5</v>
      </c>
    </row>
    <row r="1038" spans="1:21" x14ac:dyDescent="0.25">
      <c r="A1038">
        <v>12</v>
      </c>
      <c r="B1038">
        <v>100</v>
      </c>
      <c r="C1038">
        <v>4</v>
      </c>
      <c r="D1038" t="s">
        <v>246</v>
      </c>
      <c r="E1038">
        <v>54</v>
      </c>
      <c r="F1038" t="s">
        <v>17</v>
      </c>
      <c r="G1038" t="s">
        <v>60</v>
      </c>
      <c r="H1038" t="s">
        <v>61</v>
      </c>
      <c r="I1038">
        <v>21.5</v>
      </c>
      <c r="J1038">
        <v>6.8436625529514998</v>
      </c>
      <c r="K1038">
        <v>4</v>
      </c>
      <c r="L1038">
        <v>9</v>
      </c>
      <c r="N1038" t="s">
        <v>20</v>
      </c>
      <c r="O1038" t="s">
        <v>16</v>
      </c>
      <c r="P1038" t="e">
        <v>#VALUE!</v>
      </c>
      <c r="Q1038">
        <v>10</v>
      </c>
      <c r="R1038">
        <v>5</v>
      </c>
    </row>
    <row r="1039" spans="1:21" x14ac:dyDescent="0.25">
      <c r="A1039">
        <v>8</v>
      </c>
      <c r="B1039">
        <v>500</v>
      </c>
      <c r="C1039">
        <v>4</v>
      </c>
      <c r="D1039">
        <v>50</v>
      </c>
      <c r="E1039">
        <v>55</v>
      </c>
      <c r="F1039" t="s">
        <v>17</v>
      </c>
      <c r="G1039" t="s">
        <v>60</v>
      </c>
      <c r="H1039" t="s">
        <v>61</v>
      </c>
      <c r="I1039">
        <v>93</v>
      </c>
      <c r="J1039">
        <v>29.602819415092533</v>
      </c>
      <c r="K1039">
        <v>8</v>
      </c>
      <c r="L1039">
        <v>13</v>
      </c>
      <c r="N1039" t="s">
        <v>20</v>
      </c>
      <c r="O1039" t="s">
        <v>16</v>
      </c>
      <c r="P1039" t="s">
        <v>303</v>
      </c>
      <c r="Q1039">
        <v>12.5</v>
      </c>
      <c r="R1039">
        <v>30</v>
      </c>
      <c r="S1039">
        <v>3</v>
      </c>
      <c r="T1039" t="s">
        <v>278</v>
      </c>
      <c r="U1039">
        <v>0.45962075141712921</v>
      </c>
    </row>
    <row r="1040" spans="1:21" x14ac:dyDescent="0.25">
      <c r="A1040">
        <v>12</v>
      </c>
      <c r="B1040">
        <v>100</v>
      </c>
      <c r="C1040">
        <v>4</v>
      </c>
      <c r="D1040">
        <v>36</v>
      </c>
      <c r="E1040">
        <v>55</v>
      </c>
      <c r="F1040" t="s">
        <v>17</v>
      </c>
      <c r="G1040" t="s">
        <v>60</v>
      </c>
      <c r="H1040" t="s">
        <v>61</v>
      </c>
      <c r="I1040">
        <v>25.5</v>
      </c>
      <c r="J1040">
        <v>8.1169020976866619</v>
      </c>
      <c r="K1040">
        <v>4</v>
      </c>
      <c r="L1040">
        <v>10</v>
      </c>
      <c r="N1040" t="s">
        <v>29</v>
      </c>
      <c r="O1040" t="s">
        <v>16</v>
      </c>
      <c r="P1040" t="s">
        <v>303</v>
      </c>
      <c r="Q1040">
        <v>10</v>
      </c>
      <c r="R1040">
        <v>10</v>
      </c>
    </row>
    <row r="1041" spans="1:21" x14ac:dyDescent="0.25">
      <c r="A1041">
        <v>12</v>
      </c>
      <c r="B1041">
        <v>100</v>
      </c>
      <c r="C1041">
        <v>4</v>
      </c>
      <c r="D1041" t="s">
        <v>115</v>
      </c>
      <c r="E1041">
        <v>56</v>
      </c>
      <c r="F1041" t="s">
        <v>17</v>
      </c>
      <c r="G1041" t="s">
        <v>60</v>
      </c>
      <c r="H1041" t="s">
        <v>61</v>
      </c>
      <c r="I1041">
        <v>21.5</v>
      </c>
      <c r="J1041">
        <v>6.8436625529514998</v>
      </c>
      <c r="K1041">
        <v>3</v>
      </c>
      <c r="L1041">
        <v>10</v>
      </c>
      <c r="N1041" t="s">
        <v>20</v>
      </c>
      <c r="O1041" t="s">
        <v>16</v>
      </c>
      <c r="P1041" t="e">
        <v>#VALUE!</v>
      </c>
      <c r="Q1041">
        <v>10</v>
      </c>
      <c r="R1041">
        <v>5</v>
      </c>
    </row>
    <row r="1042" spans="1:21" x14ac:dyDescent="0.25">
      <c r="A1042">
        <v>12</v>
      </c>
      <c r="B1042">
        <v>100</v>
      </c>
      <c r="C1042">
        <v>4</v>
      </c>
      <c r="D1042">
        <v>37</v>
      </c>
      <c r="E1042">
        <v>57</v>
      </c>
      <c r="F1042" t="s">
        <v>17</v>
      </c>
      <c r="G1042" t="s">
        <v>60</v>
      </c>
      <c r="H1042" t="s">
        <v>61</v>
      </c>
      <c r="I1042">
        <v>22</v>
      </c>
      <c r="J1042">
        <v>7.0028174960433951</v>
      </c>
      <c r="K1042">
        <v>4</v>
      </c>
      <c r="L1042">
        <v>9</v>
      </c>
      <c r="N1042" t="s">
        <v>29</v>
      </c>
      <c r="O1042" t="s">
        <v>16</v>
      </c>
      <c r="P1042" t="s">
        <v>303</v>
      </c>
      <c r="Q1042">
        <v>10</v>
      </c>
      <c r="R1042">
        <v>5</v>
      </c>
    </row>
    <row r="1043" spans="1:21" x14ac:dyDescent="0.25">
      <c r="A1043">
        <v>12</v>
      </c>
      <c r="B1043">
        <v>100</v>
      </c>
      <c r="C1043">
        <v>4</v>
      </c>
      <c r="D1043" t="s">
        <v>247</v>
      </c>
      <c r="E1043">
        <v>58</v>
      </c>
      <c r="F1043" t="s">
        <v>17</v>
      </c>
      <c r="G1043" t="s">
        <v>60</v>
      </c>
      <c r="H1043" t="s">
        <v>61</v>
      </c>
      <c r="I1043">
        <v>20.5</v>
      </c>
      <c r="J1043">
        <v>6.5253526667677093</v>
      </c>
      <c r="K1043">
        <v>5</v>
      </c>
      <c r="L1043">
        <v>9</v>
      </c>
      <c r="N1043" t="s">
        <v>20</v>
      </c>
      <c r="O1043" t="s">
        <v>16</v>
      </c>
      <c r="P1043" t="e">
        <v>#VALUE!</v>
      </c>
      <c r="Q1043">
        <v>10</v>
      </c>
      <c r="R1043">
        <v>5</v>
      </c>
    </row>
    <row r="1044" spans="1:21" x14ac:dyDescent="0.25">
      <c r="A1044">
        <v>8</v>
      </c>
      <c r="B1044">
        <v>500</v>
      </c>
      <c r="C1044">
        <v>4</v>
      </c>
      <c r="D1044">
        <v>56</v>
      </c>
      <c r="E1044">
        <v>61</v>
      </c>
      <c r="F1044" t="s">
        <v>17</v>
      </c>
      <c r="G1044" t="s">
        <v>60</v>
      </c>
      <c r="H1044" t="s">
        <v>61</v>
      </c>
      <c r="I1044">
        <v>72</v>
      </c>
      <c r="J1044">
        <v>22.918311805232928</v>
      </c>
      <c r="K1044">
        <v>5</v>
      </c>
      <c r="L1044">
        <v>12</v>
      </c>
      <c r="N1044" t="s">
        <v>20</v>
      </c>
      <c r="O1044" t="s">
        <v>16</v>
      </c>
      <c r="P1044" t="s">
        <v>303</v>
      </c>
      <c r="Q1044">
        <v>12.5</v>
      </c>
      <c r="R1044">
        <v>25</v>
      </c>
      <c r="S1044">
        <v>3</v>
      </c>
      <c r="T1044" t="s">
        <v>278</v>
      </c>
      <c r="U1044">
        <v>0.25730661503793956</v>
      </c>
    </row>
    <row r="1045" spans="1:21" x14ac:dyDescent="0.25">
      <c r="A1045">
        <v>8</v>
      </c>
      <c r="B1045">
        <v>500</v>
      </c>
      <c r="C1045">
        <v>4</v>
      </c>
      <c r="D1045" t="s">
        <v>216</v>
      </c>
      <c r="E1045">
        <v>62</v>
      </c>
      <c r="F1045" t="s">
        <v>17</v>
      </c>
      <c r="G1045" t="s">
        <v>60</v>
      </c>
      <c r="H1045" t="s">
        <v>61</v>
      </c>
      <c r="I1045">
        <v>66</v>
      </c>
      <c r="J1045">
        <v>21.008452488130185</v>
      </c>
      <c r="K1045">
        <v>7</v>
      </c>
      <c r="L1045">
        <v>12</v>
      </c>
      <c r="N1045" t="s">
        <v>20</v>
      </c>
      <c r="O1045" t="s">
        <v>16</v>
      </c>
      <c r="P1045" t="e">
        <v>#VALUE!</v>
      </c>
      <c r="Q1045">
        <v>12.5</v>
      </c>
      <c r="R1045">
        <v>20</v>
      </c>
      <c r="S1045">
        <v>3</v>
      </c>
      <c r="T1045" t="s">
        <v>278</v>
      </c>
      <c r="U1045">
        <v>0.21753183404963372</v>
      </c>
    </row>
    <row r="1046" spans="1:21" x14ac:dyDescent="0.25">
      <c r="A1046">
        <v>3</v>
      </c>
      <c r="B1046">
        <v>500</v>
      </c>
      <c r="C1046">
        <v>4</v>
      </c>
      <c r="D1046">
        <v>54</v>
      </c>
      <c r="E1046">
        <v>63</v>
      </c>
      <c r="F1046" t="s">
        <v>17</v>
      </c>
      <c r="G1046" t="s">
        <v>60</v>
      </c>
      <c r="H1046" t="s">
        <v>61</v>
      </c>
      <c r="I1046">
        <v>96.5</v>
      </c>
      <c r="J1046">
        <v>30.7169040167358</v>
      </c>
      <c r="K1046">
        <v>4</v>
      </c>
      <c r="L1046">
        <v>13</v>
      </c>
      <c r="N1046" t="s">
        <v>20</v>
      </c>
      <c r="O1046" t="s">
        <v>16</v>
      </c>
      <c r="P1046" t="s">
        <v>303</v>
      </c>
      <c r="Q1046">
        <v>12.5</v>
      </c>
      <c r="R1046">
        <v>30</v>
      </c>
      <c r="S1046">
        <v>3</v>
      </c>
      <c r="T1046" t="s">
        <v>278</v>
      </c>
      <c r="U1046">
        <v>0.49358691980838382</v>
      </c>
    </row>
    <row r="1047" spans="1:21" x14ac:dyDescent="0.25">
      <c r="A1047">
        <v>8</v>
      </c>
      <c r="B1047">
        <v>500</v>
      </c>
      <c r="C1047">
        <v>4</v>
      </c>
      <c r="D1047" t="s">
        <v>217</v>
      </c>
      <c r="E1047">
        <v>63</v>
      </c>
      <c r="F1047" t="s">
        <v>17</v>
      </c>
      <c r="G1047" t="s">
        <v>60</v>
      </c>
      <c r="H1047" t="s">
        <v>61</v>
      </c>
      <c r="I1047">
        <v>50</v>
      </c>
      <c r="J1047">
        <v>15.915494309189533</v>
      </c>
      <c r="K1047">
        <v>5.5</v>
      </c>
      <c r="L1047">
        <v>10</v>
      </c>
      <c r="N1047" t="s">
        <v>20</v>
      </c>
      <c r="O1047" t="s">
        <v>16</v>
      </c>
      <c r="P1047" t="e">
        <v>#VALUE!</v>
      </c>
      <c r="Q1047">
        <v>10</v>
      </c>
      <c r="R1047">
        <v>15</v>
      </c>
      <c r="S1047">
        <v>3</v>
      </c>
      <c r="T1047" t="s">
        <v>278</v>
      </c>
      <c r="U1047">
        <v>0.10460381040135047</v>
      </c>
    </row>
    <row r="1048" spans="1:21" x14ac:dyDescent="0.25">
      <c r="A1048">
        <v>8</v>
      </c>
      <c r="B1048">
        <v>500</v>
      </c>
      <c r="C1048">
        <v>4</v>
      </c>
      <c r="D1048">
        <v>57</v>
      </c>
      <c r="E1048">
        <v>64</v>
      </c>
      <c r="F1048" t="s">
        <v>17</v>
      </c>
      <c r="G1048" t="s">
        <v>60</v>
      </c>
      <c r="H1048" t="s">
        <v>61</v>
      </c>
      <c r="I1048">
        <v>50.5</v>
      </c>
      <c r="J1048">
        <v>16.074649252281429</v>
      </c>
      <c r="K1048">
        <v>4</v>
      </c>
      <c r="L1048">
        <v>13</v>
      </c>
      <c r="N1048" t="s">
        <v>20</v>
      </c>
      <c r="O1048" t="s">
        <v>16</v>
      </c>
      <c r="P1048" t="s">
        <v>303</v>
      </c>
      <c r="Q1048">
        <v>12.5</v>
      </c>
      <c r="R1048">
        <v>15</v>
      </c>
      <c r="S1048">
        <v>3</v>
      </c>
      <c r="T1048" t="s">
        <v>278</v>
      </c>
      <c r="U1048">
        <v>0.14145115960112314</v>
      </c>
    </row>
    <row r="1049" spans="1:21" x14ac:dyDescent="0.25">
      <c r="A1049">
        <v>1</v>
      </c>
      <c r="B1049">
        <v>500</v>
      </c>
      <c r="C1049">
        <v>4</v>
      </c>
      <c r="D1049">
        <v>21</v>
      </c>
      <c r="E1049">
        <v>24</v>
      </c>
      <c r="F1049" t="s">
        <v>76</v>
      </c>
      <c r="G1049" t="s">
        <v>77</v>
      </c>
      <c r="H1049" t="s">
        <v>78</v>
      </c>
      <c r="I1049">
        <v>35</v>
      </c>
      <c r="J1049">
        <v>11.140846016432674</v>
      </c>
      <c r="K1049">
        <v>3</v>
      </c>
      <c r="L1049">
        <v>10</v>
      </c>
      <c r="N1049" t="s">
        <v>20</v>
      </c>
      <c r="O1049" t="s">
        <v>16</v>
      </c>
      <c r="P1049" t="s">
        <v>303</v>
      </c>
      <c r="Q1049">
        <v>10</v>
      </c>
      <c r="R1049">
        <v>10</v>
      </c>
      <c r="S1049">
        <v>14</v>
      </c>
      <c r="T1049" t="s">
        <v>273</v>
      </c>
      <c r="U1049">
        <v>6.2370344105770845E-2</v>
      </c>
    </row>
    <row r="1050" spans="1:21" x14ac:dyDescent="0.25">
      <c r="A1050">
        <v>12</v>
      </c>
      <c r="B1050">
        <v>5</v>
      </c>
      <c r="D1050">
        <v>6</v>
      </c>
      <c r="E1050">
        <v>6</v>
      </c>
      <c r="F1050" t="s">
        <v>229</v>
      </c>
      <c r="G1050" t="s">
        <v>230</v>
      </c>
      <c r="H1050" t="s">
        <v>231</v>
      </c>
      <c r="L1050">
        <v>5</v>
      </c>
      <c r="M1050" t="e">
        <v>#REF!</v>
      </c>
      <c r="O1050" t="s">
        <v>16</v>
      </c>
      <c r="P1050" t="s">
        <v>303</v>
      </c>
      <c r="Q1050">
        <v>5</v>
      </c>
      <c r="R1050">
        <v>5</v>
      </c>
    </row>
    <row r="1051" spans="1:21" x14ac:dyDescent="0.25">
      <c r="A1051">
        <v>7</v>
      </c>
      <c r="B1051">
        <v>500</v>
      </c>
      <c r="C1051">
        <v>1</v>
      </c>
      <c r="D1051">
        <v>2</v>
      </c>
      <c r="E1051">
        <v>2</v>
      </c>
      <c r="F1051" t="s">
        <v>33</v>
      </c>
      <c r="G1051" t="s">
        <v>291</v>
      </c>
      <c r="H1051" t="s">
        <v>34</v>
      </c>
      <c r="I1051">
        <v>65</v>
      </c>
      <c r="J1051">
        <v>20.690142601946395</v>
      </c>
      <c r="K1051">
        <v>4</v>
      </c>
      <c r="L1051">
        <v>7</v>
      </c>
      <c r="N1051" t="s">
        <v>35</v>
      </c>
      <c r="O1051" t="s">
        <v>16</v>
      </c>
      <c r="P1051" t="s">
        <v>303</v>
      </c>
      <c r="Q1051">
        <v>7.5</v>
      </c>
      <c r="R1051">
        <v>20</v>
      </c>
    </row>
    <row r="1052" spans="1:21" x14ac:dyDescent="0.25">
      <c r="A1052">
        <v>1</v>
      </c>
      <c r="B1052">
        <v>500</v>
      </c>
      <c r="C1052">
        <v>2</v>
      </c>
      <c r="D1052">
        <v>4</v>
      </c>
      <c r="E1052">
        <v>5</v>
      </c>
      <c r="F1052" t="s">
        <v>33</v>
      </c>
      <c r="G1052" t="s">
        <v>291</v>
      </c>
      <c r="H1052" t="s">
        <v>34</v>
      </c>
      <c r="I1052">
        <v>64</v>
      </c>
      <c r="J1052">
        <v>20.371832715762604</v>
      </c>
      <c r="K1052">
        <v>1.8</v>
      </c>
      <c r="L1052">
        <v>5</v>
      </c>
      <c r="N1052" t="s">
        <v>35</v>
      </c>
      <c r="O1052" t="s">
        <v>16</v>
      </c>
      <c r="P1052" t="s">
        <v>303</v>
      </c>
      <c r="Q1052">
        <v>5</v>
      </c>
      <c r="R1052">
        <v>20</v>
      </c>
    </row>
    <row r="1053" spans="1:21" x14ac:dyDescent="0.25">
      <c r="A1053">
        <v>8</v>
      </c>
      <c r="B1053">
        <v>500</v>
      </c>
      <c r="C1053">
        <v>1</v>
      </c>
      <c r="D1053">
        <v>6</v>
      </c>
      <c r="E1053">
        <v>7</v>
      </c>
      <c r="F1053" t="s">
        <v>33</v>
      </c>
      <c r="G1053" t="s">
        <v>291</v>
      </c>
      <c r="H1053" t="s">
        <v>34</v>
      </c>
      <c r="I1053">
        <v>64</v>
      </c>
      <c r="J1053">
        <v>20.371832715762604</v>
      </c>
      <c r="K1053">
        <v>6</v>
      </c>
      <c r="L1053">
        <v>8</v>
      </c>
      <c r="N1053" t="s">
        <v>20</v>
      </c>
      <c r="O1053" t="s">
        <v>16</v>
      </c>
      <c r="P1053" t="s">
        <v>303</v>
      </c>
      <c r="Q1053">
        <v>7.5</v>
      </c>
      <c r="R1053">
        <v>20</v>
      </c>
    </row>
    <row r="1054" spans="1:21" x14ac:dyDescent="0.25">
      <c r="A1054">
        <v>10</v>
      </c>
      <c r="B1054">
        <v>500</v>
      </c>
      <c r="C1054">
        <v>3</v>
      </c>
      <c r="D1054">
        <v>12</v>
      </c>
      <c r="E1054">
        <v>12</v>
      </c>
      <c r="F1054" t="s">
        <v>33</v>
      </c>
      <c r="G1054" t="s">
        <v>291</v>
      </c>
      <c r="H1054" t="s">
        <v>34</v>
      </c>
      <c r="I1054">
        <v>34</v>
      </c>
      <c r="J1054">
        <v>10.822536130248883</v>
      </c>
      <c r="K1054">
        <v>1.3</v>
      </c>
      <c r="L1054">
        <v>5.5</v>
      </c>
      <c r="N1054" t="s">
        <v>20</v>
      </c>
      <c r="O1054" t="s">
        <v>16</v>
      </c>
      <c r="P1054" t="s">
        <v>303</v>
      </c>
      <c r="Q1054">
        <v>5</v>
      </c>
      <c r="R1054">
        <v>10</v>
      </c>
    </row>
    <row r="1055" spans="1:21" x14ac:dyDescent="0.25">
      <c r="A1055">
        <v>11</v>
      </c>
      <c r="B1055">
        <v>500</v>
      </c>
      <c r="C1055">
        <v>3</v>
      </c>
      <c r="D1055">
        <v>11</v>
      </c>
      <c r="E1055">
        <v>12</v>
      </c>
      <c r="F1055" t="s">
        <v>33</v>
      </c>
      <c r="G1055" t="s">
        <v>291</v>
      </c>
      <c r="H1055" t="s">
        <v>34</v>
      </c>
      <c r="I1055">
        <v>50</v>
      </c>
      <c r="J1055">
        <v>15.915494309189533</v>
      </c>
      <c r="K1055">
        <v>5</v>
      </c>
      <c r="L1055">
        <v>8</v>
      </c>
      <c r="N1055" t="s">
        <v>20</v>
      </c>
      <c r="O1055" t="s">
        <v>16</v>
      </c>
      <c r="P1055" t="s">
        <v>303</v>
      </c>
      <c r="Q1055">
        <v>7.5</v>
      </c>
      <c r="R1055">
        <v>15</v>
      </c>
    </row>
    <row r="1056" spans="1:21" x14ac:dyDescent="0.25">
      <c r="A1056">
        <v>3</v>
      </c>
      <c r="B1056">
        <v>500</v>
      </c>
      <c r="C1056">
        <v>2</v>
      </c>
      <c r="D1056">
        <v>23</v>
      </c>
      <c r="E1056">
        <v>23</v>
      </c>
      <c r="F1056" t="s">
        <v>33</v>
      </c>
      <c r="G1056" t="s">
        <v>291</v>
      </c>
      <c r="H1056" t="s">
        <v>34</v>
      </c>
      <c r="I1056">
        <v>55</v>
      </c>
      <c r="J1056">
        <v>17.507043740108486</v>
      </c>
      <c r="K1056">
        <v>5</v>
      </c>
      <c r="L1056">
        <v>8</v>
      </c>
      <c r="N1056" t="s">
        <v>20</v>
      </c>
      <c r="O1056" t="s">
        <v>16</v>
      </c>
      <c r="P1056" t="s">
        <v>303</v>
      </c>
      <c r="Q1056">
        <v>7.5</v>
      </c>
      <c r="R1056">
        <v>20</v>
      </c>
    </row>
    <row r="1057" spans="1:18" x14ac:dyDescent="0.25">
      <c r="A1057">
        <v>7</v>
      </c>
      <c r="B1057">
        <v>500</v>
      </c>
      <c r="C1057">
        <v>2</v>
      </c>
      <c r="D1057">
        <v>22</v>
      </c>
      <c r="E1057">
        <v>25</v>
      </c>
      <c r="F1057" t="s">
        <v>33</v>
      </c>
      <c r="G1057" t="s">
        <v>291</v>
      </c>
      <c r="H1057" t="s">
        <v>34</v>
      </c>
      <c r="I1057">
        <v>72</v>
      </c>
      <c r="J1057">
        <v>22.918311805232928</v>
      </c>
      <c r="K1057">
        <v>8</v>
      </c>
      <c r="L1057">
        <v>14</v>
      </c>
      <c r="N1057" t="s">
        <v>20</v>
      </c>
      <c r="O1057" t="s">
        <v>16</v>
      </c>
      <c r="P1057" t="s">
        <v>303</v>
      </c>
      <c r="Q1057">
        <v>15</v>
      </c>
      <c r="R1057">
        <v>25</v>
      </c>
    </row>
    <row r="1058" spans="1:18" x14ac:dyDescent="0.25">
      <c r="A1058">
        <v>7</v>
      </c>
      <c r="B1058">
        <v>500</v>
      </c>
      <c r="C1058">
        <v>4</v>
      </c>
      <c r="D1058">
        <v>43</v>
      </c>
      <c r="E1058">
        <v>46</v>
      </c>
      <c r="F1058" t="s">
        <v>33</v>
      </c>
      <c r="G1058" t="s">
        <v>291</v>
      </c>
      <c r="H1058" t="s">
        <v>34</v>
      </c>
      <c r="I1058">
        <v>80</v>
      </c>
      <c r="J1058">
        <v>25.464790894703256</v>
      </c>
      <c r="K1058">
        <v>3.5</v>
      </c>
      <c r="L1058">
        <v>8</v>
      </c>
      <c r="N1058" t="s">
        <v>20</v>
      </c>
      <c r="O1058" t="s">
        <v>16</v>
      </c>
      <c r="P1058" t="s">
        <v>303</v>
      </c>
      <c r="Q1058">
        <v>7.5</v>
      </c>
      <c r="R1058">
        <v>25</v>
      </c>
    </row>
    <row r="1059" spans="1:18" x14ac:dyDescent="0.25">
      <c r="A1059">
        <v>7</v>
      </c>
      <c r="B1059">
        <v>500</v>
      </c>
      <c r="C1059">
        <v>4</v>
      </c>
      <c r="D1059">
        <v>44</v>
      </c>
      <c r="E1059">
        <v>47</v>
      </c>
      <c r="F1059" t="s">
        <v>33</v>
      </c>
      <c r="G1059" t="s">
        <v>291</v>
      </c>
      <c r="H1059" t="s">
        <v>34</v>
      </c>
      <c r="I1059">
        <v>55</v>
      </c>
      <c r="J1059">
        <v>17.507043740108486</v>
      </c>
      <c r="K1059">
        <v>6</v>
      </c>
      <c r="L1059">
        <v>9</v>
      </c>
      <c r="N1059" t="s">
        <v>20</v>
      </c>
      <c r="O1059" t="s">
        <v>16</v>
      </c>
      <c r="P1059" t="s">
        <v>303</v>
      </c>
      <c r="Q1059">
        <v>10</v>
      </c>
      <c r="R1059">
        <v>20</v>
      </c>
    </row>
    <row r="1060" spans="1:18" x14ac:dyDescent="0.25">
      <c r="A1060">
        <v>9</v>
      </c>
      <c r="B1060">
        <v>100</v>
      </c>
      <c r="C1060">
        <v>1</v>
      </c>
      <c r="D1060">
        <v>1</v>
      </c>
      <c r="E1060">
        <v>1</v>
      </c>
      <c r="F1060" t="s">
        <v>17</v>
      </c>
      <c r="G1060" t="s">
        <v>221</v>
      </c>
      <c r="H1060" t="s">
        <v>222</v>
      </c>
      <c r="I1060">
        <v>22</v>
      </c>
      <c r="J1060">
        <v>7.0028174960433951</v>
      </c>
      <c r="K1060">
        <v>7.5</v>
      </c>
      <c r="L1060">
        <v>9</v>
      </c>
      <c r="N1060" t="s">
        <v>20</v>
      </c>
      <c r="O1060" t="s">
        <v>16</v>
      </c>
      <c r="P1060" t="s">
        <v>303</v>
      </c>
      <c r="Q1060">
        <v>10</v>
      </c>
      <c r="R1060">
        <v>5</v>
      </c>
    </row>
    <row r="1061" spans="1:18" x14ac:dyDescent="0.25">
      <c r="A1061">
        <v>9</v>
      </c>
      <c r="B1061">
        <v>100</v>
      </c>
      <c r="C1061">
        <v>1</v>
      </c>
      <c r="D1061">
        <v>4</v>
      </c>
      <c r="E1061">
        <v>4</v>
      </c>
      <c r="F1061" t="s">
        <v>17</v>
      </c>
      <c r="G1061" t="s">
        <v>221</v>
      </c>
      <c r="H1061" t="s">
        <v>222</v>
      </c>
      <c r="I1061">
        <v>27</v>
      </c>
      <c r="J1061">
        <v>8.5943669269623477</v>
      </c>
      <c r="K1061">
        <v>5</v>
      </c>
      <c r="L1061">
        <v>10</v>
      </c>
      <c r="N1061" t="s">
        <v>20</v>
      </c>
      <c r="O1061" t="s">
        <v>16</v>
      </c>
      <c r="P1061" t="s">
        <v>303</v>
      </c>
      <c r="Q1061">
        <v>10</v>
      </c>
      <c r="R1061">
        <v>10</v>
      </c>
    </row>
    <row r="1062" spans="1:18" x14ac:dyDescent="0.25">
      <c r="A1062">
        <v>9</v>
      </c>
      <c r="B1062">
        <v>100</v>
      </c>
      <c r="C1062">
        <v>1</v>
      </c>
      <c r="D1062">
        <v>6</v>
      </c>
      <c r="E1062">
        <v>6</v>
      </c>
      <c r="F1062" t="s">
        <v>17</v>
      </c>
      <c r="G1062" t="s">
        <v>221</v>
      </c>
      <c r="H1062" t="s">
        <v>222</v>
      </c>
      <c r="I1062">
        <v>18.5</v>
      </c>
      <c r="J1062">
        <v>5.8887328944001274</v>
      </c>
      <c r="K1062">
        <v>7</v>
      </c>
      <c r="L1062">
        <v>10</v>
      </c>
      <c r="N1062" t="s">
        <v>20</v>
      </c>
      <c r="O1062" t="s">
        <v>16</v>
      </c>
      <c r="P1062" t="s">
        <v>303</v>
      </c>
      <c r="Q1062">
        <v>10</v>
      </c>
      <c r="R1062">
        <v>5</v>
      </c>
    </row>
    <row r="1063" spans="1:18" x14ac:dyDescent="0.25">
      <c r="A1063">
        <v>12</v>
      </c>
      <c r="B1063">
        <v>5</v>
      </c>
      <c r="D1063">
        <v>7</v>
      </c>
      <c r="E1063">
        <v>7</v>
      </c>
      <c r="F1063" t="s">
        <v>229</v>
      </c>
      <c r="G1063" t="s">
        <v>230</v>
      </c>
      <c r="H1063" t="s">
        <v>231</v>
      </c>
      <c r="L1063">
        <v>5</v>
      </c>
      <c r="M1063" t="e">
        <v>#REF!</v>
      </c>
      <c r="O1063" t="s">
        <v>16</v>
      </c>
      <c r="P1063" t="s">
        <v>303</v>
      </c>
      <c r="Q1063">
        <v>5</v>
      </c>
      <c r="R1063">
        <v>5</v>
      </c>
    </row>
    <row r="1064" spans="1:18" x14ac:dyDescent="0.25">
      <c r="A1064">
        <v>12</v>
      </c>
      <c r="B1064">
        <v>5</v>
      </c>
      <c r="D1064">
        <v>8</v>
      </c>
      <c r="E1064">
        <v>8</v>
      </c>
      <c r="F1064" t="s">
        <v>36</v>
      </c>
      <c r="G1064" t="s">
        <v>37</v>
      </c>
      <c r="H1064" t="s">
        <v>38</v>
      </c>
      <c r="L1064">
        <v>2.4</v>
      </c>
      <c r="M1064" t="e">
        <v>#REF!</v>
      </c>
      <c r="O1064" t="s">
        <v>16</v>
      </c>
      <c r="P1064" t="s">
        <v>303</v>
      </c>
      <c r="Q1064">
        <v>2.5</v>
      </c>
      <c r="R1064">
        <v>5</v>
      </c>
    </row>
    <row r="1065" spans="1:18" x14ac:dyDescent="0.25">
      <c r="A1065">
        <v>9</v>
      </c>
      <c r="B1065">
        <v>100</v>
      </c>
      <c r="C1065">
        <v>1</v>
      </c>
      <c r="D1065">
        <v>8</v>
      </c>
      <c r="E1065">
        <v>8</v>
      </c>
      <c r="F1065" t="s">
        <v>17</v>
      </c>
      <c r="G1065" t="s">
        <v>221</v>
      </c>
      <c r="H1065" t="s">
        <v>222</v>
      </c>
      <c r="I1065">
        <v>17</v>
      </c>
      <c r="J1065">
        <v>5.4112680651244416</v>
      </c>
      <c r="K1065">
        <v>7</v>
      </c>
      <c r="L1065">
        <v>9</v>
      </c>
      <c r="N1065" t="s">
        <v>20</v>
      </c>
      <c r="O1065" t="s">
        <v>16</v>
      </c>
      <c r="P1065" t="s">
        <v>303</v>
      </c>
      <c r="Q1065">
        <v>10</v>
      </c>
      <c r="R1065">
        <v>5</v>
      </c>
    </row>
    <row r="1066" spans="1:18" x14ac:dyDescent="0.25">
      <c r="A1066">
        <v>12</v>
      </c>
      <c r="B1066">
        <v>5</v>
      </c>
      <c r="D1066">
        <v>9</v>
      </c>
      <c r="E1066">
        <v>9</v>
      </c>
      <c r="F1066" t="s">
        <v>90</v>
      </c>
      <c r="G1066" t="s">
        <v>177</v>
      </c>
      <c r="H1066" t="s">
        <v>178</v>
      </c>
      <c r="L1066">
        <v>1.2</v>
      </c>
      <c r="M1066" t="e">
        <v>#REF!</v>
      </c>
      <c r="O1066" t="s">
        <v>16</v>
      </c>
      <c r="P1066" t="s">
        <v>303</v>
      </c>
      <c r="Q1066">
        <v>2.5</v>
      </c>
      <c r="R1066">
        <v>5</v>
      </c>
    </row>
    <row r="1067" spans="1:18" x14ac:dyDescent="0.25">
      <c r="A1067">
        <v>12</v>
      </c>
      <c r="B1067">
        <v>5</v>
      </c>
      <c r="D1067">
        <v>10</v>
      </c>
      <c r="E1067">
        <v>10</v>
      </c>
      <c r="F1067" t="s">
        <v>90</v>
      </c>
      <c r="G1067" t="s">
        <v>177</v>
      </c>
      <c r="H1067" t="s">
        <v>178</v>
      </c>
      <c r="L1067">
        <v>1.2</v>
      </c>
      <c r="M1067" t="e">
        <v>#REF!</v>
      </c>
      <c r="O1067" t="s">
        <v>16</v>
      </c>
      <c r="P1067" t="s">
        <v>303</v>
      </c>
      <c r="Q1067">
        <v>2.5</v>
      </c>
      <c r="R1067">
        <v>5</v>
      </c>
    </row>
    <row r="1068" spans="1:18" x14ac:dyDescent="0.25">
      <c r="A1068">
        <v>12</v>
      </c>
      <c r="B1068">
        <v>5</v>
      </c>
      <c r="D1068">
        <v>11</v>
      </c>
      <c r="E1068">
        <v>11</v>
      </c>
      <c r="F1068" t="s">
        <v>152</v>
      </c>
      <c r="G1068" t="s">
        <v>232</v>
      </c>
      <c r="H1068" t="s">
        <v>233</v>
      </c>
      <c r="L1068">
        <v>9</v>
      </c>
      <c r="M1068" t="e">
        <v>#REF!</v>
      </c>
      <c r="O1068" t="s">
        <v>16</v>
      </c>
      <c r="P1068" t="s">
        <v>303</v>
      </c>
      <c r="Q1068">
        <v>10</v>
      </c>
      <c r="R1068">
        <v>5</v>
      </c>
    </row>
    <row r="1069" spans="1:18" x14ac:dyDescent="0.25">
      <c r="A1069">
        <v>9</v>
      </c>
      <c r="B1069">
        <v>100</v>
      </c>
      <c r="C1069">
        <v>2</v>
      </c>
      <c r="D1069">
        <v>14</v>
      </c>
      <c r="E1069">
        <v>14</v>
      </c>
      <c r="F1069" t="s">
        <v>17</v>
      </c>
      <c r="G1069" t="s">
        <v>221</v>
      </c>
      <c r="H1069" t="s">
        <v>222</v>
      </c>
      <c r="I1069">
        <v>17</v>
      </c>
      <c r="J1069">
        <v>5.4112680651244416</v>
      </c>
      <c r="K1069">
        <v>9</v>
      </c>
      <c r="L1069">
        <v>12</v>
      </c>
      <c r="N1069" t="s">
        <v>20</v>
      </c>
      <c r="O1069" t="s">
        <v>16</v>
      </c>
      <c r="P1069" t="s">
        <v>303</v>
      </c>
      <c r="Q1069">
        <v>12.5</v>
      </c>
      <c r="R1069">
        <v>5</v>
      </c>
    </row>
    <row r="1070" spans="1:18" x14ac:dyDescent="0.25">
      <c r="A1070">
        <v>9</v>
      </c>
      <c r="B1070">
        <v>100</v>
      </c>
      <c r="C1070">
        <v>2</v>
      </c>
      <c r="D1070">
        <v>16</v>
      </c>
      <c r="E1070">
        <v>16</v>
      </c>
      <c r="F1070" t="s">
        <v>17</v>
      </c>
      <c r="G1070" t="s">
        <v>221</v>
      </c>
      <c r="H1070" t="s">
        <v>222</v>
      </c>
      <c r="I1070">
        <v>19.5</v>
      </c>
      <c r="J1070">
        <v>6.2070427805839179</v>
      </c>
      <c r="K1070">
        <v>4</v>
      </c>
      <c r="L1070">
        <v>9</v>
      </c>
      <c r="N1070" t="s">
        <v>20</v>
      </c>
      <c r="O1070" t="s">
        <v>16</v>
      </c>
      <c r="P1070" t="s">
        <v>303</v>
      </c>
      <c r="Q1070">
        <v>10</v>
      </c>
      <c r="R1070">
        <v>5</v>
      </c>
    </row>
    <row r="1071" spans="1:18" x14ac:dyDescent="0.25">
      <c r="A1071">
        <v>9</v>
      </c>
      <c r="B1071">
        <v>100</v>
      </c>
      <c r="C1071">
        <v>2</v>
      </c>
      <c r="D1071">
        <v>18</v>
      </c>
      <c r="E1071">
        <v>18</v>
      </c>
      <c r="F1071" t="s">
        <v>17</v>
      </c>
      <c r="G1071" t="s">
        <v>221</v>
      </c>
      <c r="H1071" t="s">
        <v>222</v>
      </c>
      <c r="I1071">
        <v>18</v>
      </c>
      <c r="J1071">
        <v>5.7295779513082321</v>
      </c>
      <c r="K1071">
        <v>5</v>
      </c>
      <c r="L1071">
        <v>8</v>
      </c>
      <c r="N1071" t="s">
        <v>20</v>
      </c>
      <c r="O1071" t="s">
        <v>16</v>
      </c>
      <c r="P1071" t="s">
        <v>303</v>
      </c>
      <c r="Q1071">
        <v>7.5</v>
      </c>
      <c r="R1071">
        <v>5</v>
      </c>
    </row>
    <row r="1072" spans="1:18" x14ac:dyDescent="0.25">
      <c r="A1072">
        <v>12</v>
      </c>
      <c r="B1072">
        <v>5</v>
      </c>
      <c r="D1072">
        <v>12</v>
      </c>
      <c r="E1072">
        <v>12</v>
      </c>
      <c r="F1072" t="s">
        <v>152</v>
      </c>
      <c r="G1072" t="s">
        <v>153</v>
      </c>
      <c r="H1072" t="s">
        <v>154</v>
      </c>
      <c r="L1072">
        <v>5</v>
      </c>
      <c r="M1072" t="e">
        <v>#REF!</v>
      </c>
      <c r="O1072" t="s">
        <v>16</v>
      </c>
      <c r="P1072" t="s">
        <v>303</v>
      </c>
      <c r="Q1072">
        <v>5</v>
      </c>
      <c r="R1072">
        <v>5</v>
      </c>
    </row>
    <row r="1073" spans="1:21" x14ac:dyDescent="0.25">
      <c r="A1073">
        <v>9</v>
      </c>
      <c r="B1073">
        <v>100</v>
      </c>
      <c r="C1073">
        <v>2</v>
      </c>
      <c r="D1073">
        <v>22</v>
      </c>
      <c r="E1073">
        <v>22</v>
      </c>
      <c r="F1073" t="s">
        <v>17</v>
      </c>
      <c r="G1073" t="s">
        <v>221</v>
      </c>
      <c r="H1073" t="s">
        <v>222</v>
      </c>
      <c r="I1073">
        <v>18.5</v>
      </c>
      <c r="J1073">
        <v>5.8887328944001274</v>
      </c>
      <c r="K1073">
        <v>8</v>
      </c>
      <c r="L1073">
        <v>11</v>
      </c>
      <c r="N1073" t="s">
        <v>20</v>
      </c>
      <c r="O1073" t="s">
        <v>16</v>
      </c>
      <c r="P1073" t="s">
        <v>303</v>
      </c>
      <c r="Q1073">
        <v>10</v>
      </c>
      <c r="R1073">
        <v>5</v>
      </c>
    </row>
    <row r="1074" spans="1:21" x14ac:dyDescent="0.25">
      <c r="A1074">
        <v>12</v>
      </c>
      <c r="B1074">
        <v>5</v>
      </c>
      <c r="D1074">
        <v>13</v>
      </c>
      <c r="E1074">
        <v>13</v>
      </c>
      <c r="F1074" t="s">
        <v>168</v>
      </c>
      <c r="G1074" t="s">
        <v>169</v>
      </c>
      <c r="H1074" t="s">
        <v>170</v>
      </c>
      <c r="L1074">
        <v>0.8</v>
      </c>
      <c r="M1074" t="e">
        <v>#REF!</v>
      </c>
      <c r="O1074" t="s">
        <v>16</v>
      </c>
      <c r="P1074" t="s">
        <v>303</v>
      </c>
      <c r="Q1074">
        <v>2.5</v>
      </c>
      <c r="R1074">
        <v>5</v>
      </c>
    </row>
    <row r="1075" spans="1:21" x14ac:dyDescent="0.25">
      <c r="A1075">
        <v>12</v>
      </c>
      <c r="B1075">
        <v>5</v>
      </c>
      <c r="D1075">
        <v>14</v>
      </c>
      <c r="E1075">
        <v>14</v>
      </c>
      <c r="F1075" t="s">
        <v>152</v>
      </c>
      <c r="G1075" t="s">
        <v>232</v>
      </c>
      <c r="H1075" t="s">
        <v>233</v>
      </c>
      <c r="L1075">
        <v>4</v>
      </c>
      <c r="M1075" t="e">
        <v>#REF!</v>
      </c>
      <c r="O1075" t="s">
        <v>16</v>
      </c>
      <c r="P1075" t="s">
        <v>303</v>
      </c>
      <c r="Q1075">
        <v>5</v>
      </c>
      <c r="R1075">
        <v>5</v>
      </c>
    </row>
    <row r="1076" spans="1:21" x14ac:dyDescent="0.25">
      <c r="A1076">
        <v>12</v>
      </c>
      <c r="B1076">
        <v>5</v>
      </c>
      <c r="D1076">
        <v>15</v>
      </c>
      <c r="E1076">
        <v>15</v>
      </c>
      <c r="F1076" t="s">
        <v>152</v>
      </c>
      <c r="G1076" t="s">
        <v>232</v>
      </c>
      <c r="H1076" t="s">
        <v>233</v>
      </c>
      <c r="L1076">
        <v>8</v>
      </c>
      <c r="M1076" t="e">
        <v>#REF!</v>
      </c>
      <c r="O1076" t="s">
        <v>16</v>
      </c>
      <c r="P1076" t="s">
        <v>303</v>
      </c>
      <c r="Q1076">
        <v>7.5</v>
      </c>
      <c r="R1076">
        <v>5</v>
      </c>
    </row>
    <row r="1077" spans="1:21" x14ac:dyDescent="0.25">
      <c r="A1077">
        <v>9</v>
      </c>
      <c r="B1077">
        <v>500</v>
      </c>
      <c r="C1077">
        <v>4</v>
      </c>
      <c r="D1077">
        <v>24</v>
      </c>
      <c r="E1077">
        <v>27</v>
      </c>
      <c r="F1077" t="s">
        <v>17</v>
      </c>
      <c r="G1077" t="s">
        <v>221</v>
      </c>
      <c r="H1077" t="s">
        <v>222</v>
      </c>
      <c r="I1077">
        <v>32</v>
      </c>
      <c r="J1077">
        <v>10.185916357881302</v>
      </c>
      <c r="K1077">
        <v>6</v>
      </c>
      <c r="L1077">
        <v>12</v>
      </c>
      <c r="N1077" t="s">
        <v>20</v>
      </c>
      <c r="O1077" t="s">
        <v>16</v>
      </c>
      <c r="P1077" t="s">
        <v>303</v>
      </c>
      <c r="Q1077">
        <v>12.5</v>
      </c>
      <c r="R1077">
        <v>10</v>
      </c>
      <c r="S1077">
        <v>5</v>
      </c>
      <c r="T1077" t="s">
        <v>271</v>
      </c>
      <c r="U1077">
        <v>5.9436373519664056E-2</v>
      </c>
    </row>
    <row r="1078" spans="1:21" x14ac:dyDescent="0.25">
      <c r="A1078">
        <v>10</v>
      </c>
      <c r="B1078">
        <v>100</v>
      </c>
      <c r="C1078">
        <v>3</v>
      </c>
      <c r="D1078">
        <v>36</v>
      </c>
      <c r="E1078">
        <v>36</v>
      </c>
      <c r="F1078" t="s">
        <v>17</v>
      </c>
      <c r="G1078" t="s">
        <v>221</v>
      </c>
      <c r="H1078" t="s">
        <v>222</v>
      </c>
      <c r="I1078">
        <v>22</v>
      </c>
      <c r="J1078">
        <v>7.0028174960433951</v>
      </c>
      <c r="K1078">
        <v>6</v>
      </c>
      <c r="L1078">
        <v>9</v>
      </c>
      <c r="N1078" t="s">
        <v>20</v>
      </c>
      <c r="O1078" t="s">
        <v>16</v>
      </c>
      <c r="P1078" t="s">
        <v>303</v>
      </c>
      <c r="Q1078">
        <v>10</v>
      </c>
      <c r="R1078">
        <v>5</v>
      </c>
    </row>
    <row r="1079" spans="1:21" x14ac:dyDescent="0.25">
      <c r="A1079">
        <v>9</v>
      </c>
      <c r="B1079">
        <v>100</v>
      </c>
      <c r="C1079">
        <v>4</v>
      </c>
      <c r="D1079">
        <v>42</v>
      </c>
      <c r="E1079">
        <v>42</v>
      </c>
      <c r="F1079" t="s">
        <v>17</v>
      </c>
      <c r="G1079" t="s">
        <v>221</v>
      </c>
      <c r="H1079" t="s">
        <v>222</v>
      </c>
      <c r="I1079">
        <v>23.5</v>
      </c>
      <c r="J1079">
        <v>7.4802823253190809</v>
      </c>
      <c r="K1079">
        <v>8</v>
      </c>
      <c r="L1079">
        <v>12</v>
      </c>
      <c r="N1079" t="s">
        <v>20</v>
      </c>
      <c r="O1079" t="s">
        <v>16</v>
      </c>
      <c r="P1079" t="s">
        <v>303</v>
      </c>
      <c r="Q1079">
        <v>12.5</v>
      </c>
      <c r="R1079">
        <v>5</v>
      </c>
    </row>
    <row r="1080" spans="1:21" x14ac:dyDescent="0.25">
      <c r="A1080">
        <v>11</v>
      </c>
      <c r="B1080">
        <v>500</v>
      </c>
      <c r="C1080">
        <v>1</v>
      </c>
      <c r="D1080">
        <v>1</v>
      </c>
      <c r="E1080">
        <v>1</v>
      </c>
      <c r="F1080" t="s">
        <v>73</v>
      </c>
      <c r="G1080" t="s">
        <v>74</v>
      </c>
      <c r="H1080" t="s">
        <v>75</v>
      </c>
      <c r="I1080">
        <v>46</v>
      </c>
      <c r="J1080">
        <v>14.642254764454371</v>
      </c>
      <c r="K1080">
        <v>3.5</v>
      </c>
      <c r="L1080">
        <v>8</v>
      </c>
      <c r="N1080" t="s">
        <v>29</v>
      </c>
      <c r="O1080" t="s">
        <v>16</v>
      </c>
      <c r="P1080" t="s">
        <v>303</v>
      </c>
      <c r="Q1080">
        <v>7.5</v>
      </c>
      <c r="R1080">
        <v>15</v>
      </c>
      <c r="S1080">
        <v>17</v>
      </c>
      <c r="T1080" t="s">
        <v>273</v>
      </c>
      <c r="U1080">
        <v>8.139667044645249E-2</v>
      </c>
    </row>
    <row r="1081" spans="1:21" x14ac:dyDescent="0.25">
      <c r="A1081">
        <v>11</v>
      </c>
      <c r="B1081">
        <v>100</v>
      </c>
      <c r="C1081">
        <v>1</v>
      </c>
      <c r="D1081">
        <v>1</v>
      </c>
      <c r="E1081">
        <v>1</v>
      </c>
      <c r="F1081" t="s">
        <v>73</v>
      </c>
      <c r="G1081" t="s">
        <v>74</v>
      </c>
      <c r="H1081" t="s">
        <v>75</v>
      </c>
      <c r="I1081">
        <v>30</v>
      </c>
      <c r="J1081">
        <v>9.5492965855137211</v>
      </c>
      <c r="K1081">
        <v>3.5</v>
      </c>
      <c r="L1081">
        <v>8</v>
      </c>
      <c r="N1081" t="s">
        <v>20</v>
      </c>
      <c r="O1081" t="s">
        <v>16</v>
      </c>
      <c r="P1081" t="s">
        <v>303</v>
      </c>
      <c r="Q1081">
        <v>7.5</v>
      </c>
      <c r="R1081">
        <v>10</v>
      </c>
    </row>
    <row r="1082" spans="1:21" x14ac:dyDescent="0.25">
      <c r="A1082">
        <v>11</v>
      </c>
      <c r="B1082">
        <v>500</v>
      </c>
      <c r="C1082">
        <v>1</v>
      </c>
      <c r="D1082" t="s">
        <v>172</v>
      </c>
      <c r="E1082">
        <v>2</v>
      </c>
      <c r="F1082" t="s">
        <v>73</v>
      </c>
      <c r="G1082" t="s">
        <v>74</v>
      </c>
      <c r="H1082" t="s">
        <v>75</v>
      </c>
      <c r="I1082">
        <v>35.5</v>
      </c>
      <c r="J1082">
        <v>11.300000959524569</v>
      </c>
      <c r="K1082">
        <v>3</v>
      </c>
      <c r="L1082">
        <v>8</v>
      </c>
      <c r="N1082" t="s">
        <v>20</v>
      </c>
      <c r="O1082" t="s">
        <v>16</v>
      </c>
      <c r="P1082" t="e">
        <v>#VALUE!</v>
      </c>
      <c r="Q1082">
        <v>7.5</v>
      </c>
      <c r="R1082">
        <v>10</v>
      </c>
      <c r="S1082">
        <v>17</v>
      </c>
      <c r="T1082" t="s">
        <v>273</v>
      </c>
      <c r="U1082">
        <v>5.0851898815852531E-2</v>
      </c>
    </row>
    <row r="1083" spans="1:21" x14ac:dyDescent="0.25">
      <c r="A1083">
        <v>11</v>
      </c>
      <c r="B1083">
        <v>100</v>
      </c>
      <c r="C1083">
        <v>1</v>
      </c>
      <c r="D1083">
        <v>2</v>
      </c>
      <c r="E1083">
        <v>2</v>
      </c>
      <c r="F1083" t="s">
        <v>73</v>
      </c>
      <c r="G1083" t="s">
        <v>74</v>
      </c>
      <c r="H1083" t="s">
        <v>75</v>
      </c>
      <c r="I1083">
        <v>24.5</v>
      </c>
      <c r="J1083">
        <v>7.7985922115028714</v>
      </c>
      <c r="K1083">
        <v>4</v>
      </c>
      <c r="L1083">
        <v>8</v>
      </c>
      <c r="N1083" t="s">
        <v>20</v>
      </c>
      <c r="O1083" t="s">
        <v>16</v>
      </c>
      <c r="P1083" t="s">
        <v>303</v>
      </c>
      <c r="Q1083">
        <v>7.5</v>
      </c>
      <c r="R1083">
        <v>10</v>
      </c>
    </row>
    <row r="1084" spans="1:21" x14ac:dyDescent="0.25">
      <c r="A1084">
        <v>6</v>
      </c>
      <c r="B1084">
        <v>500</v>
      </c>
      <c r="C1084">
        <v>1</v>
      </c>
      <c r="D1084">
        <v>3</v>
      </c>
      <c r="E1084">
        <v>3</v>
      </c>
      <c r="F1084" t="s">
        <v>73</v>
      </c>
      <c r="G1084" t="s">
        <v>74</v>
      </c>
      <c r="H1084" t="s">
        <v>75</v>
      </c>
      <c r="I1084">
        <v>35</v>
      </c>
      <c r="J1084">
        <v>11.140846016432674</v>
      </c>
      <c r="K1084">
        <v>6</v>
      </c>
      <c r="L1084">
        <v>10</v>
      </c>
      <c r="N1084" t="s">
        <v>29</v>
      </c>
      <c r="O1084" t="s">
        <v>16</v>
      </c>
      <c r="P1084" t="s">
        <v>303</v>
      </c>
      <c r="Q1084">
        <v>10</v>
      </c>
      <c r="R1084">
        <v>10</v>
      </c>
      <c r="S1084">
        <v>17</v>
      </c>
      <c r="T1084" t="s">
        <v>273</v>
      </c>
      <c r="U1084">
        <v>6.2370344105770845E-2</v>
      </c>
    </row>
    <row r="1085" spans="1:21" x14ac:dyDescent="0.25">
      <c r="A1085">
        <v>5</v>
      </c>
      <c r="B1085">
        <v>100</v>
      </c>
      <c r="C1085">
        <v>1</v>
      </c>
      <c r="D1085">
        <v>2</v>
      </c>
      <c r="E1085">
        <v>3</v>
      </c>
      <c r="F1085" t="s">
        <v>73</v>
      </c>
      <c r="G1085" t="s">
        <v>74</v>
      </c>
      <c r="H1085" t="s">
        <v>75</v>
      </c>
      <c r="I1085">
        <v>28</v>
      </c>
      <c r="J1085">
        <v>8.91267681314614</v>
      </c>
      <c r="K1085">
        <v>5</v>
      </c>
      <c r="L1085">
        <v>14</v>
      </c>
      <c r="N1085" t="s">
        <v>20</v>
      </c>
      <c r="O1085" t="s">
        <v>16</v>
      </c>
      <c r="P1085" t="s">
        <v>303</v>
      </c>
      <c r="Q1085">
        <v>15</v>
      </c>
      <c r="R1085">
        <v>10</v>
      </c>
    </row>
    <row r="1086" spans="1:21" x14ac:dyDescent="0.25">
      <c r="A1086">
        <v>8</v>
      </c>
      <c r="B1086">
        <v>100</v>
      </c>
      <c r="C1086">
        <v>1</v>
      </c>
      <c r="D1086">
        <v>3</v>
      </c>
      <c r="E1086">
        <v>3</v>
      </c>
      <c r="F1086" t="s">
        <v>73</v>
      </c>
      <c r="G1086" t="s">
        <v>74</v>
      </c>
      <c r="H1086" t="s">
        <v>75</v>
      </c>
      <c r="I1086">
        <v>19</v>
      </c>
      <c r="J1086">
        <v>6.0478878374920226</v>
      </c>
      <c r="K1086">
        <v>7</v>
      </c>
      <c r="L1086">
        <v>9</v>
      </c>
      <c r="N1086" t="s">
        <v>20</v>
      </c>
      <c r="O1086" t="s">
        <v>16</v>
      </c>
      <c r="P1086" t="s">
        <v>303</v>
      </c>
      <c r="Q1086">
        <v>10</v>
      </c>
      <c r="R1086">
        <v>5</v>
      </c>
    </row>
    <row r="1087" spans="1:21" x14ac:dyDescent="0.25">
      <c r="A1087">
        <v>5</v>
      </c>
      <c r="B1087">
        <v>500</v>
      </c>
      <c r="C1087">
        <v>1</v>
      </c>
      <c r="D1087">
        <v>4</v>
      </c>
      <c r="E1087">
        <v>4</v>
      </c>
      <c r="F1087" t="s">
        <v>73</v>
      </c>
      <c r="G1087" t="s">
        <v>74</v>
      </c>
      <c r="H1087" t="s">
        <v>75</v>
      </c>
      <c r="I1087">
        <v>37.5</v>
      </c>
      <c r="J1087">
        <v>11.93662073189215</v>
      </c>
      <c r="K1087">
        <v>6</v>
      </c>
      <c r="L1087">
        <v>10</v>
      </c>
      <c r="N1087" t="s">
        <v>20</v>
      </c>
      <c r="O1087" t="s">
        <v>16</v>
      </c>
      <c r="P1087" t="s">
        <v>303</v>
      </c>
      <c r="Q1087">
        <v>10</v>
      </c>
      <c r="R1087">
        <v>10</v>
      </c>
      <c r="S1087">
        <v>17</v>
      </c>
      <c r="T1087" t="s">
        <v>273</v>
      </c>
      <c r="U1087">
        <v>7.0693088734366083E-2</v>
      </c>
    </row>
    <row r="1088" spans="1:21" x14ac:dyDescent="0.25">
      <c r="A1088">
        <v>6</v>
      </c>
      <c r="B1088">
        <v>500</v>
      </c>
      <c r="C1088">
        <v>1</v>
      </c>
      <c r="D1088" t="s">
        <v>86</v>
      </c>
      <c r="E1088">
        <v>4</v>
      </c>
      <c r="F1088" t="s">
        <v>73</v>
      </c>
      <c r="G1088" t="s">
        <v>74</v>
      </c>
      <c r="H1088" t="s">
        <v>75</v>
      </c>
      <c r="I1088">
        <v>32.5</v>
      </c>
      <c r="J1088">
        <v>10.345071300973197</v>
      </c>
      <c r="K1088">
        <v>6</v>
      </c>
      <c r="L1088">
        <v>10</v>
      </c>
      <c r="N1088" t="s">
        <v>20</v>
      </c>
      <c r="O1088" t="s">
        <v>16</v>
      </c>
      <c r="P1088" t="e">
        <v>#VALUE!</v>
      </c>
      <c r="Q1088">
        <v>10</v>
      </c>
      <c r="R1088">
        <v>10</v>
      </c>
      <c r="S1088">
        <v>17</v>
      </c>
      <c r="T1088" t="s">
        <v>273</v>
      </c>
      <c r="U1088">
        <v>5.451879130983666E-2</v>
      </c>
    </row>
    <row r="1089" spans="1:21" x14ac:dyDescent="0.25">
      <c r="A1089">
        <v>8</v>
      </c>
      <c r="B1089">
        <v>100</v>
      </c>
      <c r="C1089">
        <v>1</v>
      </c>
      <c r="D1089">
        <v>4</v>
      </c>
      <c r="E1089">
        <v>4</v>
      </c>
      <c r="F1089" t="s">
        <v>73</v>
      </c>
      <c r="G1089" t="s">
        <v>74</v>
      </c>
      <c r="H1089" t="s">
        <v>75</v>
      </c>
      <c r="I1089">
        <v>25</v>
      </c>
      <c r="J1089">
        <v>7.9577471545947667</v>
      </c>
      <c r="K1089">
        <v>4.5</v>
      </c>
      <c r="L1089">
        <v>9</v>
      </c>
      <c r="N1089" t="s">
        <v>20</v>
      </c>
      <c r="O1089" t="s">
        <v>16</v>
      </c>
      <c r="P1089" t="s">
        <v>303</v>
      </c>
      <c r="Q1089">
        <v>10</v>
      </c>
      <c r="R1089">
        <v>10</v>
      </c>
    </row>
    <row r="1090" spans="1:21" x14ac:dyDescent="0.25">
      <c r="A1090">
        <v>7</v>
      </c>
      <c r="B1090">
        <v>100</v>
      </c>
      <c r="C1090">
        <v>3</v>
      </c>
      <c r="D1090">
        <v>5</v>
      </c>
      <c r="E1090">
        <v>5</v>
      </c>
      <c r="F1090" t="s">
        <v>73</v>
      </c>
      <c r="G1090" t="s">
        <v>74</v>
      </c>
      <c r="H1090" t="s">
        <v>75</v>
      </c>
      <c r="I1090">
        <v>28</v>
      </c>
      <c r="J1090">
        <v>8.91267681314614</v>
      </c>
      <c r="K1090">
        <v>6.5</v>
      </c>
      <c r="L1090">
        <v>11</v>
      </c>
      <c r="N1090" t="s">
        <v>20</v>
      </c>
      <c r="O1090" t="s">
        <v>16</v>
      </c>
      <c r="P1090" t="s">
        <v>303</v>
      </c>
      <c r="Q1090">
        <v>10</v>
      </c>
      <c r="R1090">
        <v>10</v>
      </c>
    </row>
    <row r="1091" spans="1:21" x14ac:dyDescent="0.25">
      <c r="A1091">
        <v>8</v>
      </c>
      <c r="B1091">
        <v>500</v>
      </c>
      <c r="C1091">
        <v>1</v>
      </c>
      <c r="D1091">
        <v>5</v>
      </c>
      <c r="E1091">
        <v>6</v>
      </c>
      <c r="F1091" t="s">
        <v>73</v>
      </c>
      <c r="G1091" t="s">
        <v>74</v>
      </c>
      <c r="H1091" t="s">
        <v>75</v>
      </c>
      <c r="I1091">
        <v>36</v>
      </c>
      <c r="J1091">
        <v>11.459155902616464</v>
      </c>
      <c r="K1091">
        <v>1.8</v>
      </c>
      <c r="L1091">
        <v>10</v>
      </c>
      <c r="N1091" t="s">
        <v>20</v>
      </c>
      <c r="O1091" t="s">
        <v>16</v>
      </c>
      <c r="P1091" t="s">
        <v>303</v>
      </c>
      <c r="Q1091">
        <v>10</v>
      </c>
      <c r="R1091">
        <v>10</v>
      </c>
      <c r="S1091">
        <v>17</v>
      </c>
      <c r="T1091" t="s">
        <v>273</v>
      </c>
      <c r="U1091">
        <v>6.5643243928823439E-2</v>
      </c>
    </row>
    <row r="1092" spans="1:21" x14ac:dyDescent="0.25">
      <c r="A1092">
        <v>7</v>
      </c>
      <c r="B1092">
        <v>500</v>
      </c>
      <c r="C1092">
        <v>1</v>
      </c>
      <c r="D1092">
        <v>6</v>
      </c>
      <c r="E1092">
        <v>7</v>
      </c>
      <c r="F1092" t="s">
        <v>73</v>
      </c>
      <c r="G1092" t="s">
        <v>74</v>
      </c>
      <c r="H1092" t="s">
        <v>75</v>
      </c>
      <c r="I1092">
        <v>123</v>
      </c>
      <c r="J1092">
        <v>39.152116000606256</v>
      </c>
      <c r="K1092">
        <v>6</v>
      </c>
      <c r="L1092">
        <v>13</v>
      </c>
      <c r="N1092" t="s">
        <v>20</v>
      </c>
      <c r="O1092" t="s">
        <v>183</v>
      </c>
      <c r="P1092" t="s">
        <v>303</v>
      </c>
      <c r="Q1092">
        <v>12.5</v>
      </c>
      <c r="R1092">
        <v>40</v>
      </c>
      <c r="S1092">
        <v>17</v>
      </c>
      <c r="T1092" t="s">
        <v>273</v>
      </c>
      <c r="U1092">
        <v>0.80050142259012025</v>
      </c>
    </row>
    <row r="1093" spans="1:21" x14ac:dyDescent="0.25">
      <c r="A1093">
        <v>8</v>
      </c>
      <c r="B1093">
        <v>100</v>
      </c>
      <c r="C1093">
        <v>1</v>
      </c>
      <c r="D1093">
        <v>7</v>
      </c>
      <c r="E1093">
        <v>7</v>
      </c>
      <c r="F1093" t="s">
        <v>73</v>
      </c>
      <c r="G1093" t="s">
        <v>74</v>
      </c>
      <c r="H1093" t="s">
        <v>75</v>
      </c>
      <c r="I1093">
        <v>28</v>
      </c>
      <c r="J1093">
        <v>8.91267681314614</v>
      </c>
      <c r="K1093">
        <v>6</v>
      </c>
      <c r="L1093">
        <v>9</v>
      </c>
      <c r="N1093" t="s">
        <v>20</v>
      </c>
      <c r="O1093" t="s">
        <v>16</v>
      </c>
      <c r="P1093" t="s">
        <v>303</v>
      </c>
      <c r="Q1093">
        <v>10</v>
      </c>
      <c r="R1093">
        <v>10</v>
      </c>
    </row>
    <row r="1094" spans="1:21" x14ac:dyDescent="0.25">
      <c r="A1094">
        <v>7</v>
      </c>
      <c r="B1094">
        <v>500</v>
      </c>
      <c r="C1094">
        <v>1</v>
      </c>
      <c r="D1094" t="s">
        <v>193</v>
      </c>
      <c r="E1094">
        <v>8</v>
      </c>
      <c r="F1094" t="s">
        <v>73</v>
      </c>
      <c r="G1094" t="s">
        <v>74</v>
      </c>
      <c r="H1094" t="s">
        <v>75</v>
      </c>
      <c r="I1094">
        <v>68</v>
      </c>
      <c r="J1094">
        <v>21.645072260497766</v>
      </c>
      <c r="K1094">
        <v>6</v>
      </c>
      <c r="L1094">
        <v>13</v>
      </c>
      <c r="N1094" t="s">
        <v>20</v>
      </c>
      <c r="O1094" t="s">
        <v>16</v>
      </c>
      <c r="P1094" t="e">
        <v>#VALUE!</v>
      </c>
      <c r="Q1094">
        <v>12.5</v>
      </c>
      <c r="R1094">
        <v>20</v>
      </c>
      <c r="S1094">
        <v>17</v>
      </c>
      <c r="T1094" t="s">
        <v>273</v>
      </c>
      <c r="U1094">
        <v>0.27293188980277572</v>
      </c>
    </row>
    <row r="1095" spans="1:21" x14ac:dyDescent="0.25">
      <c r="A1095">
        <v>12</v>
      </c>
      <c r="B1095">
        <v>500</v>
      </c>
      <c r="C1095">
        <v>3</v>
      </c>
      <c r="D1095">
        <v>7</v>
      </c>
      <c r="E1095">
        <v>8</v>
      </c>
      <c r="F1095" t="s">
        <v>73</v>
      </c>
      <c r="G1095" t="s">
        <v>74</v>
      </c>
      <c r="H1095" t="s">
        <v>75</v>
      </c>
      <c r="I1095">
        <v>38.5</v>
      </c>
      <c r="J1095">
        <v>12.254930618075941</v>
      </c>
      <c r="K1095">
        <v>5</v>
      </c>
      <c r="L1095">
        <v>11</v>
      </c>
      <c r="N1095" t="s">
        <v>20</v>
      </c>
      <c r="O1095" t="s">
        <v>16</v>
      </c>
      <c r="P1095" t="s">
        <v>303</v>
      </c>
      <c r="Q1095">
        <v>10</v>
      </c>
      <c r="R1095">
        <v>10</v>
      </c>
      <c r="S1095">
        <v>17</v>
      </c>
      <c r="T1095" t="s">
        <v>273</v>
      </c>
      <c r="U1095">
        <v>8.1804648924443071E-2</v>
      </c>
    </row>
    <row r="1096" spans="1:21" x14ac:dyDescent="0.25">
      <c r="A1096">
        <v>7</v>
      </c>
      <c r="B1096">
        <v>500</v>
      </c>
      <c r="C1096">
        <v>1</v>
      </c>
      <c r="D1096" t="s">
        <v>194</v>
      </c>
      <c r="E1096">
        <v>9</v>
      </c>
      <c r="F1096" t="s">
        <v>73</v>
      </c>
      <c r="G1096" t="s">
        <v>74</v>
      </c>
      <c r="H1096" t="s">
        <v>75</v>
      </c>
      <c r="I1096">
        <v>58</v>
      </c>
      <c r="J1096">
        <v>18.461973398659861</v>
      </c>
      <c r="K1096">
        <v>1.8</v>
      </c>
      <c r="L1096">
        <v>12</v>
      </c>
      <c r="N1096" t="s">
        <v>20</v>
      </c>
      <c r="O1096" t="s">
        <v>16</v>
      </c>
      <c r="P1096" t="e">
        <v>#VALUE!</v>
      </c>
      <c r="Q1096">
        <v>12.5</v>
      </c>
      <c r="R1096">
        <v>20</v>
      </c>
      <c r="S1096">
        <v>17</v>
      </c>
      <c r="T1096" t="s">
        <v>273</v>
      </c>
      <c r="U1096">
        <v>0.18828598348685746</v>
      </c>
    </row>
    <row r="1097" spans="1:21" x14ac:dyDescent="0.25">
      <c r="A1097">
        <v>12</v>
      </c>
      <c r="B1097">
        <v>500</v>
      </c>
      <c r="C1097">
        <v>3</v>
      </c>
      <c r="D1097">
        <v>9</v>
      </c>
      <c r="E1097">
        <v>10</v>
      </c>
      <c r="F1097" t="s">
        <v>73</v>
      </c>
      <c r="G1097" t="s">
        <v>74</v>
      </c>
      <c r="H1097" t="s">
        <v>75</v>
      </c>
      <c r="I1097">
        <v>33</v>
      </c>
      <c r="J1097">
        <v>10.504226244065093</v>
      </c>
      <c r="K1097">
        <v>4.5</v>
      </c>
      <c r="L1097">
        <v>10</v>
      </c>
      <c r="N1097" t="s">
        <v>20</v>
      </c>
      <c r="O1097" t="s">
        <v>16</v>
      </c>
      <c r="P1097" t="s">
        <v>303</v>
      </c>
      <c r="Q1097">
        <v>10</v>
      </c>
      <c r="R1097">
        <v>10</v>
      </c>
      <c r="S1097">
        <v>17</v>
      </c>
      <c r="T1097" t="s">
        <v>273</v>
      </c>
      <c r="U1097">
        <v>5.6051103143577655E-2</v>
      </c>
    </row>
    <row r="1098" spans="1:21" x14ac:dyDescent="0.25">
      <c r="A1098">
        <v>4</v>
      </c>
      <c r="B1098">
        <v>500</v>
      </c>
      <c r="C1098">
        <v>1</v>
      </c>
      <c r="D1098">
        <v>11</v>
      </c>
      <c r="E1098">
        <v>11</v>
      </c>
      <c r="F1098" t="s">
        <v>73</v>
      </c>
      <c r="G1098" t="s">
        <v>74</v>
      </c>
      <c r="H1098" t="s">
        <v>75</v>
      </c>
      <c r="I1098">
        <v>34</v>
      </c>
      <c r="J1098">
        <v>10.822536130248883</v>
      </c>
      <c r="K1098">
        <v>6</v>
      </c>
      <c r="L1098">
        <v>10</v>
      </c>
      <c r="N1098" t="s">
        <v>20</v>
      </c>
      <c r="O1098" t="s">
        <v>16</v>
      </c>
      <c r="P1098" t="s">
        <v>303</v>
      </c>
      <c r="Q1098">
        <v>10</v>
      </c>
      <c r="R1098">
        <v>10</v>
      </c>
      <c r="S1098">
        <v>17</v>
      </c>
      <c r="T1098" t="s">
        <v>273</v>
      </c>
      <c r="U1098">
        <v>5.9172829084870877E-2</v>
      </c>
    </row>
    <row r="1099" spans="1:21" x14ac:dyDescent="0.25">
      <c r="A1099">
        <v>5</v>
      </c>
      <c r="B1099">
        <v>500</v>
      </c>
      <c r="C1099">
        <v>1</v>
      </c>
      <c r="D1099">
        <v>11</v>
      </c>
      <c r="E1099">
        <v>11</v>
      </c>
      <c r="F1099" t="s">
        <v>73</v>
      </c>
      <c r="G1099" t="s">
        <v>74</v>
      </c>
      <c r="H1099" t="s">
        <v>75</v>
      </c>
      <c r="I1099">
        <v>36.5</v>
      </c>
      <c r="J1099">
        <v>11.618310845708359</v>
      </c>
      <c r="K1099">
        <v>3</v>
      </c>
      <c r="L1099">
        <v>9</v>
      </c>
      <c r="N1099" t="s">
        <v>29</v>
      </c>
      <c r="O1099" t="s">
        <v>16</v>
      </c>
      <c r="P1099" t="s">
        <v>303</v>
      </c>
      <c r="Q1099">
        <v>10</v>
      </c>
      <c r="R1099">
        <v>10</v>
      </c>
      <c r="S1099">
        <v>17</v>
      </c>
      <c r="T1099" t="s">
        <v>273</v>
      </c>
      <c r="U1099">
        <v>6.0383403395902875E-2</v>
      </c>
    </row>
    <row r="1100" spans="1:21" x14ac:dyDescent="0.25">
      <c r="A1100">
        <v>4</v>
      </c>
      <c r="B1100">
        <v>500</v>
      </c>
      <c r="C1100">
        <v>1</v>
      </c>
      <c r="D1100">
        <v>12</v>
      </c>
      <c r="E1100">
        <v>12</v>
      </c>
      <c r="F1100" t="s">
        <v>73</v>
      </c>
      <c r="G1100" t="s">
        <v>74</v>
      </c>
      <c r="H1100" t="s">
        <v>75</v>
      </c>
      <c r="I1100">
        <v>49.5</v>
      </c>
      <c r="J1100">
        <v>15.756339366097638</v>
      </c>
      <c r="K1100">
        <v>6</v>
      </c>
      <c r="L1100">
        <v>12</v>
      </c>
      <c r="N1100" t="s">
        <v>20</v>
      </c>
      <c r="O1100" t="s">
        <v>16</v>
      </c>
      <c r="P1100" t="s">
        <v>303</v>
      </c>
      <c r="Q1100">
        <v>12.5</v>
      </c>
      <c r="R1100">
        <v>15</v>
      </c>
      <c r="S1100">
        <v>17</v>
      </c>
      <c r="T1100" t="s">
        <v>273</v>
      </c>
      <c r="U1100">
        <v>0.141211108885963</v>
      </c>
    </row>
    <row r="1101" spans="1:21" x14ac:dyDescent="0.25">
      <c r="A1101">
        <v>5</v>
      </c>
      <c r="B1101">
        <v>500</v>
      </c>
      <c r="C1101">
        <v>1</v>
      </c>
      <c r="D1101">
        <v>12</v>
      </c>
      <c r="E1101">
        <v>12</v>
      </c>
      <c r="F1101" t="s">
        <v>73</v>
      </c>
      <c r="G1101" t="s">
        <v>74</v>
      </c>
      <c r="H1101" t="s">
        <v>75</v>
      </c>
      <c r="I1101">
        <v>37</v>
      </c>
      <c r="J1101">
        <v>11.777465788800255</v>
      </c>
      <c r="K1101">
        <v>6</v>
      </c>
      <c r="L1101">
        <v>13</v>
      </c>
      <c r="N1101" t="s">
        <v>20</v>
      </c>
      <c r="O1101" t="s">
        <v>16</v>
      </c>
      <c r="P1101" t="s">
        <v>303</v>
      </c>
      <c r="Q1101">
        <v>12.5</v>
      </c>
      <c r="R1101">
        <v>10</v>
      </c>
      <c r="S1101">
        <v>17</v>
      </c>
      <c r="T1101" t="s">
        <v>273</v>
      </c>
      <c r="U1101">
        <v>9.0406450691164611E-2</v>
      </c>
    </row>
    <row r="1102" spans="1:21" x14ac:dyDescent="0.25">
      <c r="A1102">
        <v>5</v>
      </c>
      <c r="B1102">
        <v>500</v>
      </c>
      <c r="C1102">
        <v>1</v>
      </c>
      <c r="D1102" t="s">
        <v>171</v>
      </c>
      <c r="E1102">
        <v>13</v>
      </c>
      <c r="F1102" t="s">
        <v>73</v>
      </c>
      <c r="G1102" t="s">
        <v>74</v>
      </c>
      <c r="H1102" t="s">
        <v>75</v>
      </c>
      <c r="I1102">
        <v>32.5</v>
      </c>
      <c r="J1102">
        <v>10.345071300973197</v>
      </c>
      <c r="K1102">
        <v>4</v>
      </c>
      <c r="L1102">
        <v>10</v>
      </c>
      <c r="N1102" t="s">
        <v>20</v>
      </c>
      <c r="O1102" t="s">
        <v>16</v>
      </c>
      <c r="P1102" t="e">
        <v>#VALUE!</v>
      </c>
      <c r="Q1102">
        <v>10</v>
      </c>
      <c r="R1102">
        <v>10</v>
      </c>
      <c r="S1102">
        <v>17</v>
      </c>
      <c r="T1102" t="s">
        <v>273</v>
      </c>
      <c r="U1102">
        <v>5.451879130983666E-2</v>
      </c>
    </row>
    <row r="1103" spans="1:21" x14ac:dyDescent="0.25">
      <c r="A1103">
        <v>11</v>
      </c>
      <c r="B1103">
        <v>500</v>
      </c>
      <c r="C1103">
        <v>3</v>
      </c>
      <c r="D1103">
        <v>12</v>
      </c>
      <c r="E1103">
        <v>13</v>
      </c>
      <c r="F1103" t="s">
        <v>73</v>
      </c>
      <c r="G1103" t="s">
        <v>74</v>
      </c>
      <c r="H1103" t="s">
        <v>75</v>
      </c>
      <c r="I1103">
        <v>34.5</v>
      </c>
      <c r="J1103">
        <v>10.981691073340778</v>
      </c>
      <c r="K1103">
        <v>6</v>
      </c>
      <c r="L1103">
        <v>12</v>
      </c>
      <c r="N1103" t="s">
        <v>20</v>
      </c>
      <c r="O1103" t="s">
        <v>16</v>
      </c>
      <c r="P1103" t="s">
        <v>303</v>
      </c>
      <c r="Q1103">
        <v>12.5</v>
      </c>
      <c r="R1103">
        <v>10</v>
      </c>
      <c r="S1103">
        <v>17</v>
      </c>
      <c r="T1103" t="s">
        <v>273</v>
      </c>
      <c r="U1103">
        <v>7.3319691646719198E-2</v>
      </c>
    </row>
    <row r="1104" spans="1:21" x14ac:dyDescent="0.25">
      <c r="A1104">
        <v>2</v>
      </c>
      <c r="B1104">
        <v>100</v>
      </c>
      <c r="C1104">
        <v>4</v>
      </c>
      <c r="D1104">
        <v>14</v>
      </c>
      <c r="E1104">
        <v>14</v>
      </c>
      <c r="F1104" t="s">
        <v>73</v>
      </c>
      <c r="G1104" t="s">
        <v>74</v>
      </c>
      <c r="H1104" t="s">
        <v>75</v>
      </c>
      <c r="I1104">
        <v>17</v>
      </c>
      <c r="J1104">
        <v>5.4112680651244416</v>
      </c>
      <c r="K1104">
        <v>2.5</v>
      </c>
      <c r="L1104">
        <v>5</v>
      </c>
      <c r="N1104" t="s">
        <v>20</v>
      </c>
      <c r="O1104" t="s">
        <v>16</v>
      </c>
      <c r="P1104" t="s">
        <v>303</v>
      </c>
      <c r="Q1104">
        <v>5</v>
      </c>
      <c r="R1104">
        <v>5</v>
      </c>
    </row>
    <row r="1105" spans="1:21" x14ac:dyDescent="0.25">
      <c r="A1105">
        <v>3</v>
      </c>
      <c r="B1105">
        <v>100</v>
      </c>
      <c r="C1105">
        <v>4</v>
      </c>
      <c r="D1105">
        <v>17</v>
      </c>
      <c r="E1105">
        <v>17</v>
      </c>
      <c r="F1105" t="s">
        <v>73</v>
      </c>
      <c r="G1105" t="s">
        <v>74</v>
      </c>
      <c r="H1105" t="s">
        <v>75</v>
      </c>
      <c r="I1105">
        <v>31</v>
      </c>
      <c r="J1105">
        <v>9.8676064716975116</v>
      </c>
      <c r="K1105">
        <v>8</v>
      </c>
      <c r="L1105">
        <v>10</v>
      </c>
      <c r="N1105" t="s">
        <v>20</v>
      </c>
      <c r="O1105" t="s">
        <v>16</v>
      </c>
      <c r="P1105" t="s">
        <v>303</v>
      </c>
      <c r="Q1105">
        <v>10</v>
      </c>
      <c r="R1105">
        <v>10</v>
      </c>
    </row>
    <row r="1106" spans="1:21" x14ac:dyDescent="0.25">
      <c r="A1106">
        <v>1</v>
      </c>
      <c r="B1106">
        <v>500</v>
      </c>
      <c r="C1106">
        <v>3</v>
      </c>
      <c r="D1106">
        <v>18</v>
      </c>
      <c r="E1106">
        <v>21</v>
      </c>
      <c r="F1106" t="s">
        <v>73</v>
      </c>
      <c r="G1106" t="s">
        <v>74</v>
      </c>
      <c r="H1106" t="s">
        <v>75</v>
      </c>
      <c r="I1106">
        <v>175</v>
      </c>
      <c r="J1106">
        <v>55.70423008216337</v>
      </c>
      <c r="K1106">
        <v>5</v>
      </c>
      <c r="L1106">
        <v>19</v>
      </c>
      <c r="N1106" t="s">
        <v>20</v>
      </c>
      <c r="O1106" t="s">
        <v>16</v>
      </c>
      <c r="P1106" t="s">
        <v>303</v>
      </c>
      <c r="Q1106">
        <v>20</v>
      </c>
      <c r="R1106">
        <v>55</v>
      </c>
      <c r="S1106">
        <v>17</v>
      </c>
      <c r="T1106" t="s">
        <v>273</v>
      </c>
      <c r="U1106">
        <v>2.2448990167528335</v>
      </c>
    </row>
    <row r="1107" spans="1:21" x14ac:dyDescent="0.25">
      <c r="A1107">
        <v>4</v>
      </c>
      <c r="B1107">
        <v>500</v>
      </c>
      <c r="C1107">
        <v>2</v>
      </c>
      <c r="D1107">
        <v>20</v>
      </c>
      <c r="E1107">
        <v>21</v>
      </c>
      <c r="F1107" t="s">
        <v>73</v>
      </c>
      <c r="G1107" t="s">
        <v>74</v>
      </c>
      <c r="H1107" t="s">
        <v>75</v>
      </c>
      <c r="I1107">
        <v>36</v>
      </c>
      <c r="J1107">
        <v>11.459155902616464</v>
      </c>
      <c r="K1107">
        <v>6</v>
      </c>
      <c r="L1107">
        <v>12</v>
      </c>
      <c r="N1107" t="s">
        <v>20</v>
      </c>
      <c r="O1107" t="s">
        <v>16</v>
      </c>
      <c r="P1107" t="s">
        <v>303</v>
      </c>
      <c r="Q1107">
        <v>12.5</v>
      </c>
      <c r="R1107">
        <v>10</v>
      </c>
      <c r="S1107">
        <v>17</v>
      </c>
      <c r="T1107" t="s">
        <v>273</v>
      </c>
      <c r="U1107">
        <v>7.9209562371578848E-2</v>
      </c>
    </row>
    <row r="1108" spans="1:21" x14ac:dyDescent="0.25">
      <c r="A1108">
        <v>12</v>
      </c>
      <c r="B1108">
        <v>5</v>
      </c>
      <c r="D1108">
        <v>16</v>
      </c>
      <c r="E1108">
        <v>16</v>
      </c>
      <c r="F1108" t="s">
        <v>152</v>
      </c>
      <c r="G1108" t="s">
        <v>232</v>
      </c>
      <c r="H1108" t="s">
        <v>233</v>
      </c>
      <c r="L1108">
        <v>8</v>
      </c>
      <c r="M1108" t="e">
        <v>#REF!</v>
      </c>
      <c r="O1108" t="s">
        <v>16</v>
      </c>
      <c r="P1108" t="s">
        <v>303</v>
      </c>
      <c r="Q1108">
        <v>7.5</v>
      </c>
      <c r="R1108">
        <v>5</v>
      </c>
    </row>
    <row r="1109" spans="1:21" x14ac:dyDescent="0.25">
      <c r="A1109">
        <v>9</v>
      </c>
      <c r="B1109">
        <v>500</v>
      </c>
      <c r="C1109">
        <v>4</v>
      </c>
      <c r="D1109">
        <v>21</v>
      </c>
      <c r="E1109">
        <v>22</v>
      </c>
      <c r="F1109" t="s">
        <v>73</v>
      </c>
      <c r="G1109" t="s">
        <v>74</v>
      </c>
      <c r="H1109" t="s">
        <v>75</v>
      </c>
      <c r="I1109">
        <v>41.5</v>
      </c>
      <c r="J1109">
        <v>13.209860276627314</v>
      </c>
      <c r="K1109">
        <v>6</v>
      </c>
      <c r="L1109">
        <v>13</v>
      </c>
      <c r="N1109" t="s">
        <v>20</v>
      </c>
      <c r="O1109" t="s">
        <v>16</v>
      </c>
      <c r="P1109" t="s">
        <v>303</v>
      </c>
      <c r="Q1109">
        <v>12.5</v>
      </c>
      <c r="R1109">
        <v>15</v>
      </c>
      <c r="S1109">
        <v>17</v>
      </c>
      <c r="T1109" t="s">
        <v>273</v>
      </c>
      <c r="U1109">
        <v>0.11135160530671286</v>
      </c>
    </row>
    <row r="1110" spans="1:21" x14ac:dyDescent="0.25">
      <c r="A1110">
        <v>9</v>
      </c>
      <c r="B1110">
        <v>500</v>
      </c>
      <c r="C1110">
        <v>4</v>
      </c>
      <c r="D1110" t="s">
        <v>114</v>
      </c>
      <c r="E1110">
        <v>23</v>
      </c>
      <c r="F1110" t="s">
        <v>73</v>
      </c>
      <c r="G1110" t="s">
        <v>74</v>
      </c>
      <c r="H1110" t="s">
        <v>75</v>
      </c>
      <c r="I1110">
        <v>35</v>
      </c>
      <c r="J1110">
        <v>11.140846016432674</v>
      </c>
      <c r="K1110">
        <v>6</v>
      </c>
      <c r="L1110">
        <v>12</v>
      </c>
      <c r="N1110" t="s">
        <v>20</v>
      </c>
      <c r="O1110" t="s">
        <v>16</v>
      </c>
      <c r="P1110" t="e">
        <v>#VALUE!</v>
      </c>
      <c r="Q1110">
        <v>12.5</v>
      </c>
      <c r="R1110">
        <v>10</v>
      </c>
      <c r="S1110">
        <v>17</v>
      </c>
      <c r="T1110" t="s">
        <v>273</v>
      </c>
      <c r="U1110">
        <v>7.5260260856999356E-2</v>
      </c>
    </row>
    <row r="1111" spans="1:21" x14ac:dyDescent="0.25">
      <c r="A1111">
        <v>4</v>
      </c>
      <c r="B1111">
        <v>500</v>
      </c>
      <c r="C1111">
        <v>2</v>
      </c>
      <c r="D1111">
        <v>23</v>
      </c>
      <c r="E1111">
        <v>24</v>
      </c>
      <c r="F1111" t="s">
        <v>73</v>
      </c>
      <c r="G1111" t="s">
        <v>74</v>
      </c>
      <c r="H1111" t="s">
        <v>75</v>
      </c>
      <c r="I1111">
        <v>34</v>
      </c>
      <c r="J1111">
        <v>10.822536130248883</v>
      </c>
      <c r="K1111">
        <v>6.5</v>
      </c>
      <c r="L1111">
        <v>10</v>
      </c>
      <c r="N1111" t="s">
        <v>20</v>
      </c>
      <c r="O1111" t="s">
        <v>16</v>
      </c>
      <c r="P1111" t="s">
        <v>303</v>
      </c>
      <c r="Q1111">
        <v>10</v>
      </c>
      <c r="R1111">
        <v>10</v>
      </c>
      <c r="S1111">
        <v>17</v>
      </c>
      <c r="T1111" t="s">
        <v>273</v>
      </c>
      <c r="U1111">
        <v>5.9172829084870877E-2</v>
      </c>
    </row>
    <row r="1112" spans="1:21" x14ac:dyDescent="0.25">
      <c r="A1112">
        <v>9</v>
      </c>
      <c r="B1112">
        <v>500</v>
      </c>
      <c r="C1112">
        <v>4</v>
      </c>
      <c r="D1112" t="s">
        <v>223</v>
      </c>
      <c r="E1112">
        <v>24</v>
      </c>
      <c r="F1112" t="s">
        <v>73</v>
      </c>
      <c r="G1112" t="s">
        <v>74</v>
      </c>
      <c r="H1112" t="s">
        <v>75</v>
      </c>
      <c r="I1112">
        <v>39.5</v>
      </c>
      <c r="J1112">
        <v>12.573240504259733</v>
      </c>
      <c r="K1112">
        <v>6</v>
      </c>
      <c r="L1112">
        <v>12</v>
      </c>
      <c r="N1112" t="s">
        <v>20</v>
      </c>
      <c r="O1112" t="s">
        <v>16</v>
      </c>
      <c r="P1112" t="e">
        <v>#VALUE!</v>
      </c>
      <c r="Q1112">
        <v>12.5</v>
      </c>
      <c r="R1112">
        <v>15</v>
      </c>
      <c r="S1112">
        <v>17</v>
      </c>
      <c r="T1112" t="s">
        <v>273</v>
      </c>
      <c r="U1112">
        <v>9.3741789059976335E-2</v>
      </c>
    </row>
    <row r="1113" spans="1:21" x14ac:dyDescent="0.25">
      <c r="A1113">
        <v>8</v>
      </c>
      <c r="B1113">
        <v>100</v>
      </c>
      <c r="C1113">
        <v>4</v>
      </c>
      <c r="D1113">
        <v>26</v>
      </c>
      <c r="E1113">
        <v>26</v>
      </c>
      <c r="F1113" t="s">
        <v>73</v>
      </c>
      <c r="G1113" t="s">
        <v>74</v>
      </c>
      <c r="H1113" t="s">
        <v>75</v>
      </c>
      <c r="I1113">
        <v>24.5</v>
      </c>
      <c r="J1113">
        <v>7.7985922115028714</v>
      </c>
      <c r="K1113">
        <v>2</v>
      </c>
      <c r="L1113">
        <v>8</v>
      </c>
      <c r="N1113" t="s">
        <v>20</v>
      </c>
      <c r="O1113" t="s">
        <v>206</v>
      </c>
      <c r="P1113" t="s">
        <v>303</v>
      </c>
      <c r="Q1113">
        <v>7.5</v>
      </c>
      <c r="R1113">
        <v>10</v>
      </c>
    </row>
    <row r="1114" spans="1:21" x14ac:dyDescent="0.25">
      <c r="A1114">
        <v>5</v>
      </c>
      <c r="B1114">
        <v>100</v>
      </c>
      <c r="C1114">
        <v>4</v>
      </c>
      <c r="D1114">
        <v>28</v>
      </c>
      <c r="E1114">
        <v>30</v>
      </c>
      <c r="F1114" t="s">
        <v>73</v>
      </c>
      <c r="G1114" t="s">
        <v>74</v>
      </c>
      <c r="H1114" t="s">
        <v>75</v>
      </c>
      <c r="I1114">
        <v>30.3</v>
      </c>
      <c r="J1114">
        <v>9.6447895513688575</v>
      </c>
      <c r="K1114">
        <v>6</v>
      </c>
      <c r="L1114">
        <v>11</v>
      </c>
      <c r="N1114" t="s">
        <v>20</v>
      </c>
      <c r="O1114" t="s">
        <v>16</v>
      </c>
      <c r="P1114" t="s">
        <v>303</v>
      </c>
      <c r="Q1114">
        <v>10</v>
      </c>
      <c r="R1114">
        <v>10</v>
      </c>
    </row>
    <row r="1115" spans="1:21" x14ac:dyDescent="0.25">
      <c r="A1115">
        <v>5</v>
      </c>
      <c r="B1115">
        <v>100</v>
      </c>
      <c r="C1115">
        <v>4</v>
      </c>
      <c r="D1115">
        <v>29</v>
      </c>
      <c r="E1115">
        <v>31</v>
      </c>
      <c r="F1115" t="s">
        <v>73</v>
      </c>
      <c r="G1115" t="s">
        <v>74</v>
      </c>
      <c r="H1115" t="s">
        <v>75</v>
      </c>
      <c r="I1115">
        <v>25.5</v>
      </c>
      <c r="J1115">
        <v>8.1169020976866619</v>
      </c>
      <c r="K1115">
        <v>5</v>
      </c>
      <c r="L1115">
        <v>9</v>
      </c>
      <c r="N1115" t="s">
        <v>20</v>
      </c>
      <c r="O1115" t="s">
        <v>16</v>
      </c>
      <c r="P1115" t="s">
        <v>303</v>
      </c>
      <c r="Q1115">
        <v>10</v>
      </c>
      <c r="R1115">
        <v>10</v>
      </c>
    </row>
    <row r="1116" spans="1:21" x14ac:dyDescent="0.25">
      <c r="A1116">
        <v>5</v>
      </c>
      <c r="B1116">
        <v>100</v>
      </c>
      <c r="C1116">
        <v>4</v>
      </c>
      <c r="D1116">
        <v>30</v>
      </c>
      <c r="E1116">
        <v>32</v>
      </c>
      <c r="F1116" t="s">
        <v>73</v>
      </c>
      <c r="G1116" t="s">
        <v>74</v>
      </c>
      <c r="H1116" t="s">
        <v>75</v>
      </c>
      <c r="I1116">
        <v>22.5</v>
      </c>
      <c r="J1116">
        <v>7.1619724391352904</v>
      </c>
      <c r="K1116">
        <v>4.5</v>
      </c>
      <c r="L1116">
        <v>8</v>
      </c>
      <c r="N1116" t="s">
        <v>20</v>
      </c>
      <c r="O1116" t="s">
        <v>16</v>
      </c>
      <c r="P1116" t="s">
        <v>303</v>
      </c>
      <c r="Q1116">
        <v>7.5</v>
      </c>
      <c r="R1116">
        <v>5</v>
      </c>
    </row>
    <row r="1117" spans="1:21" x14ac:dyDescent="0.25">
      <c r="A1117">
        <v>2</v>
      </c>
      <c r="B1117">
        <v>500</v>
      </c>
      <c r="C1117">
        <v>2</v>
      </c>
      <c r="D1117">
        <v>32</v>
      </c>
      <c r="E1117">
        <v>33</v>
      </c>
      <c r="F1117" t="s">
        <v>73</v>
      </c>
      <c r="G1117" t="s">
        <v>74</v>
      </c>
      <c r="H1117" t="s">
        <v>75</v>
      </c>
      <c r="I1117">
        <v>37.5</v>
      </c>
      <c r="J1117">
        <v>11.93662073189215</v>
      </c>
      <c r="K1117">
        <v>8</v>
      </c>
      <c r="L1117">
        <v>12</v>
      </c>
      <c r="N1117" t="s">
        <v>20</v>
      </c>
      <c r="O1117" t="s">
        <v>16</v>
      </c>
      <c r="P1117" t="s">
        <v>303</v>
      </c>
      <c r="Q1117">
        <v>12.5</v>
      </c>
      <c r="R1117">
        <v>10</v>
      </c>
      <c r="S1117">
        <v>17</v>
      </c>
      <c r="T1117" t="s">
        <v>273</v>
      </c>
      <c r="U1117">
        <v>8.5303045465210489E-2</v>
      </c>
    </row>
    <row r="1118" spans="1:21" x14ac:dyDescent="0.25">
      <c r="A1118">
        <v>5</v>
      </c>
      <c r="B1118">
        <v>100</v>
      </c>
      <c r="C1118">
        <v>4</v>
      </c>
      <c r="D1118">
        <v>31</v>
      </c>
      <c r="E1118">
        <v>33</v>
      </c>
      <c r="F1118" t="s">
        <v>73</v>
      </c>
      <c r="G1118" t="s">
        <v>74</v>
      </c>
      <c r="H1118" t="s">
        <v>75</v>
      </c>
      <c r="I1118">
        <v>16</v>
      </c>
      <c r="J1118">
        <v>5.0929581789406511</v>
      </c>
      <c r="K1118">
        <v>2.5</v>
      </c>
      <c r="L1118">
        <v>6</v>
      </c>
      <c r="N1118" t="s">
        <v>20</v>
      </c>
      <c r="O1118" t="s">
        <v>16</v>
      </c>
      <c r="P1118" t="s">
        <v>303</v>
      </c>
      <c r="Q1118">
        <v>5</v>
      </c>
      <c r="R1118">
        <v>5</v>
      </c>
    </row>
    <row r="1119" spans="1:21" x14ac:dyDescent="0.25">
      <c r="A1119">
        <v>3</v>
      </c>
      <c r="B1119">
        <v>500</v>
      </c>
      <c r="C1119">
        <v>3</v>
      </c>
      <c r="D1119">
        <v>32</v>
      </c>
      <c r="E1119">
        <v>34</v>
      </c>
      <c r="F1119" t="s">
        <v>73</v>
      </c>
      <c r="G1119" t="s">
        <v>74</v>
      </c>
      <c r="H1119" t="s">
        <v>75</v>
      </c>
      <c r="I1119">
        <v>67</v>
      </c>
      <c r="J1119">
        <v>21.326762374313976</v>
      </c>
      <c r="K1119">
        <v>4.5</v>
      </c>
      <c r="L1119">
        <v>14</v>
      </c>
      <c r="N1119" t="s">
        <v>20</v>
      </c>
      <c r="O1119" t="s">
        <v>16</v>
      </c>
      <c r="P1119" t="s">
        <v>303</v>
      </c>
      <c r="Q1119">
        <v>15</v>
      </c>
      <c r="R1119">
        <v>20</v>
      </c>
      <c r="S1119">
        <v>17</v>
      </c>
      <c r="T1119" t="s">
        <v>273</v>
      </c>
      <c r="U1119">
        <v>0.28677138376563549</v>
      </c>
    </row>
    <row r="1120" spans="1:21" x14ac:dyDescent="0.25">
      <c r="A1120">
        <v>2</v>
      </c>
      <c r="B1120">
        <v>500</v>
      </c>
      <c r="C1120">
        <v>3</v>
      </c>
      <c r="D1120">
        <v>34</v>
      </c>
      <c r="E1120">
        <v>35</v>
      </c>
      <c r="F1120" t="s">
        <v>73</v>
      </c>
      <c r="G1120" t="s">
        <v>74</v>
      </c>
      <c r="H1120" t="s">
        <v>75</v>
      </c>
      <c r="I1120">
        <v>40</v>
      </c>
      <c r="J1120">
        <v>12.732395447351628</v>
      </c>
      <c r="K1120">
        <v>8</v>
      </c>
      <c r="L1120">
        <v>10</v>
      </c>
      <c r="N1120" t="s">
        <v>20</v>
      </c>
      <c r="O1120" t="s">
        <v>16</v>
      </c>
      <c r="P1120" t="s">
        <v>303</v>
      </c>
      <c r="Q1120">
        <v>10</v>
      </c>
      <c r="R1120">
        <v>15</v>
      </c>
      <c r="S1120">
        <v>17</v>
      </c>
      <c r="T1120" t="s">
        <v>273</v>
      </c>
      <c r="U1120">
        <v>7.9481060364469586E-2</v>
      </c>
    </row>
    <row r="1121" spans="1:21" x14ac:dyDescent="0.25">
      <c r="A1121">
        <v>2</v>
      </c>
      <c r="B1121">
        <v>500</v>
      </c>
      <c r="C1121">
        <v>3</v>
      </c>
      <c r="D1121">
        <v>35</v>
      </c>
      <c r="E1121">
        <v>36</v>
      </c>
      <c r="F1121" t="s">
        <v>73</v>
      </c>
      <c r="G1121" t="s">
        <v>74</v>
      </c>
      <c r="H1121" t="s">
        <v>75</v>
      </c>
      <c r="I1121">
        <v>36.5</v>
      </c>
      <c r="J1121">
        <v>11.618310845708359</v>
      </c>
      <c r="K1121">
        <v>2.5</v>
      </c>
      <c r="L1121">
        <v>9</v>
      </c>
      <c r="N1121" t="s">
        <v>20</v>
      </c>
      <c r="O1121" t="s">
        <v>16</v>
      </c>
      <c r="P1121" t="s">
        <v>303</v>
      </c>
      <c r="Q1121">
        <v>10</v>
      </c>
      <c r="R1121">
        <v>10</v>
      </c>
      <c r="S1121">
        <v>17</v>
      </c>
      <c r="T1121" t="s">
        <v>273</v>
      </c>
      <c r="U1121">
        <v>6.0383403395902875E-2</v>
      </c>
    </row>
    <row r="1122" spans="1:21" x14ac:dyDescent="0.25">
      <c r="A1122">
        <v>3</v>
      </c>
      <c r="B1122">
        <v>500</v>
      </c>
      <c r="C1122">
        <v>3</v>
      </c>
      <c r="D1122">
        <v>34</v>
      </c>
      <c r="E1122">
        <v>36</v>
      </c>
      <c r="F1122" t="s">
        <v>73</v>
      </c>
      <c r="G1122" t="s">
        <v>74</v>
      </c>
      <c r="H1122" t="s">
        <v>75</v>
      </c>
      <c r="I1122">
        <v>34.5</v>
      </c>
      <c r="J1122">
        <v>10.981691073340778</v>
      </c>
      <c r="K1122">
        <v>7</v>
      </c>
      <c r="L1122">
        <v>13</v>
      </c>
      <c r="N1122" t="s">
        <v>20</v>
      </c>
      <c r="O1122" t="s">
        <v>16</v>
      </c>
      <c r="P1122" t="s">
        <v>303</v>
      </c>
      <c r="Q1122">
        <v>12.5</v>
      </c>
      <c r="R1122">
        <v>10</v>
      </c>
      <c r="S1122">
        <v>17</v>
      </c>
      <c r="T1122" t="s">
        <v>273</v>
      </c>
      <c r="U1122">
        <v>7.9623114841205614E-2</v>
      </c>
    </row>
    <row r="1123" spans="1:21" x14ac:dyDescent="0.25">
      <c r="A1123">
        <v>2</v>
      </c>
      <c r="B1123">
        <v>500</v>
      </c>
      <c r="C1123">
        <v>3</v>
      </c>
      <c r="D1123">
        <v>36</v>
      </c>
      <c r="E1123">
        <v>37</v>
      </c>
      <c r="F1123" t="s">
        <v>73</v>
      </c>
      <c r="G1123" t="s">
        <v>74</v>
      </c>
      <c r="H1123" t="s">
        <v>75</v>
      </c>
      <c r="I1123">
        <v>120</v>
      </c>
      <c r="J1123">
        <v>38.197186342054884</v>
      </c>
      <c r="K1123">
        <v>2</v>
      </c>
      <c r="L1123">
        <v>10</v>
      </c>
      <c r="N1123" t="s">
        <v>29</v>
      </c>
      <c r="O1123" t="s">
        <v>16</v>
      </c>
      <c r="P1123" t="s">
        <v>303</v>
      </c>
      <c r="Q1123">
        <v>10</v>
      </c>
      <c r="R1123">
        <v>40</v>
      </c>
      <c r="S1123">
        <v>17</v>
      </c>
      <c r="T1123" t="s">
        <v>273</v>
      </c>
      <c r="U1123">
        <v>0.58409919616064987</v>
      </c>
    </row>
    <row r="1124" spans="1:21" x14ac:dyDescent="0.25">
      <c r="A1124">
        <v>3</v>
      </c>
      <c r="B1124">
        <v>500</v>
      </c>
      <c r="C1124">
        <v>3</v>
      </c>
      <c r="D1124">
        <v>35</v>
      </c>
      <c r="E1124">
        <v>37</v>
      </c>
      <c r="F1124" t="s">
        <v>73</v>
      </c>
      <c r="G1124" t="s">
        <v>74</v>
      </c>
      <c r="H1124" t="s">
        <v>75</v>
      </c>
      <c r="I1124">
        <v>37</v>
      </c>
      <c r="J1124">
        <v>11.777465788800255</v>
      </c>
      <c r="K1124">
        <v>6</v>
      </c>
      <c r="L1124">
        <v>12</v>
      </c>
      <c r="N1124" t="s">
        <v>20</v>
      </c>
      <c r="O1124" t="s">
        <v>16</v>
      </c>
      <c r="P1124" t="s">
        <v>303</v>
      </c>
      <c r="Q1124">
        <v>12.5</v>
      </c>
      <c r="R1124">
        <v>10</v>
      </c>
      <c r="S1124">
        <v>17</v>
      </c>
      <c r="T1124" t="s">
        <v>273</v>
      </c>
      <c r="U1124">
        <v>8.3249356682039422E-2</v>
      </c>
    </row>
    <row r="1125" spans="1:21" x14ac:dyDescent="0.25">
      <c r="A1125">
        <v>2</v>
      </c>
      <c r="B1125">
        <v>500</v>
      </c>
      <c r="C1125">
        <v>3</v>
      </c>
      <c r="D1125" t="s">
        <v>115</v>
      </c>
      <c r="E1125">
        <v>38</v>
      </c>
      <c r="F1125" t="s">
        <v>73</v>
      </c>
      <c r="G1125" t="s">
        <v>74</v>
      </c>
      <c r="H1125" t="s">
        <v>75</v>
      </c>
      <c r="I1125">
        <v>52</v>
      </c>
      <c r="J1125">
        <v>16.552114081557114</v>
      </c>
      <c r="K1125">
        <v>5.5</v>
      </c>
      <c r="L1125">
        <v>9</v>
      </c>
      <c r="N1125" t="s">
        <v>20</v>
      </c>
      <c r="O1125" t="s">
        <v>16</v>
      </c>
      <c r="P1125" t="e">
        <v>#VALUE!</v>
      </c>
      <c r="Q1125">
        <v>10</v>
      </c>
      <c r="R1125">
        <v>15</v>
      </c>
      <c r="S1125">
        <v>17</v>
      </c>
      <c r="T1125" t="s">
        <v>273</v>
      </c>
      <c r="U1125">
        <v>0.11481059415829332</v>
      </c>
    </row>
    <row r="1126" spans="1:21" x14ac:dyDescent="0.25">
      <c r="A1126">
        <v>3</v>
      </c>
      <c r="B1126">
        <v>500</v>
      </c>
      <c r="C1126">
        <v>3</v>
      </c>
      <c r="D1126">
        <v>36</v>
      </c>
      <c r="E1126">
        <v>38</v>
      </c>
      <c r="F1126" t="s">
        <v>73</v>
      </c>
      <c r="G1126" t="s">
        <v>74</v>
      </c>
      <c r="H1126" t="s">
        <v>75</v>
      </c>
      <c r="I1126">
        <v>31.5</v>
      </c>
      <c r="J1126">
        <v>10.026761414789407</v>
      </c>
      <c r="K1126">
        <v>4</v>
      </c>
      <c r="L1126">
        <v>12</v>
      </c>
      <c r="N1126" t="s">
        <v>20</v>
      </c>
      <c r="O1126" t="s">
        <v>16</v>
      </c>
      <c r="P1126" t="s">
        <v>303</v>
      </c>
      <c r="Q1126">
        <v>12.5</v>
      </c>
      <c r="R1126">
        <v>10</v>
      </c>
      <c r="S1126">
        <v>17</v>
      </c>
      <c r="T1126" t="s">
        <v>273</v>
      </c>
      <c r="U1126">
        <v>6.2157294315506713E-2</v>
      </c>
    </row>
    <row r="1127" spans="1:21" x14ac:dyDescent="0.25">
      <c r="A1127">
        <v>2</v>
      </c>
      <c r="B1127">
        <v>500</v>
      </c>
      <c r="C1127">
        <v>3</v>
      </c>
      <c r="D1127">
        <v>37</v>
      </c>
      <c r="E1127">
        <v>39</v>
      </c>
      <c r="F1127" t="s">
        <v>73</v>
      </c>
      <c r="G1127" t="s">
        <v>74</v>
      </c>
      <c r="H1127" t="s">
        <v>75</v>
      </c>
      <c r="I1127">
        <v>33</v>
      </c>
      <c r="J1127">
        <v>10.504226244065093</v>
      </c>
      <c r="K1127">
        <v>5</v>
      </c>
      <c r="L1127">
        <v>10</v>
      </c>
      <c r="N1127" t="s">
        <v>20</v>
      </c>
      <c r="O1127" t="s">
        <v>16</v>
      </c>
      <c r="P1127" t="s">
        <v>303</v>
      </c>
      <c r="Q1127">
        <v>10</v>
      </c>
      <c r="R1127">
        <v>10</v>
      </c>
      <c r="S1127">
        <v>17</v>
      </c>
      <c r="T1127" t="s">
        <v>273</v>
      </c>
      <c r="U1127">
        <v>5.6051103143577655E-2</v>
      </c>
    </row>
    <row r="1128" spans="1:21" x14ac:dyDescent="0.25">
      <c r="A1128">
        <v>3</v>
      </c>
      <c r="B1128">
        <v>500</v>
      </c>
      <c r="C1128">
        <v>3</v>
      </c>
      <c r="D1128">
        <v>37</v>
      </c>
      <c r="E1128">
        <v>39</v>
      </c>
      <c r="F1128" t="s">
        <v>73</v>
      </c>
      <c r="G1128" t="s">
        <v>74</v>
      </c>
      <c r="H1128" t="s">
        <v>75</v>
      </c>
      <c r="I1128">
        <v>31.5</v>
      </c>
      <c r="J1128">
        <v>10.026761414789407</v>
      </c>
      <c r="K1128">
        <v>4</v>
      </c>
      <c r="L1128">
        <v>9</v>
      </c>
      <c r="N1128" t="s">
        <v>20</v>
      </c>
      <c r="O1128" t="s">
        <v>16</v>
      </c>
      <c r="P1128" t="s">
        <v>303</v>
      </c>
      <c r="Q1128">
        <v>10</v>
      </c>
      <c r="R1128">
        <v>10</v>
      </c>
      <c r="S1128">
        <v>17</v>
      </c>
      <c r="T1128" t="s">
        <v>273</v>
      </c>
      <c r="U1128">
        <v>4.6212179647431767E-2</v>
      </c>
    </row>
    <row r="1129" spans="1:21" x14ac:dyDescent="0.25">
      <c r="A1129">
        <v>5</v>
      </c>
      <c r="B1129">
        <v>500</v>
      </c>
      <c r="C1129">
        <v>4</v>
      </c>
      <c r="D1129">
        <v>37</v>
      </c>
      <c r="E1129">
        <v>39</v>
      </c>
      <c r="F1129" t="s">
        <v>73</v>
      </c>
      <c r="G1129" t="s">
        <v>74</v>
      </c>
      <c r="H1129" t="s">
        <v>75</v>
      </c>
      <c r="I1129">
        <v>32</v>
      </c>
      <c r="J1129">
        <v>10.185916357881302</v>
      </c>
      <c r="K1129">
        <v>5</v>
      </c>
      <c r="L1129">
        <v>10</v>
      </c>
      <c r="N1129" t="s">
        <v>20</v>
      </c>
      <c r="O1129" t="s">
        <v>16</v>
      </c>
      <c r="P1129" t="s">
        <v>303</v>
      </c>
      <c r="Q1129">
        <v>10</v>
      </c>
      <c r="R1129">
        <v>10</v>
      </c>
      <c r="S1129">
        <v>17</v>
      </c>
      <c r="T1129" t="s">
        <v>273</v>
      </c>
      <c r="U1129">
        <v>5.3005584899578816E-2</v>
      </c>
    </row>
    <row r="1130" spans="1:21" x14ac:dyDescent="0.25">
      <c r="A1130">
        <v>12</v>
      </c>
      <c r="B1130">
        <v>100</v>
      </c>
      <c r="C1130">
        <v>4</v>
      </c>
      <c r="D1130">
        <v>27</v>
      </c>
      <c r="E1130">
        <v>39</v>
      </c>
      <c r="F1130" t="s">
        <v>73</v>
      </c>
      <c r="G1130" t="s">
        <v>74</v>
      </c>
      <c r="H1130" t="s">
        <v>75</v>
      </c>
      <c r="I1130">
        <v>18.5</v>
      </c>
      <c r="J1130">
        <v>5.8887328944001274</v>
      </c>
      <c r="K1130">
        <v>10</v>
      </c>
      <c r="L1130">
        <v>12</v>
      </c>
      <c r="N1130" t="s">
        <v>20</v>
      </c>
      <c r="O1130" t="s">
        <v>16</v>
      </c>
      <c r="P1130" t="s">
        <v>303</v>
      </c>
      <c r="Q1130">
        <v>12.5</v>
      </c>
      <c r="R1130">
        <v>5</v>
      </c>
    </row>
    <row r="1131" spans="1:21" x14ac:dyDescent="0.25">
      <c r="A1131">
        <v>2</v>
      </c>
      <c r="B1131">
        <v>500</v>
      </c>
      <c r="C1131">
        <v>3</v>
      </c>
      <c r="D1131">
        <v>38</v>
      </c>
      <c r="E1131">
        <v>40</v>
      </c>
      <c r="F1131" t="s">
        <v>73</v>
      </c>
      <c r="G1131" t="s">
        <v>74</v>
      </c>
      <c r="H1131" t="s">
        <v>75</v>
      </c>
      <c r="I1131">
        <v>50</v>
      </c>
      <c r="J1131">
        <v>15.915494309189533</v>
      </c>
      <c r="K1131">
        <v>8</v>
      </c>
      <c r="L1131">
        <v>14</v>
      </c>
      <c r="N1131" t="s">
        <v>20</v>
      </c>
      <c r="O1131" t="s">
        <v>16</v>
      </c>
      <c r="P1131" t="s">
        <v>303</v>
      </c>
      <c r="Q1131">
        <v>15</v>
      </c>
      <c r="R1131">
        <v>15</v>
      </c>
      <c r="S1131">
        <v>17</v>
      </c>
      <c r="T1131" t="s">
        <v>273</v>
      </c>
      <c r="U1131">
        <v>0.16856778033591691</v>
      </c>
    </row>
    <row r="1132" spans="1:21" x14ac:dyDescent="0.25">
      <c r="A1132">
        <v>3</v>
      </c>
      <c r="B1132">
        <v>500</v>
      </c>
      <c r="C1132">
        <v>3</v>
      </c>
      <c r="D1132">
        <v>38</v>
      </c>
      <c r="E1132">
        <v>40</v>
      </c>
      <c r="F1132" t="s">
        <v>73</v>
      </c>
      <c r="G1132" t="s">
        <v>74</v>
      </c>
      <c r="H1132" t="s">
        <v>75</v>
      </c>
      <c r="I1132">
        <v>36</v>
      </c>
      <c r="J1132">
        <v>11.459155902616464</v>
      </c>
      <c r="K1132">
        <v>6</v>
      </c>
      <c r="L1132">
        <v>11</v>
      </c>
      <c r="N1132" t="s">
        <v>20</v>
      </c>
      <c r="O1132" t="s">
        <v>16</v>
      </c>
      <c r="P1132" t="s">
        <v>303</v>
      </c>
      <c r="Q1132">
        <v>10</v>
      </c>
      <c r="R1132">
        <v>10</v>
      </c>
      <c r="S1132">
        <v>17</v>
      </c>
      <c r="T1132" t="s">
        <v>273</v>
      </c>
      <c r="U1132">
        <v>7.2417020336136742E-2</v>
      </c>
    </row>
    <row r="1133" spans="1:21" x14ac:dyDescent="0.25">
      <c r="A1133">
        <v>5</v>
      </c>
      <c r="B1133">
        <v>500</v>
      </c>
      <c r="C1133">
        <v>4</v>
      </c>
      <c r="D1133">
        <v>38</v>
      </c>
      <c r="E1133">
        <v>40</v>
      </c>
      <c r="F1133" t="s">
        <v>73</v>
      </c>
      <c r="G1133" t="s">
        <v>74</v>
      </c>
      <c r="H1133" t="s">
        <v>75</v>
      </c>
      <c r="I1133">
        <v>36</v>
      </c>
      <c r="J1133">
        <v>11.459155902616464</v>
      </c>
      <c r="K1133">
        <v>7</v>
      </c>
      <c r="L1133">
        <v>11</v>
      </c>
      <c r="N1133" t="s">
        <v>20</v>
      </c>
      <c r="O1133" t="s">
        <v>16</v>
      </c>
      <c r="P1133" t="s">
        <v>303</v>
      </c>
      <c r="Q1133">
        <v>10</v>
      </c>
      <c r="R1133">
        <v>10</v>
      </c>
      <c r="S1133">
        <v>17</v>
      </c>
      <c r="T1133" t="s">
        <v>273</v>
      </c>
      <c r="U1133">
        <v>7.2417020336136742E-2</v>
      </c>
    </row>
    <row r="1134" spans="1:21" x14ac:dyDescent="0.25">
      <c r="A1134">
        <v>3</v>
      </c>
      <c r="B1134">
        <v>500</v>
      </c>
      <c r="C1134">
        <v>3</v>
      </c>
      <c r="D1134">
        <v>39</v>
      </c>
      <c r="E1134">
        <v>41</v>
      </c>
      <c r="F1134" t="s">
        <v>73</v>
      </c>
      <c r="G1134" t="s">
        <v>74</v>
      </c>
      <c r="H1134" t="s">
        <v>75</v>
      </c>
      <c r="I1134">
        <v>49</v>
      </c>
      <c r="J1134">
        <v>15.597184423005743</v>
      </c>
      <c r="K1134">
        <v>9</v>
      </c>
      <c r="L1134">
        <v>13</v>
      </c>
      <c r="N1134" t="s">
        <v>20</v>
      </c>
      <c r="O1134" t="s">
        <v>16</v>
      </c>
      <c r="P1134" t="s">
        <v>303</v>
      </c>
      <c r="Q1134">
        <v>12.5</v>
      </c>
      <c r="R1134">
        <v>15</v>
      </c>
      <c r="S1134">
        <v>17</v>
      </c>
      <c r="T1134" t="s">
        <v>273</v>
      </c>
      <c r="U1134">
        <v>0.15055062236980352</v>
      </c>
    </row>
    <row r="1135" spans="1:21" x14ac:dyDescent="0.25">
      <c r="A1135">
        <v>3</v>
      </c>
      <c r="B1135">
        <v>500</v>
      </c>
      <c r="C1135">
        <v>3</v>
      </c>
      <c r="D1135">
        <v>41</v>
      </c>
      <c r="E1135">
        <v>43</v>
      </c>
      <c r="F1135" t="s">
        <v>73</v>
      </c>
      <c r="G1135" t="s">
        <v>74</v>
      </c>
      <c r="H1135" t="s">
        <v>75</v>
      </c>
      <c r="I1135">
        <v>52</v>
      </c>
      <c r="J1135">
        <v>16.552114081557114</v>
      </c>
      <c r="K1135">
        <v>6</v>
      </c>
      <c r="L1135">
        <v>13</v>
      </c>
      <c r="N1135" t="s">
        <v>20</v>
      </c>
      <c r="O1135" t="s">
        <v>16</v>
      </c>
      <c r="P1135" t="s">
        <v>303</v>
      </c>
      <c r="Q1135">
        <v>12.5</v>
      </c>
      <c r="R1135">
        <v>15</v>
      </c>
      <c r="S1135">
        <v>17</v>
      </c>
      <c r="T1135" t="s">
        <v>273</v>
      </c>
      <c r="U1135">
        <v>0.16770119075276024</v>
      </c>
    </row>
    <row r="1136" spans="1:21" x14ac:dyDescent="0.25">
      <c r="A1136">
        <v>4</v>
      </c>
      <c r="B1136">
        <v>500</v>
      </c>
      <c r="C1136">
        <v>4</v>
      </c>
      <c r="D1136">
        <v>42</v>
      </c>
      <c r="E1136">
        <v>44</v>
      </c>
      <c r="F1136" t="s">
        <v>73</v>
      </c>
      <c r="G1136" t="s">
        <v>74</v>
      </c>
      <c r="H1136" t="s">
        <v>75</v>
      </c>
      <c r="I1136">
        <v>37</v>
      </c>
      <c r="J1136">
        <v>11.777465788800255</v>
      </c>
      <c r="K1136">
        <v>1.6</v>
      </c>
      <c r="L1136">
        <v>12</v>
      </c>
      <c r="N1136" t="s">
        <v>20</v>
      </c>
      <c r="O1136" t="s">
        <v>16</v>
      </c>
      <c r="P1136" t="s">
        <v>303</v>
      </c>
      <c r="Q1136">
        <v>12.5</v>
      </c>
      <c r="R1136">
        <v>10</v>
      </c>
      <c r="S1136">
        <v>17</v>
      </c>
      <c r="T1136" t="s">
        <v>273</v>
      </c>
      <c r="U1136">
        <v>8.3249356682039422E-2</v>
      </c>
    </row>
    <row r="1137" spans="1:21" x14ac:dyDescent="0.25">
      <c r="A1137">
        <v>3</v>
      </c>
      <c r="B1137">
        <v>500</v>
      </c>
      <c r="C1137">
        <v>3</v>
      </c>
      <c r="D1137">
        <v>43</v>
      </c>
      <c r="E1137">
        <v>45</v>
      </c>
      <c r="F1137" t="s">
        <v>73</v>
      </c>
      <c r="G1137" t="s">
        <v>74</v>
      </c>
      <c r="H1137" t="s">
        <v>75</v>
      </c>
      <c r="I1137">
        <v>40</v>
      </c>
      <c r="J1137">
        <v>12.732395447351628</v>
      </c>
      <c r="K1137">
        <v>2.5</v>
      </c>
      <c r="L1137">
        <v>12</v>
      </c>
      <c r="N1137" t="s">
        <v>29</v>
      </c>
      <c r="O1137" t="s">
        <v>16</v>
      </c>
      <c r="P1137" t="s">
        <v>303</v>
      </c>
      <c r="Q1137">
        <v>12.5</v>
      </c>
      <c r="R1137">
        <v>15</v>
      </c>
      <c r="S1137">
        <v>17</v>
      </c>
      <c r="T1137" t="s">
        <v>273</v>
      </c>
      <c r="U1137">
        <v>9.5907204328978965E-2</v>
      </c>
    </row>
    <row r="1138" spans="1:21" x14ac:dyDescent="0.25">
      <c r="A1138">
        <v>4</v>
      </c>
      <c r="B1138">
        <v>500</v>
      </c>
      <c r="C1138">
        <v>4</v>
      </c>
      <c r="D1138">
        <v>43</v>
      </c>
      <c r="E1138">
        <v>45</v>
      </c>
      <c r="F1138" t="s">
        <v>73</v>
      </c>
      <c r="G1138" t="s">
        <v>74</v>
      </c>
      <c r="H1138" t="s">
        <v>75</v>
      </c>
      <c r="I1138">
        <v>57</v>
      </c>
      <c r="J1138">
        <v>18.143663512476071</v>
      </c>
      <c r="K1138">
        <v>3.5</v>
      </c>
      <c r="L1138">
        <v>12</v>
      </c>
      <c r="N1138" t="s">
        <v>20</v>
      </c>
      <c r="O1138" t="s">
        <v>16</v>
      </c>
      <c r="P1138" t="s">
        <v>303</v>
      </c>
      <c r="Q1138">
        <v>12.5</v>
      </c>
      <c r="R1138">
        <v>20</v>
      </c>
      <c r="S1138">
        <v>17</v>
      </c>
      <c r="T1138" t="s">
        <v>273</v>
      </c>
      <c r="U1138">
        <v>0.18243372332483015</v>
      </c>
    </row>
    <row r="1139" spans="1:21" x14ac:dyDescent="0.25">
      <c r="A1139">
        <v>3</v>
      </c>
      <c r="B1139">
        <v>500</v>
      </c>
      <c r="C1139">
        <v>3</v>
      </c>
      <c r="D1139" t="s">
        <v>136</v>
      </c>
      <c r="E1139">
        <v>46</v>
      </c>
      <c r="F1139" t="s">
        <v>73</v>
      </c>
      <c r="G1139" t="s">
        <v>74</v>
      </c>
      <c r="H1139" t="s">
        <v>75</v>
      </c>
      <c r="I1139">
        <v>50</v>
      </c>
      <c r="J1139">
        <v>15.915494309189533</v>
      </c>
      <c r="K1139">
        <v>3</v>
      </c>
      <c r="L1139">
        <v>13</v>
      </c>
      <c r="N1139" t="s">
        <v>20</v>
      </c>
      <c r="O1139" t="s">
        <v>16</v>
      </c>
      <c r="P1139" t="e">
        <v>#VALUE!</v>
      </c>
      <c r="Q1139">
        <v>12.5</v>
      </c>
      <c r="R1139">
        <v>15</v>
      </c>
      <c r="S1139">
        <v>17</v>
      </c>
      <c r="T1139" t="s">
        <v>273</v>
      </c>
      <c r="U1139">
        <v>0.15617509764181392</v>
      </c>
    </row>
    <row r="1140" spans="1:21" x14ac:dyDescent="0.25">
      <c r="A1140">
        <v>2</v>
      </c>
      <c r="B1140">
        <v>500</v>
      </c>
      <c r="C1140">
        <v>3</v>
      </c>
      <c r="D1140">
        <v>45</v>
      </c>
      <c r="E1140">
        <v>47</v>
      </c>
      <c r="F1140" t="s">
        <v>73</v>
      </c>
      <c r="G1140" t="s">
        <v>74</v>
      </c>
      <c r="H1140" t="s">
        <v>75</v>
      </c>
      <c r="I1140">
        <v>58.5</v>
      </c>
      <c r="J1140">
        <v>18.621128341751756</v>
      </c>
      <c r="K1140">
        <v>6</v>
      </c>
      <c r="L1140">
        <v>13</v>
      </c>
      <c r="N1140" t="s">
        <v>29</v>
      </c>
      <c r="O1140" t="s">
        <v>16</v>
      </c>
      <c r="P1140" t="s">
        <v>303</v>
      </c>
      <c r="Q1140">
        <v>12.5</v>
      </c>
      <c r="R1140">
        <v>20</v>
      </c>
      <c r="S1140">
        <v>17</v>
      </c>
      <c r="T1140" t="s">
        <v>273</v>
      </c>
      <c r="U1140">
        <v>0.20768472214000741</v>
      </c>
    </row>
    <row r="1141" spans="1:21" x14ac:dyDescent="0.25">
      <c r="A1141">
        <v>3</v>
      </c>
      <c r="B1141">
        <v>500</v>
      </c>
      <c r="C1141">
        <v>3</v>
      </c>
      <c r="D1141" t="s">
        <v>137</v>
      </c>
      <c r="E1141">
        <v>47</v>
      </c>
      <c r="F1141" t="s">
        <v>73</v>
      </c>
      <c r="G1141" t="s">
        <v>74</v>
      </c>
      <c r="H1141" t="s">
        <v>75</v>
      </c>
      <c r="I1141">
        <v>58</v>
      </c>
      <c r="J1141">
        <v>18.461973398659861</v>
      </c>
      <c r="K1141">
        <v>4</v>
      </c>
      <c r="L1141">
        <v>11</v>
      </c>
      <c r="N1141" t="s">
        <v>20</v>
      </c>
      <c r="O1141" t="s">
        <v>16</v>
      </c>
      <c r="P1141" t="e">
        <v>#VALUE!</v>
      </c>
      <c r="Q1141">
        <v>10</v>
      </c>
      <c r="R1141">
        <v>20</v>
      </c>
      <c r="S1141">
        <v>17</v>
      </c>
      <c r="T1141" t="s">
        <v>273</v>
      </c>
      <c r="U1141">
        <v>0.17213969484156214</v>
      </c>
    </row>
    <row r="1142" spans="1:21" x14ac:dyDescent="0.25">
      <c r="A1142">
        <v>2</v>
      </c>
      <c r="B1142">
        <v>500</v>
      </c>
      <c r="C1142">
        <v>3</v>
      </c>
      <c r="D1142" t="s">
        <v>116</v>
      </c>
      <c r="E1142">
        <v>48</v>
      </c>
      <c r="F1142" t="s">
        <v>73</v>
      </c>
      <c r="G1142" t="s">
        <v>74</v>
      </c>
      <c r="H1142" t="s">
        <v>75</v>
      </c>
      <c r="I1142">
        <v>51</v>
      </c>
      <c r="J1142">
        <v>16.233804195373324</v>
      </c>
      <c r="K1142">
        <v>4</v>
      </c>
      <c r="L1142">
        <v>12</v>
      </c>
      <c r="N1142" t="s">
        <v>20</v>
      </c>
      <c r="O1142" t="s">
        <v>16</v>
      </c>
      <c r="P1142" t="e">
        <v>#VALUE!</v>
      </c>
      <c r="Q1142">
        <v>12.5</v>
      </c>
      <c r="R1142">
        <v>15</v>
      </c>
      <c r="S1142">
        <v>17</v>
      </c>
      <c r="T1142" t="s">
        <v>273</v>
      </c>
      <c r="U1142">
        <v>0.14907576019673047</v>
      </c>
    </row>
    <row r="1143" spans="1:21" x14ac:dyDescent="0.25">
      <c r="A1143">
        <v>3</v>
      </c>
      <c r="B1143">
        <v>500</v>
      </c>
      <c r="C1143">
        <v>3</v>
      </c>
      <c r="D1143" t="s">
        <v>138</v>
      </c>
      <c r="E1143">
        <v>48</v>
      </c>
      <c r="F1143" t="s">
        <v>73</v>
      </c>
      <c r="G1143" t="s">
        <v>74</v>
      </c>
      <c r="H1143" t="s">
        <v>75</v>
      </c>
      <c r="I1143">
        <v>46</v>
      </c>
      <c r="J1143">
        <v>14.642254764454371</v>
      </c>
      <c r="K1143">
        <v>8</v>
      </c>
      <c r="L1143">
        <v>12</v>
      </c>
      <c r="N1143" t="s">
        <v>20</v>
      </c>
      <c r="O1143" t="s">
        <v>16</v>
      </c>
      <c r="P1143" t="e">
        <v>#VALUE!</v>
      </c>
      <c r="Q1143">
        <v>12.5</v>
      </c>
      <c r="R1143">
        <v>15</v>
      </c>
      <c r="S1143">
        <v>17</v>
      </c>
      <c r="T1143" t="s">
        <v>273</v>
      </c>
      <c r="U1143">
        <v>0.12360878744721161</v>
      </c>
    </row>
    <row r="1144" spans="1:21" x14ac:dyDescent="0.25">
      <c r="A1144">
        <v>3</v>
      </c>
      <c r="B1144">
        <v>500</v>
      </c>
      <c r="C1144">
        <v>3</v>
      </c>
      <c r="D1144" t="s">
        <v>139</v>
      </c>
      <c r="E1144">
        <v>49</v>
      </c>
      <c r="F1144" t="s">
        <v>73</v>
      </c>
      <c r="G1144" t="s">
        <v>74</v>
      </c>
      <c r="H1144" t="s">
        <v>75</v>
      </c>
      <c r="I1144">
        <v>47</v>
      </c>
      <c r="J1144">
        <v>14.960564650638162</v>
      </c>
      <c r="K1144">
        <v>7</v>
      </c>
      <c r="L1144">
        <v>11</v>
      </c>
      <c r="N1144" t="s">
        <v>20</v>
      </c>
      <c r="O1144" t="s">
        <v>16</v>
      </c>
      <c r="P1144" t="e">
        <v>#VALUE!</v>
      </c>
      <c r="Q1144">
        <v>10</v>
      </c>
      <c r="R1144">
        <v>15</v>
      </c>
      <c r="S1144">
        <v>17</v>
      </c>
      <c r="T1144" t="s">
        <v>273</v>
      </c>
      <c r="U1144">
        <v>0.11750852741246427</v>
      </c>
    </row>
    <row r="1145" spans="1:21" x14ac:dyDescent="0.25">
      <c r="A1145">
        <v>3</v>
      </c>
      <c r="B1145">
        <v>500</v>
      </c>
      <c r="C1145">
        <v>3</v>
      </c>
      <c r="D1145" t="s">
        <v>140</v>
      </c>
      <c r="E1145">
        <v>50</v>
      </c>
      <c r="F1145" t="s">
        <v>73</v>
      </c>
      <c r="G1145" t="s">
        <v>74</v>
      </c>
      <c r="H1145" t="s">
        <v>75</v>
      </c>
      <c r="I1145">
        <v>54</v>
      </c>
      <c r="J1145">
        <v>17.188733853924695</v>
      </c>
      <c r="K1145">
        <v>6</v>
      </c>
      <c r="L1145">
        <v>11</v>
      </c>
      <c r="N1145" t="s">
        <v>20</v>
      </c>
      <c r="O1145" t="s">
        <v>16</v>
      </c>
      <c r="P1145" t="e">
        <v>#VALUE!</v>
      </c>
      <c r="Q1145">
        <v>10</v>
      </c>
      <c r="R1145">
        <v>15</v>
      </c>
      <c r="S1145">
        <v>17</v>
      </c>
      <c r="T1145" t="s">
        <v>273</v>
      </c>
      <c r="U1145">
        <v>0.15119511904599825</v>
      </c>
    </row>
    <row r="1146" spans="1:21" x14ac:dyDescent="0.25">
      <c r="A1146">
        <v>3</v>
      </c>
      <c r="B1146">
        <v>500</v>
      </c>
      <c r="C1146">
        <v>3</v>
      </c>
      <c r="D1146" t="s">
        <v>141</v>
      </c>
      <c r="E1146">
        <v>51</v>
      </c>
      <c r="F1146" t="s">
        <v>73</v>
      </c>
      <c r="G1146" t="s">
        <v>74</v>
      </c>
      <c r="H1146" t="s">
        <v>75</v>
      </c>
      <c r="I1146">
        <v>40</v>
      </c>
      <c r="J1146">
        <v>12.732395447351628</v>
      </c>
      <c r="K1146">
        <v>7</v>
      </c>
      <c r="L1146">
        <v>12</v>
      </c>
      <c r="N1146" t="s">
        <v>20</v>
      </c>
      <c r="O1146" t="s">
        <v>16</v>
      </c>
      <c r="P1146" t="e">
        <v>#VALUE!</v>
      </c>
      <c r="Q1146">
        <v>12.5</v>
      </c>
      <c r="R1146">
        <v>15</v>
      </c>
      <c r="S1146">
        <v>17</v>
      </c>
      <c r="T1146" t="s">
        <v>273</v>
      </c>
      <c r="U1146">
        <v>9.5907204328978965E-2</v>
      </c>
    </row>
    <row r="1147" spans="1:21" x14ac:dyDescent="0.25">
      <c r="A1147">
        <v>3</v>
      </c>
      <c r="B1147">
        <v>500</v>
      </c>
      <c r="C1147">
        <v>3</v>
      </c>
      <c r="D1147" t="s">
        <v>142</v>
      </c>
      <c r="E1147">
        <v>52</v>
      </c>
      <c r="F1147" t="s">
        <v>73</v>
      </c>
      <c r="G1147" t="s">
        <v>74</v>
      </c>
      <c r="H1147" t="s">
        <v>75</v>
      </c>
      <c r="I1147">
        <v>49.5</v>
      </c>
      <c r="J1147">
        <v>15.756339366097638</v>
      </c>
      <c r="K1147">
        <v>4</v>
      </c>
      <c r="L1147">
        <v>13</v>
      </c>
      <c r="N1147" t="s">
        <v>20</v>
      </c>
      <c r="O1147" t="s">
        <v>16</v>
      </c>
      <c r="P1147" t="e">
        <v>#VALUE!</v>
      </c>
      <c r="Q1147">
        <v>12.5</v>
      </c>
      <c r="R1147">
        <v>15</v>
      </c>
      <c r="S1147">
        <v>17</v>
      </c>
      <c r="T1147" t="s">
        <v>273</v>
      </c>
      <c r="U1147">
        <v>0.15335127695104184</v>
      </c>
    </row>
    <row r="1148" spans="1:21" x14ac:dyDescent="0.25">
      <c r="A1148">
        <v>3</v>
      </c>
      <c r="B1148">
        <v>500</v>
      </c>
      <c r="C1148">
        <v>3</v>
      </c>
      <c r="D1148">
        <v>44</v>
      </c>
      <c r="E1148">
        <v>53</v>
      </c>
      <c r="F1148" t="s">
        <v>73</v>
      </c>
      <c r="G1148" t="s">
        <v>74</v>
      </c>
      <c r="H1148" t="s">
        <v>75</v>
      </c>
      <c r="I1148">
        <v>59.5</v>
      </c>
      <c r="J1148">
        <v>18.939438227935547</v>
      </c>
      <c r="K1148">
        <v>3</v>
      </c>
      <c r="L1148">
        <v>14</v>
      </c>
      <c r="N1148" t="s">
        <v>20</v>
      </c>
      <c r="O1148" t="s">
        <v>16</v>
      </c>
      <c r="P1148" t="s">
        <v>303</v>
      </c>
      <c r="Q1148">
        <v>15</v>
      </c>
      <c r="R1148">
        <v>20</v>
      </c>
      <c r="S1148">
        <v>17</v>
      </c>
      <c r="T1148" t="s">
        <v>273</v>
      </c>
      <c r="U1148">
        <v>0.2311700420480558</v>
      </c>
    </row>
    <row r="1149" spans="1:21" x14ac:dyDescent="0.25">
      <c r="A1149">
        <v>3</v>
      </c>
      <c r="B1149">
        <v>500</v>
      </c>
      <c r="C1149">
        <v>4</v>
      </c>
      <c r="D1149">
        <v>52</v>
      </c>
      <c r="E1149">
        <v>61</v>
      </c>
      <c r="F1149" t="s">
        <v>73</v>
      </c>
      <c r="G1149" t="s">
        <v>74</v>
      </c>
      <c r="H1149" t="s">
        <v>75</v>
      </c>
      <c r="I1149">
        <v>36</v>
      </c>
      <c r="J1149">
        <v>11.459155902616464</v>
      </c>
      <c r="K1149">
        <v>6</v>
      </c>
      <c r="L1149">
        <v>10</v>
      </c>
      <c r="N1149" t="s">
        <v>20</v>
      </c>
      <c r="O1149" t="s">
        <v>16</v>
      </c>
      <c r="P1149" t="s">
        <v>303</v>
      </c>
      <c r="Q1149">
        <v>10</v>
      </c>
      <c r="R1149">
        <v>10</v>
      </c>
      <c r="S1149">
        <v>17</v>
      </c>
      <c r="T1149" t="s">
        <v>273</v>
      </c>
      <c r="U1149">
        <v>6.5643243928823439E-2</v>
      </c>
    </row>
    <row r="1150" spans="1:21" x14ac:dyDescent="0.25">
      <c r="A1150">
        <v>5</v>
      </c>
      <c r="B1150">
        <v>500</v>
      </c>
      <c r="C1150">
        <v>1</v>
      </c>
      <c r="D1150">
        <v>1</v>
      </c>
      <c r="E1150">
        <v>1</v>
      </c>
      <c r="F1150" t="s">
        <v>166</v>
      </c>
      <c r="G1150" t="s">
        <v>293</v>
      </c>
      <c r="H1150" t="s">
        <v>167</v>
      </c>
      <c r="I1150">
        <v>31.5</v>
      </c>
      <c r="J1150">
        <v>10.026761414789407</v>
      </c>
      <c r="K1150">
        <v>4.5</v>
      </c>
      <c r="L1150">
        <v>9</v>
      </c>
      <c r="N1150" t="s">
        <v>20</v>
      </c>
      <c r="O1150" t="s">
        <v>16</v>
      </c>
      <c r="P1150" t="s">
        <v>303</v>
      </c>
      <c r="Q1150">
        <v>10</v>
      </c>
      <c r="R1150">
        <v>10</v>
      </c>
      <c r="S1150">
        <v>17</v>
      </c>
      <c r="T1150" t="s">
        <v>273</v>
      </c>
      <c r="U1150">
        <v>4.6212179647431767E-2</v>
      </c>
    </row>
    <row r="1151" spans="1:21" x14ac:dyDescent="0.25">
      <c r="A1151">
        <v>2</v>
      </c>
      <c r="B1151">
        <v>500</v>
      </c>
      <c r="C1151">
        <v>3</v>
      </c>
      <c r="D1151">
        <v>33</v>
      </c>
      <c r="E1151">
        <v>34</v>
      </c>
      <c r="F1151" t="s">
        <v>108</v>
      </c>
      <c r="G1151" t="s">
        <v>109</v>
      </c>
      <c r="H1151" t="s">
        <v>110</v>
      </c>
      <c r="I1151">
        <v>65.5</v>
      </c>
      <c r="J1151">
        <v>20.84929754503829</v>
      </c>
      <c r="K1151">
        <v>8</v>
      </c>
      <c r="L1151">
        <v>14</v>
      </c>
      <c r="N1151" t="s">
        <v>20</v>
      </c>
      <c r="O1151" t="s">
        <v>16</v>
      </c>
      <c r="P1151" t="s">
        <v>303</v>
      </c>
      <c r="Q1151">
        <v>15</v>
      </c>
      <c r="R1151">
        <v>20</v>
      </c>
      <c r="S1151">
        <v>17</v>
      </c>
      <c r="T1151" t="s">
        <v>273</v>
      </c>
      <c r="U1151">
        <v>0.27522184108988007</v>
      </c>
    </row>
    <row r="1152" spans="1:21" x14ac:dyDescent="0.25">
      <c r="A1152">
        <v>3</v>
      </c>
      <c r="B1152">
        <v>500</v>
      </c>
      <c r="C1152">
        <v>4</v>
      </c>
      <c r="D1152">
        <v>46</v>
      </c>
      <c r="E1152">
        <v>55</v>
      </c>
      <c r="F1152" t="s">
        <v>108</v>
      </c>
      <c r="G1152" t="s">
        <v>109</v>
      </c>
      <c r="H1152" t="s">
        <v>110</v>
      </c>
      <c r="I1152">
        <v>36</v>
      </c>
      <c r="J1152">
        <v>11.459155902616464</v>
      </c>
      <c r="K1152">
        <v>7</v>
      </c>
      <c r="L1152">
        <v>10</v>
      </c>
      <c r="N1152" t="s">
        <v>20</v>
      </c>
      <c r="O1152" t="s">
        <v>16</v>
      </c>
      <c r="P1152" t="s">
        <v>303</v>
      </c>
      <c r="Q1152">
        <v>10</v>
      </c>
      <c r="R1152">
        <v>10</v>
      </c>
      <c r="S1152">
        <v>17</v>
      </c>
      <c r="T1152" t="s">
        <v>273</v>
      </c>
      <c r="U1152">
        <v>6.5643243928823439E-2</v>
      </c>
    </row>
    <row r="1153" spans="2:21" x14ac:dyDescent="0.25">
      <c r="B1153">
        <v>500</v>
      </c>
      <c r="U1153">
        <v>55.832869513236155</v>
      </c>
    </row>
  </sheetData>
  <autoFilter ref="A1:U115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W45"/>
  <sheetViews>
    <sheetView tabSelected="1" topLeftCell="H7" zoomScale="85" zoomScaleNormal="85" workbookViewId="0">
      <selection activeCell="M40" sqref="M40"/>
    </sheetView>
  </sheetViews>
  <sheetFormatPr baseColWidth="10" defaultRowHeight="14.3" x14ac:dyDescent="0.25"/>
  <cols>
    <col min="1" max="1" width="25.75" bestFit="1" customWidth="1"/>
    <col min="2" max="2" width="19.25" bestFit="1" customWidth="1"/>
    <col min="3" max="3" width="11.875" bestFit="1" customWidth="1"/>
    <col min="4" max="4" width="24.625" bestFit="1" customWidth="1"/>
    <col min="5" max="5" width="13.25" bestFit="1" customWidth="1"/>
    <col min="6" max="6" width="15.375" bestFit="1" customWidth="1"/>
    <col min="7" max="7" width="18.625" bestFit="1" customWidth="1"/>
    <col min="9" max="9" width="25.75" bestFit="1" customWidth="1"/>
    <col min="10" max="10" width="12.5" bestFit="1" customWidth="1"/>
    <col min="12" max="12" width="25" bestFit="1" customWidth="1"/>
    <col min="13" max="14" width="12.375" bestFit="1" customWidth="1"/>
    <col min="15" max="15" width="15.875" bestFit="1" customWidth="1"/>
    <col min="17" max="17" width="25.75" bestFit="1" customWidth="1"/>
    <col min="18" max="18" width="17.25" bestFit="1" customWidth="1"/>
    <col min="19" max="19" width="18.25" bestFit="1" customWidth="1"/>
    <col min="20" max="20" width="25" bestFit="1" customWidth="1"/>
    <col min="21" max="21" width="14.875" bestFit="1" customWidth="1"/>
    <col min="23" max="23" width="16.25" bestFit="1" customWidth="1"/>
  </cols>
  <sheetData>
    <row r="2" spans="1:23" x14ac:dyDescent="0.25">
      <c r="A2" s="28" t="s">
        <v>1</v>
      </c>
      <c r="B2" s="29">
        <v>500</v>
      </c>
    </row>
    <row r="3" spans="1:23" x14ac:dyDescent="0.25">
      <c r="A3" s="28" t="s">
        <v>313</v>
      </c>
      <c r="B3" t="s">
        <v>303</v>
      </c>
      <c r="D3" s="47" t="s">
        <v>299</v>
      </c>
      <c r="I3" s="28" t="s">
        <v>1</v>
      </c>
      <c r="J3" s="29">
        <v>500</v>
      </c>
      <c r="L3" s="47" t="s">
        <v>306</v>
      </c>
      <c r="Q3" s="28" t="s">
        <v>1</v>
      </c>
      <c r="R3" s="29">
        <v>500</v>
      </c>
      <c r="T3" s="47" t="s">
        <v>311</v>
      </c>
    </row>
    <row r="4" spans="1:23" ht="14.95" thickBot="1" x14ac:dyDescent="0.3"/>
    <row r="5" spans="1:23" ht="14.95" thickBot="1" x14ac:dyDescent="0.3">
      <c r="A5" s="28" t="s">
        <v>295</v>
      </c>
      <c r="B5" t="s">
        <v>296</v>
      </c>
      <c r="D5" s="59" t="s">
        <v>280</v>
      </c>
      <c r="E5" s="60" t="s">
        <v>297</v>
      </c>
      <c r="F5" s="60" t="s">
        <v>298</v>
      </c>
      <c r="G5" s="61" t="s">
        <v>316</v>
      </c>
      <c r="I5" s="28" t="s">
        <v>304</v>
      </c>
      <c r="J5" t="s">
        <v>305</v>
      </c>
      <c r="L5" s="50" t="s">
        <v>280</v>
      </c>
      <c r="M5" s="51" t="s">
        <v>305</v>
      </c>
      <c r="N5" s="51" t="s">
        <v>307</v>
      </c>
      <c r="O5" s="52" t="s">
        <v>317</v>
      </c>
      <c r="Q5" s="28" t="s">
        <v>304</v>
      </c>
      <c r="R5" t="s">
        <v>308</v>
      </c>
      <c r="T5" s="50" t="s">
        <v>280</v>
      </c>
      <c r="U5" s="51" t="s">
        <v>309</v>
      </c>
      <c r="V5" s="51" t="s">
        <v>310</v>
      </c>
      <c r="W5" s="52" t="s">
        <v>318</v>
      </c>
    </row>
    <row r="6" spans="1:23" x14ac:dyDescent="0.25">
      <c r="A6" s="29" t="s">
        <v>31</v>
      </c>
      <c r="B6" s="30">
        <v>63</v>
      </c>
      <c r="D6" s="34" t="s">
        <v>31</v>
      </c>
      <c r="E6" s="35">
        <v>63</v>
      </c>
      <c r="F6" s="39">
        <f>E6*10000/6000</f>
        <v>105</v>
      </c>
      <c r="G6" s="40">
        <f>F6*2.812022</f>
        <v>295.26230999999996</v>
      </c>
      <c r="I6" s="29" t="s">
        <v>60</v>
      </c>
      <c r="J6" s="30">
        <v>2.0902176774880568</v>
      </c>
      <c r="L6" s="34" t="s">
        <v>60</v>
      </c>
      <c r="M6" s="35">
        <v>2.0902176774880568</v>
      </c>
      <c r="N6" s="56">
        <f>M6*10000/6000</f>
        <v>3.4836961291467614</v>
      </c>
      <c r="O6" s="40">
        <f>N6*2.812022</f>
        <v>9.7962301564755343</v>
      </c>
      <c r="Q6" s="29" t="s">
        <v>60</v>
      </c>
      <c r="R6" s="30">
        <v>13.875014450902853</v>
      </c>
      <c r="T6" s="34" t="s">
        <v>60</v>
      </c>
      <c r="U6" s="39">
        <v>13.875014450902853</v>
      </c>
      <c r="V6" s="39">
        <f>U6/6000*10000</f>
        <v>23.125024084838088</v>
      </c>
      <c r="W6" s="40">
        <f>V6*2.812022</f>
        <v>65.028076477094572</v>
      </c>
    </row>
    <row r="7" spans="1:23" x14ac:dyDescent="0.25">
      <c r="A7" s="29" t="s">
        <v>60</v>
      </c>
      <c r="B7" s="30">
        <v>62</v>
      </c>
      <c r="D7" s="36" t="s">
        <v>60</v>
      </c>
      <c r="E7" s="33">
        <v>62</v>
      </c>
      <c r="F7" s="41">
        <f t="shared" ref="F7:F39" si="0">E7*10000/6000</f>
        <v>103.33333333333333</v>
      </c>
      <c r="G7" s="42">
        <f t="shared" ref="G7:G39" si="1">F7*2.812022</f>
        <v>290.57560666666666</v>
      </c>
      <c r="I7" s="29" t="s">
        <v>74</v>
      </c>
      <c r="J7" s="30">
        <v>1.2509936625644928</v>
      </c>
      <c r="L7" s="36" t="s">
        <v>74</v>
      </c>
      <c r="M7" s="33">
        <v>1.2509936625644928</v>
      </c>
      <c r="N7" s="53">
        <f t="shared" ref="N7:N39" si="2">M7*10000/6000</f>
        <v>2.0849894376074882</v>
      </c>
      <c r="O7" s="42">
        <f t="shared" ref="O7:O39" si="3">N7*2.812022</f>
        <v>5.8630361683198835</v>
      </c>
      <c r="Q7" s="29" t="s">
        <v>74</v>
      </c>
      <c r="R7" s="30">
        <v>9.1355471350250994</v>
      </c>
      <c r="T7" s="36" t="s">
        <v>74</v>
      </c>
      <c r="U7" s="41">
        <v>9.1355471350250994</v>
      </c>
      <c r="V7" s="41">
        <f t="shared" ref="V7:V39" si="4">U7/6000*10000</f>
        <v>15.225911891708501</v>
      </c>
      <c r="W7" s="42">
        <f t="shared" ref="W7:W39" si="5">V7*2.812022</f>
        <v>42.815599209545915</v>
      </c>
    </row>
    <row r="8" spans="1:23" x14ac:dyDescent="0.25">
      <c r="A8" s="29" t="s">
        <v>27</v>
      </c>
      <c r="B8" s="30">
        <v>59</v>
      </c>
      <c r="D8" s="36" t="s">
        <v>27</v>
      </c>
      <c r="E8" s="33">
        <v>59</v>
      </c>
      <c r="F8" s="41">
        <f t="shared" si="0"/>
        <v>98.333333333333329</v>
      </c>
      <c r="G8" s="42">
        <f t="shared" si="1"/>
        <v>276.51549666666665</v>
      </c>
      <c r="I8" s="29" t="s">
        <v>24</v>
      </c>
      <c r="J8" s="30">
        <v>0.93210486300760098</v>
      </c>
      <c r="L8" s="36" t="s">
        <v>24</v>
      </c>
      <c r="M8" s="33">
        <v>0.93210486300760098</v>
      </c>
      <c r="N8" s="53">
        <f t="shared" si="2"/>
        <v>1.5535081050126682</v>
      </c>
      <c r="O8" s="42">
        <f t="shared" si="3"/>
        <v>4.3684989684739328</v>
      </c>
      <c r="Q8" s="29" t="s">
        <v>24</v>
      </c>
      <c r="R8" s="30">
        <v>6.2618487276439962</v>
      </c>
      <c r="T8" s="36" t="s">
        <v>24</v>
      </c>
      <c r="U8" s="41">
        <v>6.2618487276439962</v>
      </c>
      <c r="V8" s="41">
        <f t="shared" si="4"/>
        <v>10.436414546073328</v>
      </c>
      <c r="W8" s="42">
        <f t="shared" si="5"/>
        <v>29.347427304678209</v>
      </c>
    </row>
    <row r="9" spans="1:23" x14ac:dyDescent="0.25">
      <c r="A9" s="29" t="s">
        <v>24</v>
      </c>
      <c r="B9" s="30">
        <v>58</v>
      </c>
      <c r="D9" s="36" t="s">
        <v>24</v>
      </c>
      <c r="E9" s="33">
        <v>58</v>
      </c>
      <c r="F9" s="41">
        <f t="shared" si="0"/>
        <v>96.666666666666671</v>
      </c>
      <c r="G9" s="42">
        <f t="shared" si="1"/>
        <v>271.82879333333335</v>
      </c>
      <c r="I9" s="29" t="s">
        <v>31</v>
      </c>
      <c r="J9" s="30">
        <v>0.78812732044391076</v>
      </c>
      <c r="L9" s="36" t="s">
        <v>31</v>
      </c>
      <c r="M9" s="33">
        <v>0.78812732044391076</v>
      </c>
      <c r="N9" s="53">
        <f t="shared" si="2"/>
        <v>1.3135455340731845</v>
      </c>
      <c r="O9" s="42">
        <f t="shared" si="3"/>
        <v>3.6937189398155441</v>
      </c>
      <c r="Q9" s="29" t="s">
        <v>82</v>
      </c>
      <c r="R9" s="30">
        <v>5.5143834982628031</v>
      </c>
      <c r="T9" s="36" t="s">
        <v>82</v>
      </c>
      <c r="U9" s="41">
        <v>5.5143834982628031</v>
      </c>
      <c r="V9" s="41">
        <f t="shared" si="4"/>
        <v>9.1906391637713387</v>
      </c>
      <c r="W9" s="42">
        <f t="shared" si="5"/>
        <v>25.844279522586607</v>
      </c>
    </row>
    <row r="10" spans="1:23" x14ac:dyDescent="0.25">
      <c r="A10" s="29" t="s">
        <v>22</v>
      </c>
      <c r="B10" s="30">
        <v>39</v>
      </c>
      <c r="D10" s="36" t="s">
        <v>22</v>
      </c>
      <c r="E10" s="33">
        <v>39</v>
      </c>
      <c r="F10" s="41">
        <f t="shared" si="0"/>
        <v>65</v>
      </c>
      <c r="G10" s="42">
        <f t="shared" si="1"/>
        <v>182.78143</v>
      </c>
      <c r="I10" s="29" t="s">
        <v>82</v>
      </c>
      <c r="J10" s="30">
        <v>0.78602249632152088</v>
      </c>
      <c r="L10" s="36" t="s">
        <v>82</v>
      </c>
      <c r="M10" s="33">
        <v>0.78602249632152088</v>
      </c>
      <c r="N10" s="53">
        <f t="shared" si="2"/>
        <v>1.3100374938692014</v>
      </c>
      <c r="O10" s="42">
        <f t="shared" si="3"/>
        <v>3.6838542535850594</v>
      </c>
      <c r="Q10" s="29" t="s">
        <v>31</v>
      </c>
      <c r="R10" s="30">
        <v>5.3679042103343555</v>
      </c>
      <c r="T10" s="36" t="s">
        <v>31</v>
      </c>
      <c r="U10" s="41">
        <v>5.3679042103343555</v>
      </c>
      <c r="V10" s="41">
        <f t="shared" si="4"/>
        <v>8.9465070172239258</v>
      </c>
      <c r="W10" s="42">
        <f t="shared" si="5"/>
        <v>25.157774555588055</v>
      </c>
    </row>
    <row r="11" spans="1:23" x14ac:dyDescent="0.25">
      <c r="A11" s="29" t="s">
        <v>74</v>
      </c>
      <c r="B11" s="30">
        <v>38</v>
      </c>
      <c r="D11" s="36" t="s">
        <v>74</v>
      </c>
      <c r="E11" s="33">
        <v>38</v>
      </c>
      <c r="F11" s="41">
        <f t="shared" si="0"/>
        <v>63.333333333333336</v>
      </c>
      <c r="G11" s="42">
        <f t="shared" si="1"/>
        <v>178.09472666666667</v>
      </c>
      <c r="I11" s="29" t="s">
        <v>27</v>
      </c>
      <c r="J11" s="30">
        <v>0.65439013796103529</v>
      </c>
      <c r="L11" s="36" t="s">
        <v>27</v>
      </c>
      <c r="M11" s="33">
        <v>0.65439013796103529</v>
      </c>
      <c r="N11" s="53">
        <f t="shared" si="2"/>
        <v>1.0906502299350589</v>
      </c>
      <c r="O11" s="42">
        <f t="shared" si="3"/>
        <v>3.0669324408824439</v>
      </c>
      <c r="Q11" s="29" t="s">
        <v>22</v>
      </c>
      <c r="R11" s="30">
        <v>4.5716285173663795</v>
      </c>
      <c r="T11" s="36" t="s">
        <v>22</v>
      </c>
      <c r="U11" s="41">
        <v>4.5716285173663795</v>
      </c>
      <c r="V11" s="41">
        <f t="shared" si="4"/>
        <v>7.6193808622772989</v>
      </c>
      <c r="W11" s="42">
        <f t="shared" si="5"/>
        <v>21.425866611102734</v>
      </c>
    </row>
    <row r="12" spans="1:23" x14ac:dyDescent="0.25">
      <c r="A12" s="29" t="s">
        <v>82</v>
      </c>
      <c r="B12" s="30">
        <v>19</v>
      </c>
      <c r="D12" s="36" t="s">
        <v>82</v>
      </c>
      <c r="E12" s="33">
        <v>19</v>
      </c>
      <c r="F12" s="41">
        <f t="shared" si="0"/>
        <v>31.666666666666668</v>
      </c>
      <c r="G12" s="42">
        <f t="shared" si="1"/>
        <v>89.047363333333337</v>
      </c>
      <c r="I12" s="29" t="s">
        <v>22</v>
      </c>
      <c r="J12" s="30">
        <v>0.60386170620569191</v>
      </c>
      <c r="L12" s="36" t="s">
        <v>22</v>
      </c>
      <c r="M12" s="33">
        <v>0.60386170620569191</v>
      </c>
      <c r="N12" s="53">
        <f t="shared" si="2"/>
        <v>1.0064361770094865</v>
      </c>
      <c r="O12" s="42">
        <f t="shared" si="3"/>
        <v>2.8301206713465699</v>
      </c>
      <c r="Q12" s="29" t="s">
        <v>27</v>
      </c>
      <c r="R12" s="30">
        <v>4.2830005218703144</v>
      </c>
      <c r="T12" s="36" t="s">
        <v>27</v>
      </c>
      <c r="U12" s="41">
        <v>4.2830005218703144</v>
      </c>
      <c r="V12" s="41">
        <f t="shared" si="4"/>
        <v>7.138334203117191</v>
      </c>
      <c r="W12" s="42">
        <f t="shared" si="5"/>
        <v>20.073152822518008</v>
      </c>
    </row>
    <row r="13" spans="1:23" x14ac:dyDescent="0.25">
      <c r="A13" s="29" t="s">
        <v>120</v>
      </c>
      <c r="B13" s="30">
        <v>11</v>
      </c>
      <c r="D13" s="36" t="s">
        <v>120</v>
      </c>
      <c r="E13" s="33">
        <v>11</v>
      </c>
      <c r="F13" s="41">
        <f t="shared" si="0"/>
        <v>18.333333333333332</v>
      </c>
      <c r="G13" s="42">
        <f t="shared" si="1"/>
        <v>51.553736666666659</v>
      </c>
      <c r="I13" s="29" t="s">
        <v>120</v>
      </c>
      <c r="J13" s="30">
        <v>0.18935459354358244</v>
      </c>
      <c r="L13" s="36" t="s">
        <v>120</v>
      </c>
      <c r="M13" s="33">
        <v>0.18935459354358244</v>
      </c>
      <c r="N13" s="53">
        <f t="shared" si="2"/>
        <v>0.31559098923930406</v>
      </c>
      <c r="O13" s="42">
        <f t="shared" si="3"/>
        <v>0.88744880474268628</v>
      </c>
      <c r="Q13" s="29" t="s">
        <v>120</v>
      </c>
      <c r="R13" s="30">
        <v>1.2223319111323019</v>
      </c>
      <c r="T13" s="36" t="s">
        <v>120</v>
      </c>
      <c r="U13" s="41">
        <v>1.2223319111323019</v>
      </c>
      <c r="V13" s="41">
        <f t="shared" si="4"/>
        <v>2.0372198518871696</v>
      </c>
      <c r="W13" s="42">
        <f t="shared" si="5"/>
        <v>5.7287070423434621</v>
      </c>
    </row>
    <row r="14" spans="1:23" x14ac:dyDescent="0.25">
      <c r="A14" s="29" t="s">
        <v>291</v>
      </c>
      <c r="B14" s="30">
        <v>9</v>
      </c>
      <c r="D14" s="36" t="s">
        <v>291</v>
      </c>
      <c r="E14" s="33">
        <v>9</v>
      </c>
      <c r="F14" s="41">
        <f t="shared" si="0"/>
        <v>15</v>
      </c>
      <c r="G14" s="42">
        <f t="shared" si="1"/>
        <v>42.180329999999998</v>
      </c>
      <c r="I14" s="29" t="s">
        <v>18</v>
      </c>
      <c r="J14" s="30">
        <v>0.10763847744983746</v>
      </c>
      <c r="L14" s="36" t="s">
        <v>18</v>
      </c>
      <c r="M14" s="33">
        <v>0.10763847744983746</v>
      </c>
      <c r="N14" s="53">
        <f t="shared" si="2"/>
        <v>0.17939746241639576</v>
      </c>
      <c r="O14" s="42">
        <f t="shared" si="3"/>
        <v>0.50446961105907795</v>
      </c>
      <c r="Q14" s="29" t="s">
        <v>18</v>
      </c>
      <c r="R14" s="30">
        <v>0.7839166574727654</v>
      </c>
      <c r="T14" s="36" t="s">
        <v>18</v>
      </c>
      <c r="U14" s="41">
        <v>0.7839166574727654</v>
      </c>
      <c r="V14" s="41">
        <f t="shared" si="4"/>
        <v>1.306527762454609</v>
      </c>
      <c r="W14" s="42">
        <f t="shared" si="5"/>
        <v>3.6739848116331344</v>
      </c>
    </row>
    <row r="15" spans="1:23" x14ac:dyDescent="0.25">
      <c r="A15" s="29" t="s">
        <v>150</v>
      </c>
      <c r="B15" s="30">
        <v>8</v>
      </c>
      <c r="D15" s="36" t="s">
        <v>150</v>
      </c>
      <c r="E15" s="33">
        <v>8</v>
      </c>
      <c r="F15" s="41">
        <f t="shared" si="0"/>
        <v>13.333333333333334</v>
      </c>
      <c r="G15" s="42">
        <f t="shared" si="1"/>
        <v>37.493626666666664</v>
      </c>
      <c r="I15" s="29" t="s">
        <v>65</v>
      </c>
      <c r="J15" s="30">
        <v>0.10144933960035139</v>
      </c>
      <c r="L15" s="36" t="s">
        <v>65</v>
      </c>
      <c r="M15" s="33">
        <v>0.10144933960035139</v>
      </c>
      <c r="N15" s="53">
        <f t="shared" si="2"/>
        <v>0.16908223266725231</v>
      </c>
      <c r="O15" s="42">
        <f t="shared" si="3"/>
        <v>0.47546295806943212</v>
      </c>
      <c r="Q15" s="29" t="s">
        <v>65</v>
      </c>
      <c r="R15" s="30">
        <v>0.75044948532529299</v>
      </c>
      <c r="T15" s="36" t="s">
        <v>65</v>
      </c>
      <c r="U15" s="41">
        <v>0.75044948532529299</v>
      </c>
      <c r="V15" s="41">
        <f t="shared" si="4"/>
        <v>1.2507491422088215</v>
      </c>
      <c r="W15" s="42">
        <f t="shared" si="5"/>
        <v>3.5171341043723343</v>
      </c>
    </row>
    <row r="16" spans="1:23" x14ac:dyDescent="0.25">
      <c r="A16" s="29" t="s">
        <v>65</v>
      </c>
      <c r="B16" s="30">
        <v>8</v>
      </c>
      <c r="D16" s="36" t="s">
        <v>65</v>
      </c>
      <c r="E16" s="33">
        <v>8</v>
      </c>
      <c r="F16" s="41">
        <f t="shared" si="0"/>
        <v>13.333333333333334</v>
      </c>
      <c r="G16" s="42">
        <f t="shared" si="1"/>
        <v>37.493626666666664</v>
      </c>
      <c r="I16" s="29" t="s">
        <v>150</v>
      </c>
      <c r="J16" s="30">
        <v>8.7501398275135409E-2</v>
      </c>
      <c r="L16" s="36" t="s">
        <v>150</v>
      </c>
      <c r="M16" s="33">
        <v>8.7501398275135409E-2</v>
      </c>
      <c r="N16" s="53">
        <f t="shared" si="2"/>
        <v>0.14583566379189236</v>
      </c>
      <c r="O16" s="42">
        <f t="shared" si="3"/>
        <v>0.4100930949674047</v>
      </c>
      <c r="Q16" s="29" t="s">
        <v>150</v>
      </c>
      <c r="R16" s="30">
        <v>0.63058806258779032</v>
      </c>
      <c r="T16" s="36" t="s">
        <v>150</v>
      </c>
      <c r="U16" s="41">
        <v>0.63058806258779032</v>
      </c>
      <c r="V16" s="41">
        <f t="shared" si="4"/>
        <v>1.0509801043129838</v>
      </c>
      <c r="W16" s="42">
        <f t="shared" si="5"/>
        <v>2.955379174890405</v>
      </c>
    </row>
    <row r="17" spans="1:23" x14ac:dyDescent="0.25">
      <c r="A17" s="29" t="s">
        <v>18</v>
      </c>
      <c r="B17" s="30">
        <v>7</v>
      </c>
      <c r="D17" s="36" t="s">
        <v>18</v>
      </c>
      <c r="E17" s="33">
        <v>7</v>
      </c>
      <c r="F17" s="41">
        <f t="shared" si="0"/>
        <v>11.666666666666666</v>
      </c>
      <c r="G17" s="42">
        <f t="shared" si="1"/>
        <v>32.80692333333333</v>
      </c>
      <c r="I17" s="29" t="s">
        <v>106</v>
      </c>
      <c r="J17" s="30">
        <v>8.0974056171579045E-2</v>
      </c>
      <c r="L17" s="36" t="s">
        <v>106</v>
      </c>
      <c r="M17" s="33">
        <v>8.0974056171579045E-2</v>
      </c>
      <c r="N17" s="53">
        <f t="shared" si="2"/>
        <v>0.13495676028596507</v>
      </c>
      <c r="O17" s="42">
        <f t="shared" si="3"/>
        <v>0.37950137897286002</v>
      </c>
      <c r="Q17" s="29" t="s">
        <v>106</v>
      </c>
      <c r="R17" s="30">
        <v>0.51046259128699178</v>
      </c>
      <c r="T17" s="36" t="s">
        <v>106</v>
      </c>
      <c r="U17" s="41">
        <v>0.51046259128699178</v>
      </c>
      <c r="V17" s="41">
        <f t="shared" si="4"/>
        <v>0.85077098547831964</v>
      </c>
      <c r="W17" s="42">
        <f t="shared" si="5"/>
        <v>2.392386728126715</v>
      </c>
    </row>
    <row r="18" spans="1:23" x14ac:dyDescent="0.25">
      <c r="A18" s="29" t="s">
        <v>106</v>
      </c>
      <c r="B18" s="30">
        <v>6</v>
      </c>
      <c r="D18" s="36" t="s">
        <v>106</v>
      </c>
      <c r="E18" s="33">
        <v>6</v>
      </c>
      <c r="F18" s="41">
        <f t="shared" si="0"/>
        <v>10</v>
      </c>
      <c r="G18" s="42">
        <f t="shared" si="1"/>
        <v>28.120219999999996</v>
      </c>
      <c r="I18" s="29" t="s">
        <v>111</v>
      </c>
      <c r="J18" s="30">
        <v>7.2964583660479421E-2</v>
      </c>
      <c r="L18" s="36" t="s">
        <v>111</v>
      </c>
      <c r="M18" s="33">
        <v>7.2964583660479421E-2</v>
      </c>
      <c r="N18" s="53">
        <f t="shared" si="2"/>
        <v>0.12160763943413237</v>
      </c>
      <c r="O18" s="42">
        <f t="shared" si="3"/>
        <v>0.34196335745684775</v>
      </c>
      <c r="Q18" s="29" t="s">
        <v>111</v>
      </c>
      <c r="R18" s="30">
        <v>0.47545321468217111</v>
      </c>
      <c r="T18" s="36" t="s">
        <v>111</v>
      </c>
      <c r="U18" s="41">
        <v>0.47545321468217111</v>
      </c>
      <c r="V18" s="41">
        <f t="shared" si="4"/>
        <v>0.79242202447028509</v>
      </c>
      <c r="W18" s="42">
        <f t="shared" si="5"/>
        <v>2.2283081660949797</v>
      </c>
    </row>
    <row r="19" spans="1:23" x14ac:dyDescent="0.25">
      <c r="A19" s="29" t="s">
        <v>71</v>
      </c>
      <c r="B19" s="30">
        <v>5</v>
      </c>
      <c r="D19" s="36" t="s">
        <v>71</v>
      </c>
      <c r="E19" s="33">
        <v>5</v>
      </c>
      <c r="F19" s="41">
        <f t="shared" si="0"/>
        <v>8.3333333333333339</v>
      </c>
      <c r="G19" s="42">
        <f t="shared" si="1"/>
        <v>23.433516666666666</v>
      </c>
      <c r="I19" s="29" t="s">
        <v>71</v>
      </c>
      <c r="J19" s="30">
        <v>5.4828877895157939E-2</v>
      </c>
      <c r="L19" s="36" t="s">
        <v>71</v>
      </c>
      <c r="M19" s="33">
        <v>5.4828877895157939E-2</v>
      </c>
      <c r="N19" s="53">
        <f t="shared" si="2"/>
        <v>9.1381463158596563E-2</v>
      </c>
      <c r="O19" s="42">
        <f t="shared" si="3"/>
        <v>0.25696668479416301</v>
      </c>
      <c r="Q19" s="29" t="s">
        <v>71</v>
      </c>
      <c r="R19" s="30">
        <v>0.35144417784005905</v>
      </c>
      <c r="T19" s="36" t="s">
        <v>71</v>
      </c>
      <c r="U19" s="41">
        <v>0.35144417784005905</v>
      </c>
      <c r="V19" s="41">
        <f t="shared" si="4"/>
        <v>0.58574029640009839</v>
      </c>
      <c r="W19" s="42">
        <f t="shared" si="5"/>
        <v>1.6471145997635974</v>
      </c>
    </row>
    <row r="20" spans="1:23" x14ac:dyDescent="0.25">
      <c r="A20" s="29" t="s">
        <v>14</v>
      </c>
      <c r="B20" s="30">
        <v>4</v>
      </c>
      <c r="D20" s="36" t="s">
        <v>14</v>
      </c>
      <c r="E20" s="33">
        <v>4</v>
      </c>
      <c r="F20" s="41">
        <f t="shared" si="0"/>
        <v>6.666666666666667</v>
      </c>
      <c r="G20" s="42">
        <f t="shared" si="1"/>
        <v>18.746813333333332</v>
      </c>
      <c r="I20" s="29" t="s">
        <v>109</v>
      </c>
      <c r="J20" s="30">
        <v>4.4453965042355013E-2</v>
      </c>
      <c r="L20" s="36" t="s">
        <v>109</v>
      </c>
      <c r="M20" s="33">
        <v>4.4453965042355013E-2</v>
      </c>
      <c r="N20" s="53">
        <f t="shared" si="2"/>
        <v>7.4089941737258358E-2</v>
      </c>
      <c r="O20" s="42">
        <f t="shared" si="3"/>
        <v>0.2083425461438887</v>
      </c>
      <c r="Q20" s="29" t="s">
        <v>109</v>
      </c>
      <c r="R20" s="30">
        <v>0.3408650850187035</v>
      </c>
      <c r="T20" s="36" t="s">
        <v>109</v>
      </c>
      <c r="U20" s="41">
        <v>0.3408650850187035</v>
      </c>
      <c r="V20" s="41">
        <f t="shared" si="4"/>
        <v>0.56810847503117257</v>
      </c>
      <c r="W20" s="42">
        <f t="shared" si="5"/>
        <v>1.5975335301741078</v>
      </c>
    </row>
    <row r="21" spans="1:23" x14ac:dyDescent="0.25">
      <c r="A21" s="29" t="s">
        <v>111</v>
      </c>
      <c r="B21" s="30">
        <v>4</v>
      </c>
      <c r="D21" s="36" t="s">
        <v>111</v>
      </c>
      <c r="E21" s="33">
        <v>4</v>
      </c>
      <c r="F21" s="41">
        <f t="shared" si="0"/>
        <v>6.666666666666667</v>
      </c>
      <c r="G21" s="42">
        <f t="shared" si="1"/>
        <v>18.746813333333332</v>
      </c>
      <c r="I21" s="29" t="s">
        <v>14</v>
      </c>
      <c r="J21" s="30">
        <v>3.4427203627565607E-2</v>
      </c>
      <c r="L21" s="36" t="s">
        <v>14</v>
      </c>
      <c r="M21" s="33">
        <v>3.4427203627565607E-2</v>
      </c>
      <c r="N21" s="53">
        <f t="shared" si="2"/>
        <v>5.7378672712609345E-2</v>
      </c>
      <c r="O21" s="42">
        <f t="shared" si="3"/>
        <v>0.16135008999865713</v>
      </c>
      <c r="Q21" s="29" t="s">
        <v>14</v>
      </c>
      <c r="R21" s="30">
        <v>0.25864032463066755</v>
      </c>
      <c r="T21" s="36" t="s">
        <v>14</v>
      </c>
      <c r="U21" s="41">
        <v>0.25864032463066755</v>
      </c>
      <c r="V21" s="41">
        <f t="shared" si="4"/>
        <v>0.43106720771777923</v>
      </c>
      <c r="W21" s="42">
        <f t="shared" si="5"/>
        <v>1.2121704715809649</v>
      </c>
    </row>
    <row r="22" spans="1:23" x14ac:dyDescent="0.25">
      <c r="A22" s="29" t="s">
        <v>282</v>
      </c>
      <c r="B22" s="30">
        <v>3</v>
      </c>
      <c r="D22" s="36" t="s">
        <v>282</v>
      </c>
      <c r="E22" s="33">
        <v>3</v>
      </c>
      <c r="F22" s="41">
        <f t="shared" si="0"/>
        <v>5</v>
      </c>
      <c r="G22" s="42">
        <f t="shared" si="1"/>
        <v>14.060109999999998</v>
      </c>
      <c r="I22" s="29" t="s">
        <v>286</v>
      </c>
      <c r="J22" s="30">
        <v>2.9127344022605497E-2</v>
      </c>
      <c r="L22" s="36" t="s">
        <v>286</v>
      </c>
      <c r="M22" s="33">
        <v>2.9127344022605497E-2</v>
      </c>
      <c r="N22" s="53">
        <f t="shared" si="2"/>
        <v>4.8545573371009162E-2</v>
      </c>
      <c r="O22" s="42">
        <f t="shared" si="3"/>
        <v>0.13651122032189192</v>
      </c>
      <c r="Q22" s="29" t="s">
        <v>286</v>
      </c>
      <c r="R22" s="30">
        <v>0.23827200798926257</v>
      </c>
      <c r="T22" s="36" t="s">
        <v>286</v>
      </c>
      <c r="U22" s="41">
        <v>0.23827200798926257</v>
      </c>
      <c r="V22" s="41">
        <f t="shared" si="4"/>
        <v>0.39712001331543761</v>
      </c>
      <c r="W22" s="42">
        <f t="shared" si="5"/>
        <v>1.1167102140833034</v>
      </c>
    </row>
    <row r="23" spans="1:23" x14ac:dyDescent="0.25">
      <c r="A23" s="29" t="s">
        <v>210</v>
      </c>
      <c r="B23" s="30">
        <v>2</v>
      </c>
      <c r="D23" s="36" t="s">
        <v>210</v>
      </c>
      <c r="E23" s="33">
        <v>2</v>
      </c>
      <c r="F23" s="41">
        <f t="shared" si="0"/>
        <v>3.3333333333333335</v>
      </c>
      <c r="G23" s="42">
        <f t="shared" si="1"/>
        <v>9.373406666666666</v>
      </c>
      <c r="I23" s="29" t="s">
        <v>282</v>
      </c>
      <c r="J23" s="30">
        <v>2.4193540786756739E-2</v>
      </c>
      <c r="L23" s="36" t="s">
        <v>282</v>
      </c>
      <c r="M23" s="33">
        <v>2.4193540786756739E-2</v>
      </c>
      <c r="N23" s="53">
        <f t="shared" si="2"/>
        <v>4.0322567977927902E-2</v>
      </c>
      <c r="O23" s="42">
        <f t="shared" si="3"/>
        <v>0.11338794825042876</v>
      </c>
      <c r="Q23" s="29" t="s">
        <v>282</v>
      </c>
      <c r="R23" s="30">
        <v>0.18493052465794013</v>
      </c>
      <c r="T23" s="36" t="s">
        <v>282</v>
      </c>
      <c r="U23" s="41">
        <v>0.18493052465794013</v>
      </c>
      <c r="V23" s="41">
        <f t="shared" si="4"/>
        <v>0.30821754109656685</v>
      </c>
      <c r="W23" s="42">
        <f t="shared" si="5"/>
        <v>0.86671450634945002</v>
      </c>
    </row>
    <row r="24" spans="1:23" x14ac:dyDescent="0.25">
      <c r="A24" s="29" t="s">
        <v>130</v>
      </c>
      <c r="B24" s="30">
        <v>2</v>
      </c>
      <c r="D24" s="36" t="s">
        <v>130</v>
      </c>
      <c r="E24" s="33">
        <v>2</v>
      </c>
      <c r="F24" s="41">
        <f t="shared" si="0"/>
        <v>3.3333333333333335</v>
      </c>
      <c r="G24" s="42">
        <f t="shared" si="1"/>
        <v>9.373406666666666</v>
      </c>
      <c r="I24" s="29" t="s">
        <v>130</v>
      </c>
      <c r="J24" s="30">
        <v>1.7620441637061463E-2</v>
      </c>
      <c r="L24" s="36" t="s">
        <v>130</v>
      </c>
      <c r="M24" s="33">
        <v>1.7620441637061463E-2</v>
      </c>
      <c r="N24" s="53">
        <f t="shared" si="2"/>
        <v>2.9367402728435774E-2</v>
      </c>
      <c r="O24" s="42">
        <f t="shared" si="3"/>
        <v>8.2581782555221417E-2</v>
      </c>
      <c r="Q24" s="29" t="s">
        <v>130</v>
      </c>
      <c r="R24" s="30">
        <v>0.14358322607059074</v>
      </c>
      <c r="T24" s="36" t="s">
        <v>130</v>
      </c>
      <c r="U24" s="41">
        <v>0.14358322607059074</v>
      </c>
      <c r="V24" s="41">
        <f t="shared" si="4"/>
        <v>0.2393053767843179</v>
      </c>
      <c r="W24" s="42">
        <f t="shared" si="5"/>
        <v>0.67293198423579115</v>
      </c>
    </row>
    <row r="25" spans="1:23" x14ac:dyDescent="0.25">
      <c r="A25" s="29" t="s">
        <v>109</v>
      </c>
      <c r="B25" s="30">
        <v>2</v>
      </c>
      <c r="D25" s="36" t="s">
        <v>109</v>
      </c>
      <c r="E25" s="33">
        <v>2</v>
      </c>
      <c r="F25" s="41">
        <f t="shared" si="0"/>
        <v>3.3333333333333335</v>
      </c>
      <c r="G25" s="42">
        <f t="shared" si="1"/>
        <v>9.373406666666666</v>
      </c>
      <c r="I25" s="29" t="s">
        <v>161</v>
      </c>
      <c r="J25" s="30">
        <v>1.6297466172610083E-2</v>
      </c>
      <c r="L25" s="36" t="s">
        <v>161</v>
      </c>
      <c r="M25" s="33">
        <v>1.6297466172610083E-2</v>
      </c>
      <c r="N25" s="53">
        <f t="shared" si="2"/>
        <v>2.7162443621016805E-2</v>
      </c>
      <c r="O25" s="42">
        <f t="shared" si="3"/>
        <v>7.6381389036058914E-2</v>
      </c>
      <c r="Q25" s="29" t="s">
        <v>210</v>
      </c>
      <c r="R25" s="30">
        <v>0.12611740554489184</v>
      </c>
      <c r="T25" s="36" t="s">
        <v>210</v>
      </c>
      <c r="U25" s="41">
        <v>0.12611740554489184</v>
      </c>
      <c r="V25" s="41">
        <f t="shared" si="4"/>
        <v>0.21019567590815308</v>
      </c>
      <c r="W25" s="42">
        <f t="shared" si="5"/>
        <v>0.5910748649585964</v>
      </c>
    </row>
    <row r="26" spans="1:23" x14ac:dyDescent="0.25">
      <c r="A26" s="29" t="s">
        <v>161</v>
      </c>
      <c r="B26" s="30">
        <v>2</v>
      </c>
      <c r="D26" s="36" t="s">
        <v>161</v>
      </c>
      <c r="E26" s="33">
        <v>2</v>
      </c>
      <c r="F26" s="41">
        <f t="shared" si="0"/>
        <v>3.3333333333333335</v>
      </c>
      <c r="G26" s="42">
        <f t="shared" si="1"/>
        <v>9.373406666666666</v>
      </c>
      <c r="I26" s="29" t="s">
        <v>207</v>
      </c>
      <c r="J26" s="30">
        <v>1.6044807700451698E-2</v>
      </c>
      <c r="L26" s="36" t="s">
        <v>207</v>
      </c>
      <c r="M26" s="33">
        <v>1.6044807700451698E-2</v>
      </c>
      <c r="N26" s="53">
        <f t="shared" si="2"/>
        <v>2.6741346167419498E-2</v>
      </c>
      <c r="O26" s="42">
        <f t="shared" si="3"/>
        <v>7.51972537323993E-2</v>
      </c>
      <c r="Q26" s="29" t="s">
        <v>161</v>
      </c>
      <c r="R26" s="30">
        <v>0.10601116979915763</v>
      </c>
      <c r="T26" s="36" t="s">
        <v>161</v>
      </c>
      <c r="U26" s="41">
        <v>0.10601116979915763</v>
      </c>
      <c r="V26" s="41">
        <f t="shared" si="4"/>
        <v>0.17668528299859607</v>
      </c>
      <c r="W26" s="42">
        <f t="shared" si="5"/>
        <v>0.49684290286827809</v>
      </c>
    </row>
    <row r="27" spans="1:23" x14ac:dyDescent="0.25">
      <c r="A27" s="29" t="s">
        <v>207</v>
      </c>
      <c r="B27" s="30">
        <v>2</v>
      </c>
      <c r="D27" s="36" t="s">
        <v>207</v>
      </c>
      <c r="E27" s="33">
        <v>2</v>
      </c>
      <c r="F27" s="41">
        <f t="shared" si="0"/>
        <v>3.3333333333333335</v>
      </c>
      <c r="G27" s="42">
        <f t="shared" si="1"/>
        <v>9.373406666666666</v>
      </c>
      <c r="I27" s="29" t="s">
        <v>210</v>
      </c>
      <c r="J27" s="30">
        <v>1.6044807700451698E-2</v>
      </c>
      <c r="L27" s="36" t="s">
        <v>210</v>
      </c>
      <c r="M27" s="33">
        <v>1.6044807700451698E-2</v>
      </c>
      <c r="N27" s="53">
        <f t="shared" si="2"/>
        <v>2.6741346167419498E-2</v>
      </c>
      <c r="O27" s="42">
        <f t="shared" si="3"/>
        <v>7.51972537323993E-2</v>
      </c>
      <c r="Q27" s="29" t="s">
        <v>156</v>
      </c>
      <c r="R27" s="30">
        <v>8.8200646686277084E-2</v>
      </c>
      <c r="T27" s="36" t="s">
        <v>156</v>
      </c>
      <c r="U27" s="41">
        <v>8.8200646686277084E-2</v>
      </c>
      <c r="V27" s="41">
        <f t="shared" si="4"/>
        <v>0.14700107781046182</v>
      </c>
      <c r="W27" s="42">
        <f t="shared" si="5"/>
        <v>0.41337026482673045</v>
      </c>
    </row>
    <row r="28" spans="1:23" x14ac:dyDescent="0.25">
      <c r="A28" s="29" t="s">
        <v>56</v>
      </c>
      <c r="B28" s="30">
        <v>1</v>
      </c>
      <c r="D28" s="36" t="s">
        <v>56</v>
      </c>
      <c r="E28" s="33">
        <v>1</v>
      </c>
      <c r="F28" s="41">
        <f t="shared" si="0"/>
        <v>1.6666666666666667</v>
      </c>
      <c r="G28" s="42">
        <f t="shared" si="1"/>
        <v>4.686703333333333</v>
      </c>
      <c r="I28" s="29" t="s">
        <v>56</v>
      </c>
      <c r="J28" s="30">
        <v>1.4713874488845724E-2</v>
      </c>
      <c r="L28" s="36" t="s">
        <v>56</v>
      </c>
      <c r="M28" s="33">
        <v>1.4713874488845724E-2</v>
      </c>
      <c r="N28" s="53">
        <f t="shared" si="2"/>
        <v>2.4523124148076208E-2</v>
      </c>
      <c r="O28" s="42">
        <f t="shared" si="3"/>
        <v>6.8959564613121554E-2</v>
      </c>
      <c r="Q28" s="29" t="s">
        <v>207</v>
      </c>
      <c r="R28" s="30">
        <v>8.2916076115285064E-2</v>
      </c>
      <c r="T28" s="36" t="s">
        <v>207</v>
      </c>
      <c r="U28" s="41">
        <v>8.2916076115285064E-2</v>
      </c>
      <c r="V28" s="41">
        <f t="shared" si="4"/>
        <v>0.13819346019214176</v>
      </c>
      <c r="W28" s="42">
        <f t="shared" si="5"/>
        <v>0.38860305031642683</v>
      </c>
    </row>
    <row r="29" spans="1:23" x14ac:dyDescent="0.25">
      <c r="A29" s="29" t="s">
        <v>77</v>
      </c>
      <c r="B29" s="30">
        <v>1</v>
      </c>
      <c r="D29" s="36" t="s">
        <v>77</v>
      </c>
      <c r="E29" s="33">
        <v>1</v>
      </c>
      <c r="F29" s="41">
        <f t="shared" si="0"/>
        <v>1.6666666666666667</v>
      </c>
      <c r="G29" s="42">
        <f t="shared" si="1"/>
        <v>4.686703333333333</v>
      </c>
      <c r="I29" s="29" t="s">
        <v>88</v>
      </c>
      <c r="J29" s="30">
        <v>1.1490986891234843E-2</v>
      </c>
      <c r="L29" s="36" t="s">
        <v>88</v>
      </c>
      <c r="M29" s="33">
        <v>1.1490986891234843E-2</v>
      </c>
      <c r="N29" s="53">
        <f t="shared" si="2"/>
        <v>1.915164481872474E-2</v>
      </c>
      <c r="O29" s="42">
        <f t="shared" si="3"/>
        <v>5.3854846566439976E-2</v>
      </c>
      <c r="Q29" s="29" t="s">
        <v>41</v>
      </c>
      <c r="R29" s="30">
        <v>6.8991137736137118E-2</v>
      </c>
      <c r="T29" s="36" t="s">
        <v>41</v>
      </c>
      <c r="U29" s="41">
        <v>6.8991137736137118E-2</v>
      </c>
      <c r="V29" s="41">
        <f t="shared" si="4"/>
        <v>0.11498522956022854</v>
      </c>
      <c r="W29" s="42">
        <f t="shared" si="5"/>
        <v>0.32334099519841297</v>
      </c>
    </row>
    <row r="30" spans="1:23" x14ac:dyDescent="0.25">
      <c r="A30" s="29" t="s">
        <v>186</v>
      </c>
      <c r="B30" s="30">
        <v>1</v>
      </c>
      <c r="D30" s="36" t="s">
        <v>186</v>
      </c>
      <c r="E30" s="33">
        <v>1</v>
      </c>
      <c r="F30" s="41">
        <f t="shared" si="0"/>
        <v>1.6666666666666667</v>
      </c>
      <c r="G30" s="42">
        <f t="shared" si="1"/>
        <v>4.686703333333333</v>
      </c>
      <c r="I30" s="29" t="s">
        <v>41</v>
      </c>
      <c r="J30" s="30">
        <v>1.0894155854640236E-2</v>
      </c>
      <c r="L30" s="36" t="s">
        <v>41</v>
      </c>
      <c r="M30" s="33">
        <v>1.0894155854640236E-2</v>
      </c>
      <c r="N30" s="53">
        <f t="shared" si="2"/>
        <v>1.8156926424400394E-2</v>
      </c>
      <c r="O30" s="42">
        <f t="shared" si="3"/>
        <v>5.1057676557795237E-2</v>
      </c>
      <c r="Q30" s="29" t="s">
        <v>88</v>
      </c>
      <c r="R30" s="30">
        <v>6.6969092074145434E-2</v>
      </c>
      <c r="T30" s="36" t="s">
        <v>88</v>
      </c>
      <c r="U30" s="41">
        <v>6.6969092074145434E-2</v>
      </c>
      <c r="V30" s="41">
        <f t="shared" si="4"/>
        <v>0.11161515345690906</v>
      </c>
      <c r="W30" s="42">
        <f t="shared" si="5"/>
        <v>0.31386426705420428</v>
      </c>
    </row>
    <row r="31" spans="1:23" x14ac:dyDescent="0.25">
      <c r="A31" s="29" t="s">
        <v>293</v>
      </c>
      <c r="B31" s="30">
        <v>1</v>
      </c>
      <c r="D31" s="36" t="s">
        <v>293</v>
      </c>
      <c r="E31" s="33">
        <v>1</v>
      </c>
      <c r="F31" s="41">
        <f t="shared" si="0"/>
        <v>1.6666666666666667</v>
      </c>
      <c r="G31" s="42">
        <f t="shared" si="1"/>
        <v>4.686703333333333</v>
      </c>
      <c r="I31" s="29" t="s">
        <v>156</v>
      </c>
      <c r="J31" s="30">
        <v>1.0601708646708877E-2</v>
      </c>
      <c r="L31" s="36" t="s">
        <v>156</v>
      </c>
      <c r="M31" s="33">
        <v>1.0601708646708877E-2</v>
      </c>
      <c r="N31" s="53">
        <f t="shared" si="2"/>
        <v>1.7669514411181461E-2</v>
      </c>
      <c r="O31" s="42">
        <f t="shared" si="3"/>
        <v>4.9687063253559309E-2</v>
      </c>
      <c r="Q31" s="29" t="s">
        <v>77</v>
      </c>
      <c r="R31" s="30">
        <v>6.2370344105770845E-2</v>
      </c>
      <c r="T31" s="36" t="s">
        <v>77</v>
      </c>
      <c r="U31" s="41">
        <v>6.2370344105770845E-2</v>
      </c>
      <c r="V31" s="41">
        <f t="shared" si="4"/>
        <v>0.10395057350961807</v>
      </c>
      <c r="W31" s="42">
        <f t="shared" si="5"/>
        <v>0.29231129962166319</v>
      </c>
    </row>
    <row r="32" spans="1:23" x14ac:dyDescent="0.25">
      <c r="A32" s="29" t="s">
        <v>88</v>
      </c>
      <c r="B32" s="30">
        <v>1</v>
      </c>
      <c r="D32" s="36" t="s">
        <v>88</v>
      </c>
      <c r="E32" s="33">
        <v>1</v>
      </c>
      <c r="F32" s="41">
        <f t="shared" si="0"/>
        <v>1.6666666666666667</v>
      </c>
      <c r="G32" s="42">
        <f t="shared" si="1"/>
        <v>4.686703333333333</v>
      </c>
      <c r="I32" s="29" t="s">
        <v>77</v>
      </c>
      <c r="J32" s="30">
        <v>9.7482402643785885E-3</v>
      </c>
      <c r="L32" s="36" t="s">
        <v>77</v>
      </c>
      <c r="M32" s="33">
        <v>9.7482402643785885E-3</v>
      </c>
      <c r="N32" s="53">
        <f t="shared" si="2"/>
        <v>1.6247067107297647E-2</v>
      </c>
      <c r="O32" s="42">
        <f t="shared" si="3"/>
        <v>4.5687110141197342E-2</v>
      </c>
      <c r="Q32" s="29" t="s">
        <v>221</v>
      </c>
      <c r="R32" s="30">
        <v>5.9436373519664056E-2</v>
      </c>
      <c r="T32" s="36" t="s">
        <v>221</v>
      </c>
      <c r="U32" s="41">
        <v>5.9436373519664056E-2</v>
      </c>
      <c r="V32" s="41">
        <f t="shared" si="4"/>
        <v>9.9060622532773437E-2</v>
      </c>
      <c r="W32" s="42">
        <f t="shared" si="5"/>
        <v>0.27856064989585461</v>
      </c>
    </row>
    <row r="33" spans="1:23" x14ac:dyDescent="0.25">
      <c r="A33" s="29" t="s">
        <v>289</v>
      </c>
      <c r="B33" s="30">
        <v>1</v>
      </c>
      <c r="D33" s="36" t="s">
        <v>289</v>
      </c>
      <c r="E33" s="33">
        <v>1</v>
      </c>
      <c r="F33" s="41">
        <f t="shared" si="0"/>
        <v>1.6666666666666667</v>
      </c>
      <c r="G33" s="42">
        <f t="shared" si="1"/>
        <v>4.686703333333333</v>
      </c>
      <c r="I33" s="29" t="s">
        <v>292</v>
      </c>
      <c r="J33" s="30">
        <v>9.1991557107115509E-3</v>
      </c>
      <c r="L33" s="36" t="s">
        <v>292</v>
      </c>
      <c r="M33" s="33">
        <v>9.1991557107115509E-3</v>
      </c>
      <c r="N33" s="53">
        <f t="shared" si="2"/>
        <v>1.5331926184519252E-2</v>
      </c>
      <c r="O33" s="42">
        <f t="shared" si="3"/>
        <v>4.3113713733244192E-2</v>
      </c>
      <c r="Q33" s="29" t="s">
        <v>174</v>
      </c>
      <c r="R33" s="30">
        <v>5.9172829084870877E-2</v>
      </c>
      <c r="T33" s="36" t="s">
        <v>174</v>
      </c>
      <c r="U33" s="41">
        <v>5.9172829084870877E-2</v>
      </c>
      <c r="V33" s="41">
        <f t="shared" si="4"/>
        <v>9.8621381808118122E-2</v>
      </c>
      <c r="W33" s="42">
        <f t="shared" si="5"/>
        <v>0.27732549531482792</v>
      </c>
    </row>
    <row r="34" spans="1:23" x14ac:dyDescent="0.25">
      <c r="A34" s="29" t="s">
        <v>41</v>
      </c>
      <c r="B34" s="30">
        <v>1</v>
      </c>
      <c r="D34" s="36" t="s">
        <v>41</v>
      </c>
      <c r="E34" s="33">
        <v>1</v>
      </c>
      <c r="F34" s="41">
        <f t="shared" si="0"/>
        <v>1.6666666666666667</v>
      </c>
      <c r="G34" s="42">
        <f t="shared" si="1"/>
        <v>4.686703333333333</v>
      </c>
      <c r="I34" s="29" t="s">
        <v>174</v>
      </c>
      <c r="J34" s="30">
        <v>9.1991557107115509E-3</v>
      </c>
      <c r="L34" s="36" t="s">
        <v>174</v>
      </c>
      <c r="M34" s="33">
        <v>9.1991557107115509E-3</v>
      </c>
      <c r="N34" s="53">
        <f t="shared" si="2"/>
        <v>1.5331926184519252E-2</v>
      </c>
      <c r="O34" s="42">
        <f t="shared" si="3"/>
        <v>4.3113713733244192E-2</v>
      </c>
      <c r="Q34" s="29" t="s">
        <v>289</v>
      </c>
      <c r="R34" s="30">
        <v>5.760246666265334E-2</v>
      </c>
      <c r="T34" s="36" t="s">
        <v>289</v>
      </c>
      <c r="U34" s="41">
        <v>5.760246666265334E-2</v>
      </c>
      <c r="V34" s="41">
        <f t="shared" si="4"/>
        <v>9.6004111104422224E-2</v>
      </c>
      <c r="W34" s="42">
        <f t="shared" si="5"/>
        <v>0.26996567251607956</v>
      </c>
    </row>
    <row r="35" spans="1:23" x14ac:dyDescent="0.25">
      <c r="A35" s="29" t="s">
        <v>286</v>
      </c>
      <c r="B35" s="30">
        <v>1</v>
      </c>
      <c r="D35" s="36" t="s">
        <v>286</v>
      </c>
      <c r="E35" s="33">
        <v>1</v>
      </c>
      <c r="F35" s="41">
        <f t="shared" si="0"/>
        <v>1.6666666666666667</v>
      </c>
      <c r="G35" s="42">
        <f t="shared" si="1"/>
        <v>4.686703333333333</v>
      </c>
      <c r="I35" s="29" t="s">
        <v>289</v>
      </c>
      <c r="J35" s="30">
        <v>8.9305817442439771E-3</v>
      </c>
      <c r="L35" s="36" t="s">
        <v>289</v>
      </c>
      <c r="M35" s="33">
        <v>8.9305817442439771E-3</v>
      </c>
      <c r="N35" s="53">
        <f t="shared" si="2"/>
        <v>1.4884302907073295E-2</v>
      </c>
      <c r="O35" s="42">
        <f t="shared" si="3"/>
        <v>4.185498722935406E-2</v>
      </c>
      <c r="Q35" s="29" t="s">
        <v>292</v>
      </c>
      <c r="R35" s="30">
        <v>5.581297126300383E-2</v>
      </c>
      <c r="T35" s="36" t="s">
        <v>292</v>
      </c>
      <c r="U35" s="41">
        <v>5.581297126300383E-2</v>
      </c>
      <c r="V35" s="41">
        <f t="shared" si="4"/>
        <v>9.3021618771673059E-2</v>
      </c>
      <c r="W35" s="42">
        <f t="shared" si="5"/>
        <v>0.26157883846155761</v>
      </c>
    </row>
    <row r="36" spans="1:23" x14ac:dyDescent="0.25">
      <c r="A36" s="29" t="s">
        <v>174</v>
      </c>
      <c r="B36" s="30">
        <v>1</v>
      </c>
      <c r="D36" s="36" t="s">
        <v>174</v>
      </c>
      <c r="E36" s="33">
        <v>1</v>
      </c>
      <c r="F36" s="41">
        <f t="shared" si="0"/>
        <v>1.6666666666666667</v>
      </c>
      <c r="G36" s="42">
        <f t="shared" si="1"/>
        <v>4.686703333333333</v>
      </c>
      <c r="I36" s="29" t="s">
        <v>221</v>
      </c>
      <c r="J36" s="30">
        <v>8.1487330863050413E-3</v>
      </c>
      <c r="L36" s="36" t="s">
        <v>221</v>
      </c>
      <c r="M36" s="33">
        <v>8.1487330863050413E-3</v>
      </c>
      <c r="N36" s="53">
        <f t="shared" si="2"/>
        <v>1.3581221810508403E-2</v>
      </c>
      <c r="O36" s="42">
        <f t="shared" si="3"/>
        <v>3.8190694518029457E-2</v>
      </c>
      <c r="Q36" s="29" t="s">
        <v>56</v>
      </c>
      <c r="R36" s="30">
        <v>5.2792490896479499E-2</v>
      </c>
      <c r="T36" s="36" t="s">
        <v>56</v>
      </c>
      <c r="U36" s="41">
        <v>5.2792490896479499E-2</v>
      </c>
      <c r="V36" s="41">
        <f t="shared" si="4"/>
        <v>8.7987484827465823E-2</v>
      </c>
      <c r="W36" s="42">
        <f t="shared" si="5"/>
        <v>0.24742274305950007</v>
      </c>
    </row>
    <row r="37" spans="1:23" x14ac:dyDescent="0.25">
      <c r="A37" s="29" t="s">
        <v>156</v>
      </c>
      <c r="B37" s="30">
        <v>1</v>
      </c>
      <c r="D37" s="36" t="s">
        <v>156</v>
      </c>
      <c r="E37" s="33">
        <v>1</v>
      </c>
      <c r="F37" s="41">
        <f t="shared" si="0"/>
        <v>1.6666666666666667</v>
      </c>
      <c r="G37" s="42">
        <f t="shared" si="1"/>
        <v>4.686703333333333</v>
      </c>
      <c r="I37" s="29" t="s">
        <v>293</v>
      </c>
      <c r="J37" s="30">
        <v>7.8960746141466566E-3</v>
      </c>
      <c r="L37" s="36" t="s">
        <v>293</v>
      </c>
      <c r="M37" s="33">
        <v>7.8960746141466566E-3</v>
      </c>
      <c r="N37" s="53">
        <f t="shared" si="2"/>
        <v>1.3160124356911095E-2</v>
      </c>
      <c r="O37" s="42">
        <f t="shared" si="3"/>
        <v>3.700655921436985E-2</v>
      </c>
      <c r="Q37" s="29" t="s">
        <v>293</v>
      </c>
      <c r="R37" s="30">
        <v>4.6212179647431767E-2</v>
      </c>
      <c r="T37" s="36" t="s">
        <v>293</v>
      </c>
      <c r="U37" s="41">
        <v>4.6212179647431767E-2</v>
      </c>
      <c r="V37" s="41">
        <f t="shared" si="4"/>
        <v>7.7020299412386278E-2</v>
      </c>
      <c r="W37" s="42">
        <f t="shared" si="5"/>
        <v>0.21658277639421727</v>
      </c>
    </row>
    <row r="38" spans="1:23" x14ac:dyDescent="0.25">
      <c r="A38" s="29" t="s">
        <v>292</v>
      </c>
      <c r="B38" s="30">
        <v>1</v>
      </c>
      <c r="D38" s="36" t="s">
        <v>292</v>
      </c>
      <c r="E38" s="33">
        <v>1</v>
      </c>
      <c r="F38" s="41">
        <f t="shared" si="0"/>
        <v>1.6666666666666667</v>
      </c>
      <c r="G38" s="42">
        <f t="shared" si="1"/>
        <v>4.686703333333333</v>
      </c>
      <c r="I38" s="29" t="s">
        <v>186</v>
      </c>
      <c r="J38" s="30"/>
      <c r="L38" s="36" t="s">
        <v>186</v>
      </c>
      <c r="M38" s="33"/>
      <c r="N38" s="53">
        <f t="shared" si="2"/>
        <v>0</v>
      </c>
      <c r="O38" s="42">
        <f t="shared" si="3"/>
        <v>0</v>
      </c>
      <c r="Q38" s="29" t="s">
        <v>291</v>
      </c>
      <c r="R38" s="30"/>
      <c r="T38" s="36" t="s">
        <v>291</v>
      </c>
      <c r="U38" s="33"/>
      <c r="V38" s="53">
        <f t="shared" si="4"/>
        <v>0</v>
      </c>
      <c r="W38" s="42">
        <f t="shared" si="5"/>
        <v>0</v>
      </c>
    </row>
    <row r="39" spans="1:23" ht="14.95" thickBot="1" x14ac:dyDescent="0.3">
      <c r="A39" s="29" t="s">
        <v>221</v>
      </c>
      <c r="B39" s="30">
        <v>1</v>
      </c>
      <c r="D39" s="37" t="s">
        <v>221</v>
      </c>
      <c r="E39" s="38">
        <v>1</v>
      </c>
      <c r="F39" s="43">
        <f t="shared" si="0"/>
        <v>1.6666666666666667</v>
      </c>
      <c r="G39" s="44">
        <f t="shared" si="1"/>
        <v>4.686703333333333</v>
      </c>
      <c r="I39" s="29" t="s">
        <v>291</v>
      </c>
      <c r="J39" s="30"/>
      <c r="L39" s="37" t="s">
        <v>291</v>
      </c>
      <c r="M39" s="38"/>
      <c r="N39" s="54">
        <f t="shared" si="2"/>
        <v>0</v>
      </c>
      <c r="O39" s="44">
        <f t="shared" si="3"/>
        <v>0</v>
      </c>
      <c r="Q39" s="29" t="s">
        <v>186</v>
      </c>
      <c r="R39" s="30"/>
      <c r="T39" s="37" t="s">
        <v>186</v>
      </c>
      <c r="U39" s="38"/>
      <c r="V39" s="54">
        <f t="shared" si="4"/>
        <v>0</v>
      </c>
      <c r="W39" s="44">
        <f t="shared" si="5"/>
        <v>0</v>
      </c>
    </row>
    <row r="40" spans="1:23" x14ac:dyDescent="0.25">
      <c r="A40" s="29" t="s">
        <v>294</v>
      </c>
      <c r="B40" s="30">
        <v>425</v>
      </c>
      <c r="F40" s="45">
        <f>SUM(F6:F39)</f>
        <v>708.33333333333303</v>
      </c>
      <c r="G40" s="45">
        <f>SUM(G6:G39)</f>
        <v>1991.8489166666659</v>
      </c>
      <c r="I40" s="29" t="s">
        <v>294</v>
      </c>
      <c r="J40" s="30">
        <v>8.099461434290216</v>
      </c>
      <c r="L40" s="48" t="s">
        <v>294</v>
      </c>
      <c r="M40" s="49">
        <v>8.0994614342902178</v>
      </c>
      <c r="N40" s="55">
        <f>SUM(N6:N39)</f>
        <v>13.499102390483696</v>
      </c>
      <c r="O40" s="58">
        <f>SUM(O6:O39)</f>
        <v>37.959772902292741</v>
      </c>
      <c r="Q40" s="29" t="s">
        <v>294</v>
      </c>
      <c r="R40" s="30">
        <v>55.832869513236105</v>
      </c>
      <c r="T40" s="48" t="s">
        <v>294</v>
      </c>
      <c r="U40" s="49">
        <v>55.832869513236105</v>
      </c>
      <c r="V40" s="26">
        <f>SUM(V6:V39)</f>
        <v>93.054782522060165</v>
      </c>
      <c r="W40" s="26">
        <f>SUM(W6:W39)</f>
        <v>261.67209565724863</v>
      </c>
    </row>
    <row r="41" spans="1:23" x14ac:dyDescent="0.25">
      <c r="N41" s="62">
        <f>MAX(N6:N37)</f>
        <v>3.4836961291467614</v>
      </c>
    </row>
    <row r="42" spans="1:23" x14ac:dyDescent="0.25">
      <c r="N42">
        <f>MIN(N6:N37)</f>
        <v>1.3160124356911095E-2</v>
      </c>
    </row>
    <row r="43" spans="1:23" x14ac:dyDescent="0.25">
      <c r="B43">
        <v>425</v>
      </c>
      <c r="C43">
        <v>6000</v>
      </c>
    </row>
    <row r="44" spans="1:23" x14ac:dyDescent="0.25">
      <c r="B44">
        <f>B43*C44/C43</f>
        <v>708.33333333333337</v>
      </c>
      <c r="C44">
        <v>10000</v>
      </c>
    </row>
    <row r="45" spans="1:23" x14ac:dyDescent="0.25">
      <c r="B45">
        <f>B44*10.83</f>
        <v>7671.2500000000009</v>
      </c>
      <c r="C45">
        <v>108300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Listas</vt:lpstr>
      <vt:lpstr>1 Captura</vt:lpstr>
      <vt:lpstr>Alt Diametro</vt:lpstr>
      <vt:lpstr>oculta</vt:lpstr>
      <vt:lpstr>3 Dens., AB, y Vol</vt:lpstr>
      <vt:lpstr>nombre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 Esparza</dc:creator>
  <cp:lastModifiedBy>Salvador</cp:lastModifiedBy>
  <dcterms:created xsi:type="dcterms:W3CDTF">2017-11-03T21:07:40Z</dcterms:created>
  <dcterms:modified xsi:type="dcterms:W3CDTF">2018-02-20T16:27:42Z</dcterms:modified>
</cp:coreProperties>
</file>